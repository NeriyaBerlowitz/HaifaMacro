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EMME\App\"/>
    </mc:Choice>
  </mc:AlternateContent>
  <xr:revisionPtr revIDLastSave="0" documentId="13_ncr:1_{1B93B82E-961C-4CD8-A55F-EAD478164A25}" xr6:coauthVersionLast="41" xr6:coauthVersionMax="44" xr10:uidLastSave="{00000000-0000-0000-0000-000000000000}"/>
  <bookViews>
    <workbookView xWindow="-108" yWindow="-108" windowWidth="23256" windowHeight="12576" firstSheet="9" activeTab="11" xr2:uid="{00000000-000D-0000-FFFF-FFFF00000000}"/>
  </bookViews>
  <sheets>
    <sheet name="Table of Contents" sheetId="2" r:id="rId1"/>
    <sheet name="Data Overview" sheetId="3" r:id="rId2"/>
    <sheet name="Summary Report" sheetId="20" r:id="rId3"/>
    <sheet name="Inner Report" sheetId="4" r:id="rId4"/>
    <sheet name="AM Summary" sheetId="5" r:id="rId5"/>
    <sheet name="OP Summary" sheetId="6" r:id="rId6"/>
    <sheet name="PM Summary" sheetId="7" r:id="rId7"/>
    <sheet name="Late&amp;Early Summary" sheetId="8" r:id="rId8"/>
    <sheet name="Car VoC_L" sheetId="9" r:id="rId9"/>
    <sheet name="Car VoC_I" sheetId="10" r:id="rId10"/>
    <sheet name="Demand AM" sheetId="11" r:id="rId11"/>
    <sheet name="Demand OP" sheetId="12" r:id="rId12"/>
    <sheet name="Demand PM" sheetId="13" r:id="rId13"/>
    <sheet name="Demand Late&amp;Early" sheetId="14" r:id="rId14"/>
    <sheet name="Haiz" sheetId="15" r:id="rId15"/>
    <sheet name="Transit AM" sheetId="16" r:id="rId16"/>
    <sheet name="Transit OP" sheetId="17" r:id="rId17"/>
    <sheet name="Transit PM" sheetId="18" r:id="rId18"/>
    <sheet name="Transit Late&amp;Early" sheetId="19" r:id="rId19"/>
  </sheets>
  <definedNames>
    <definedName name="_xlnm._FilterDatabase" localSheetId="0" hidden="1">'Table of Contents'!$B$4:$B$20</definedName>
  </definedNames>
  <calcPr calcId="191029" calcMode="manual"/>
  <pivotCaches>
    <pivotCache cacheId="0" r:id="rId20"/>
    <pivotCache cacheId="1" r:id="rId21"/>
    <pivotCache cacheId="2" r:id="rId22"/>
    <pivotCache cacheId="3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6" i="13" l="1"/>
  <c r="P6" i="13"/>
  <c r="P7" i="13"/>
  <c r="O8" i="13"/>
  <c r="P8" i="13"/>
  <c r="O9" i="13"/>
  <c r="P9" i="13"/>
  <c r="O10" i="13"/>
  <c r="P10" i="13"/>
  <c r="O11" i="13"/>
  <c r="P11" i="13"/>
  <c r="O12" i="13"/>
  <c r="P12" i="13"/>
  <c r="O13" i="13"/>
  <c r="P13" i="13"/>
  <c r="O14" i="13"/>
  <c r="P14" i="13"/>
  <c r="O15" i="13"/>
  <c r="P15" i="13"/>
  <c r="O16" i="13"/>
  <c r="P16" i="13"/>
  <c r="O17" i="13"/>
  <c r="P17" i="13"/>
  <c r="O18" i="13"/>
  <c r="P18" i="13"/>
  <c r="O19" i="13"/>
  <c r="P19" i="13"/>
  <c r="O20" i="13"/>
  <c r="P20" i="13"/>
  <c r="O21" i="13"/>
  <c r="P21" i="13"/>
  <c r="O22" i="13"/>
  <c r="P22" i="13"/>
  <c r="O23" i="13"/>
  <c r="P23" i="13"/>
  <c r="O24" i="13"/>
  <c r="P24" i="13"/>
  <c r="O25" i="13"/>
  <c r="P25" i="13"/>
  <c r="O26" i="13"/>
  <c r="P26" i="13"/>
  <c r="O27" i="13"/>
  <c r="P27" i="13"/>
  <c r="O28" i="13"/>
  <c r="P28" i="13"/>
  <c r="O29" i="13"/>
  <c r="P29" i="13"/>
  <c r="O30" i="13"/>
  <c r="P30" i="13"/>
  <c r="O31" i="13"/>
  <c r="P31" i="13"/>
  <c r="O32" i="13"/>
  <c r="P32" i="13"/>
  <c r="O33" i="13"/>
  <c r="P33" i="13"/>
  <c r="O34" i="13"/>
  <c r="P34" i="13"/>
  <c r="O35" i="13"/>
  <c r="P35" i="13"/>
  <c r="O36" i="13"/>
  <c r="P36" i="13"/>
  <c r="O37" i="13"/>
  <c r="P37" i="13"/>
  <c r="O38" i="13"/>
  <c r="P38" i="13"/>
  <c r="O39" i="13"/>
  <c r="P39" i="13"/>
  <c r="O40" i="13"/>
  <c r="P40" i="13"/>
  <c r="O41" i="13"/>
  <c r="P41" i="13"/>
  <c r="O42" i="13"/>
  <c r="P42" i="13"/>
  <c r="O43" i="13"/>
  <c r="P43" i="13"/>
  <c r="O44" i="13"/>
  <c r="P44" i="13"/>
  <c r="O45" i="13"/>
  <c r="P45" i="13"/>
  <c r="O46" i="13"/>
  <c r="P46" i="13"/>
  <c r="O47" i="13"/>
  <c r="P47" i="13"/>
  <c r="O48" i="13"/>
  <c r="P48" i="13"/>
  <c r="O49" i="13"/>
  <c r="P49" i="13"/>
  <c r="O50" i="13"/>
  <c r="P50" i="13"/>
  <c r="O51" i="13"/>
  <c r="P51" i="13"/>
  <c r="O52" i="13"/>
  <c r="P52" i="13"/>
  <c r="O53" i="13"/>
  <c r="P53" i="13"/>
  <c r="O54" i="13"/>
  <c r="P54" i="13"/>
  <c r="O55" i="13"/>
  <c r="P55" i="13"/>
  <c r="O56" i="13"/>
  <c r="P56" i="13"/>
  <c r="O57" i="13"/>
  <c r="P57" i="13"/>
  <c r="O58" i="13"/>
  <c r="P58" i="13"/>
  <c r="O59" i="13"/>
  <c r="P59" i="13"/>
  <c r="O60" i="13"/>
  <c r="P60" i="13"/>
  <c r="O61" i="13"/>
  <c r="P61" i="13"/>
  <c r="O62" i="13"/>
  <c r="P62" i="13"/>
  <c r="O63" i="13"/>
  <c r="P63" i="13"/>
  <c r="O64" i="13"/>
  <c r="P64" i="13"/>
  <c r="O65" i="13"/>
  <c r="P65" i="13"/>
  <c r="O66" i="13"/>
  <c r="P66" i="13"/>
  <c r="O67" i="13"/>
  <c r="P67" i="13"/>
  <c r="O68" i="13"/>
  <c r="P68" i="13"/>
  <c r="O69" i="13"/>
  <c r="P69" i="13"/>
  <c r="O70" i="13"/>
  <c r="P70" i="13"/>
  <c r="O71" i="13"/>
  <c r="P71" i="13"/>
  <c r="O72" i="13"/>
  <c r="P72" i="13"/>
  <c r="O73" i="13"/>
  <c r="P73" i="13"/>
  <c r="O74" i="13"/>
  <c r="P74" i="13"/>
  <c r="O75" i="13"/>
  <c r="P75" i="13"/>
  <c r="O76" i="13"/>
  <c r="P76" i="13"/>
  <c r="O77" i="13"/>
  <c r="P77" i="13"/>
  <c r="O78" i="13"/>
  <c r="P78" i="13"/>
  <c r="O79" i="13"/>
  <c r="P79" i="13"/>
  <c r="O80" i="13"/>
  <c r="P80" i="13"/>
  <c r="O81" i="13"/>
  <c r="P81" i="13"/>
  <c r="O82" i="13"/>
  <c r="P82" i="13"/>
  <c r="O83" i="13"/>
  <c r="P83" i="13"/>
  <c r="O84" i="13"/>
  <c r="P84" i="13"/>
  <c r="O85" i="13"/>
  <c r="P85" i="13"/>
  <c r="O86" i="13"/>
  <c r="P86" i="13"/>
  <c r="O87" i="13"/>
  <c r="P87" i="13"/>
  <c r="O88" i="13"/>
  <c r="P88" i="13"/>
  <c r="O89" i="13"/>
  <c r="P89" i="13"/>
  <c r="O90" i="13"/>
  <c r="P90" i="13"/>
  <c r="O91" i="13"/>
  <c r="P91" i="13"/>
  <c r="O92" i="13"/>
  <c r="P92" i="13"/>
  <c r="O93" i="13"/>
  <c r="P93" i="13"/>
  <c r="O94" i="13"/>
  <c r="P94" i="13"/>
  <c r="O95" i="13"/>
  <c r="P95" i="13"/>
  <c r="O96" i="13"/>
  <c r="P96" i="13"/>
  <c r="O97" i="13"/>
  <c r="P97" i="13"/>
  <c r="O98" i="13"/>
  <c r="P98" i="13"/>
  <c r="O99" i="13"/>
  <c r="P99" i="13"/>
  <c r="O100" i="13"/>
  <c r="P100" i="13"/>
  <c r="O101" i="13"/>
  <c r="P101" i="13"/>
  <c r="O102" i="13"/>
  <c r="P102" i="13"/>
  <c r="O103" i="13"/>
  <c r="P103" i="13"/>
  <c r="O104" i="13"/>
  <c r="P104" i="13"/>
  <c r="O105" i="13"/>
  <c r="P105" i="13"/>
  <c r="O106" i="13"/>
  <c r="P106" i="13"/>
  <c r="O107" i="13"/>
  <c r="P107" i="13"/>
  <c r="O108" i="13"/>
  <c r="P108" i="13"/>
  <c r="O109" i="13"/>
  <c r="P109" i="13"/>
  <c r="O110" i="13"/>
  <c r="P110" i="13"/>
  <c r="O111" i="13"/>
  <c r="P111" i="13"/>
  <c r="O112" i="13"/>
  <c r="P112" i="13"/>
  <c r="O113" i="13"/>
  <c r="P113" i="13"/>
  <c r="O114" i="13"/>
  <c r="P114" i="13"/>
  <c r="O115" i="13"/>
  <c r="P115" i="13"/>
  <c r="O116" i="13"/>
  <c r="P116" i="13"/>
  <c r="O117" i="13"/>
  <c r="P117" i="13"/>
  <c r="O118" i="13"/>
  <c r="P118" i="13"/>
  <c r="O119" i="13"/>
  <c r="P119" i="13"/>
  <c r="O120" i="13"/>
  <c r="P120" i="13"/>
  <c r="O121" i="13"/>
  <c r="P121" i="13"/>
  <c r="O122" i="13"/>
  <c r="P122" i="13"/>
  <c r="O123" i="13"/>
  <c r="P123" i="13"/>
  <c r="O124" i="13"/>
  <c r="P124" i="13"/>
  <c r="O125" i="13"/>
  <c r="P125" i="13"/>
  <c r="O126" i="13"/>
  <c r="P126" i="13"/>
  <c r="O127" i="13"/>
  <c r="P127" i="13"/>
  <c r="O128" i="13"/>
  <c r="P128" i="13"/>
  <c r="O129" i="13"/>
  <c r="P129" i="13"/>
  <c r="O130" i="13"/>
  <c r="P130" i="13"/>
  <c r="O131" i="13"/>
  <c r="P131" i="13"/>
  <c r="O132" i="13"/>
  <c r="P132" i="13"/>
  <c r="O133" i="13"/>
  <c r="P133" i="13"/>
  <c r="O134" i="13"/>
  <c r="P134" i="13"/>
  <c r="O135" i="13"/>
  <c r="P135" i="13"/>
  <c r="O136" i="13"/>
  <c r="P136" i="13"/>
  <c r="O137" i="13"/>
  <c r="P137" i="13"/>
  <c r="O138" i="13"/>
  <c r="P138" i="13"/>
  <c r="O139" i="13"/>
  <c r="P139" i="13"/>
  <c r="O140" i="13"/>
  <c r="P140" i="13"/>
  <c r="O141" i="13"/>
  <c r="P141" i="13"/>
  <c r="O142" i="13"/>
  <c r="P142" i="13"/>
  <c r="O143" i="13"/>
  <c r="P143" i="13"/>
  <c r="O144" i="13"/>
  <c r="P144" i="13"/>
  <c r="O145" i="13"/>
  <c r="P145" i="13"/>
  <c r="O146" i="13"/>
  <c r="P146" i="13"/>
  <c r="O147" i="13"/>
  <c r="P147" i="13"/>
  <c r="O148" i="13"/>
  <c r="P148" i="13"/>
  <c r="O149" i="13"/>
  <c r="P149" i="13"/>
  <c r="O150" i="13"/>
  <c r="P150" i="13"/>
  <c r="O151" i="13"/>
  <c r="P151" i="13"/>
  <c r="O152" i="13"/>
  <c r="P152" i="13"/>
  <c r="O153" i="13"/>
  <c r="P153" i="13"/>
  <c r="O154" i="13"/>
  <c r="P154" i="13"/>
  <c r="O155" i="13"/>
  <c r="P155" i="13"/>
  <c r="O156" i="13"/>
  <c r="P156" i="13"/>
  <c r="O157" i="13"/>
  <c r="P157" i="13"/>
  <c r="O158" i="13"/>
  <c r="P158" i="13"/>
  <c r="O159" i="13"/>
  <c r="P159" i="13"/>
  <c r="O160" i="13"/>
  <c r="P160" i="13"/>
  <c r="O161" i="13"/>
  <c r="P161" i="13"/>
  <c r="O162" i="13"/>
  <c r="P162" i="13"/>
  <c r="O163" i="13"/>
  <c r="P163" i="13"/>
  <c r="O164" i="13"/>
  <c r="P164" i="13"/>
  <c r="O165" i="13"/>
  <c r="P165" i="13"/>
  <c r="O166" i="13"/>
  <c r="P166" i="13"/>
  <c r="O167" i="13"/>
  <c r="P167" i="13"/>
  <c r="O168" i="13"/>
  <c r="P168" i="13"/>
  <c r="O169" i="13"/>
  <c r="P169" i="13"/>
  <c r="O170" i="13"/>
  <c r="P170" i="13"/>
  <c r="O171" i="13"/>
  <c r="P171" i="13"/>
  <c r="O172" i="13"/>
  <c r="P172" i="13"/>
  <c r="O173" i="13"/>
  <c r="P173" i="13"/>
  <c r="O174" i="13"/>
  <c r="P174" i="13"/>
  <c r="O175" i="13"/>
  <c r="P175" i="13"/>
  <c r="O176" i="13"/>
  <c r="P176" i="13"/>
  <c r="O177" i="13"/>
  <c r="P177" i="13"/>
  <c r="O178" i="13"/>
  <c r="P178" i="13"/>
  <c r="O179" i="13"/>
  <c r="P179" i="13"/>
  <c r="O180" i="13"/>
  <c r="P180" i="13"/>
  <c r="O181" i="13"/>
  <c r="P181" i="13"/>
  <c r="O182" i="13"/>
  <c r="P182" i="13"/>
  <c r="O183" i="13"/>
  <c r="P183" i="13"/>
  <c r="O184" i="13"/>
  <c r="P184" i="13"/>
  <c r="O185" i="13"/>
  <c r="P185" i="13"/>
  <c r="O186" i="13"/>
  <c r="P186" i="13"/>
  <c r="O187" i="13"/>
  <c r="P187" i="13"/>
  <c r="O188" i="13"/>
  <c r="P188" i="13"/>
  <c r="O189" i="13"/>
  <c r="P189" i="13"/>
  <c r="O190" i="13"/>
  <c r="P190" i="13"/>
  <c r="O191" i="13"/>
  <c r="P191" i="13"/>
  <c r="O192" i="13"/>
  <c r="P192" i="13"/>
  <c r="O193" i="13"/>
  <c r="P193" i="13"/>
  <c r="O194" i="13"/>
  <c r="P194" i="13"/>
  <c r="O195" i="13"/>
  <c r="P195" i="13"/>
  <c r="O196" i="13"/>
  <c r="P196" i="13"/>
  <c r="O197" i="13"/>
  <c r="P197" i="13"/>
  <c r="O198" i="13"/>
  <c r="P198" i="13"/>
  <c r="O199" i="13"/>
  <c r="P199" i="13"/>
  <c r="O200" i="13"/>
  <c r="P200" i="13"/>
  <c r="O201" i="13"/>
  <c r="P201" i="13"/>
  <c r="O202" i="13"/>
  <c r="P202" i="13"/>
  <c r="O203" i="13"/>
  <c r="P203" i="13"/>
  <c r="O204" i="13"/>
  <c r="P204" i="13"/>
  <c r="O205" i="13"/>
  <c r="P205" i="13"/>
  <c r="O206" i="13"/>
  <c r="P206" i="13"/>
  <c r="O207" i="13"/>
  <c r="P207" i="13"/>
  <c r="O208" i="13"/>
  <c r="P208" i="13"/>
  <c r="O209" i="13"/>
  <c r="P209" i="13"/>
  <c r="O210" i="13"/>
  <c r="P210" i="13"/>
  <c r="O211" i="13"/>
  <c r="P211" i="13"/>
  <c r="O212" i="13"/>
  <c r="P212" i="13"/>
  <c r="O213" i="13"/>
  <c r="P213" i="13"/>
  <c r="O214" i="13"/>
  <c r="P214" i="13"/>
  <c r="O215" i="13"/>
  <c r="P215" i="13"/>
  <c r="O216" i="13"/>
  <c r="P216" i="13"/>
  <c r="O217" i="13"/>
  <c r="P217" i="13"/>
  <c r="O218" i="13"/>
  <c r="P218" i="13"/>
  <c r="O219" i="13"/>
  <c r="P219" i="13"/>
  <c r="O220" i="13"/>
  <c r="P220" i="13"/>
  <c r="O221" i="13"/>
  <c r="P221" i="13"/>
  <c r="O222" i="13"/>
  <c r="P222" i="13"/>
  <c r="O223" i="13"/>
  <c r="P223" i="13"/>
  <c r="O224" i="13"/>
  <c r="P224" i="13"/>
  <c r="O225" i="13"/>
  <c r="P225" i="13"/>
  <c r="O226" i="13"/>
  <c r="P226" i="13"/>
  <c r="O227" i="13"/>
  <c r="P227" i="13"/>
  <c r="O228" i="13"/>
  <c r="P228" i="13"/>
  <c r="O229" i="13"/>
  <c r="P229" i="13"/>
  <c r="O230" i="13"/>
  <c r="P230" i="13"/>
  <c r="O231" i="13"/>
  <c r="P231" i="13"/>
  <c r="O232" i="13"/>
  <c r="P232" i="13"/>
  <c r="O233" i="13"/>
  <c r="P233" i="13"/>
  <c r="O234" i="13"/>
  <c r="P234" i="13"/>
  <c r="O235" i="13"/>
  <c r="P235" i="13"/>
  <c r="O236" i="13"/>
  <c r="P236" i="13"/>
  <c r="O237" i="13"/>
  <c r="P237" i="13"/>
  <c r="O238" i="13"/>
  <c r="P238" i="13"/>
  <c r="O239" i="13"/>
  <c r="P239" i="13"/>
  <c r="O240" i="13"/>
  <c r="P240" i="13"/>
  <c r="O241" i="13"/>
  <c r="P241" i="13"/>
  <c r="O242" i="13"/>
  <c r="P242" i="13"/>
  <c r="O243" i="13"/>
  <c r="P243" i="13"/>
  <c r="O244" i="13"/>
  <c r="P244" i="13"/>
  <c r="O245" i="13"/>
  <c r="P245" i="13"/>
  <c r="O246" i="13"/>
  <c r="P246" i="13"/>
  <c r="O247" i="13"/>
  <c r="P247" i="13"/>
  <c r="O248" i="13"/>
  <c r="P248" i="13"/>
  <c r="O249" i="13"/>
  <c r="P249" i="13"/>
  <c r="O250" i="13"/>
  <c r="P250" i="13"/>
  <c r="O251" i="13"/>
  <c r="P251" i="13"/>
  <c r="O252" i="13"/>
  <c r="P252" i="13"/>
  <c r="O253" i="13"/>
  <c r="P253" i="13"/>
  <c r="O254" i="13"/>
  <c r="P254" i="13"/>
  <c r="O255" i="13"/>
  <c r="P255" i="13"/>
  <c r="O256" i="13"/>
  <c r="P256" i="13"/>
  <c r="O257" i="13"/>
  <c r="P257" i="13"/>
  <c r="O258" i="13"/>
  <c r="P258" i="13"/>
  <c r="O259" i="13"/>
  <c r="P259" i="13"/>
  <c r="O260" i="13"/>
  <c r="P260" i="13"/>
  <c r="O261" i="13"/>
  <c r="P261" i="13"/>
  <c r="O262" i="13"/>
  <c r="P262" i="13"/>
  <c r="O263" i="13"/>
  <c r="P263" i="13"/>
  <c r="O264" i="13"/>
  <c r="P264" i="13"/>
  <c r="O265" i="13"/>
  <c r="P265" i="13"/>
  <c r="O266" i="13"/>
  <c r="P266" i="13"/>
  <c r="O267" i="13"/>
  <c r="P267" i="13"/>
  <c r="O268" i="13"/>
  <c r="P268" i="13"/>
  <c r="O269" i="13"/>
  <c r="P269" i="13"/>
  <c r="O270" i="13"/>
  <c r="P270" i="13"/>
  <c r="O271" i="13"/>
  <c r="P271" i="13"/>
  <c r="O272" i="13"/>
  <c r="P272" i="13"/>
  <c r="O273" i="13"/>
  <c r="P273" i="13"/>
  <c r="O274" i="13"/>
  <c r="P274" i="13"/>
  <c r="O275" i="13"/>
  <c r="P275" i="13"/>
  <c r="O276" i="13"/>
  <c r="P276" i="13"/>
  <c r="O277" i="13"/>
  <c r="P277" i="13"/>
  <c r="O278" i="13"/>
  <c r="P278" i="13"/>
  <c r="O279" i="13"/>
  <c r="P279" i="13"/>
  <c r="O280" i="13"/>
  <c r="P280" i="13"/>
  <c r="O281" i="13"/>
  <c r="P281" i="13"/>
  <c r="O282" i="13"/>
  <c r="P282" i="13"/>
  <c r="O283" i="13"/>
  <c r="P283" i="13"/>
  <c r="O284" i="13"/>
  <c r="P284" i="13"/>
  <c r="O285" i="13"/>
  <c r="P285" i="13"/>
  <c r="O286" i="13"/>
  <c r="P286" i="13"/>
  <c r="O287" i="13"/>
  <c r="P287" i="13"/>
  <c r="O288" i="13"/>
  <c r="P288" i="13"/>
  <c r="O289" i="13"/>
  <c r="P289" i="13"/>
  <c r="O290" i="13"/>
  <c r="P290" i="13"/>
  <c r="O291" i="13"/>
  <c r="P291" i="13"/>
  <c r="O292" i="13"/>
  <c r="P292" i="13"/>
  <c r="O293" i="13"/>
  <c r="P293" i="13"/>
  <c r="O294" i="13"/>
  <c r="P294" i="13"/>
  <c r="O295" i="13"/>
  <c r="P295" i="13"/>
  <c r="O296" i="13"/>
  <c r="P296" i="13"/>
  <c r="O297" i="13"/>
  <c r="P297" i="13"/>
  <c r="O298" i="13"/>
  <c r="P298" i="13"/>
  <c r="O299" i="13"/>
  <c r="P299" i="13"/>
  <c r="O300" i="13"/>
  <c r="P300" i="13"/>
  <c r="O301" i="13"/>
  <c r="P301" i="13"/>
  <c r="O302" i="13"/>
  <c r="P302" i="13"/>
  <c r="O303" i="13"/>
  <c r="P303" i="13"/>
  <c r="O304" i="13"/>
  <c r="P304" i="13"/>
  <c r="O305" i="13"/>
  <c r="P305" i="13"/>
  <c r="O306" i="13"/>
  <c r="P306" i="13"/>
  <c r="O307" i="13"/>
  <c r="P307" i="13"/>
  <c r="O308" i="13"/>
  <c r="P308" i="13"/>
  <c r="O309" i="13"/>
  <c r="P309" i="13"/>
  <c r="O310" i="13"/>
  <c r="P310" i="13"/>
  <c r="O311" i="13"/>
  <c r="P311" i="13"/>
  <c r="O312" i="13"/>
  <c r="P312" i="13"/>
  <c r="O313" i="13"/>
  <c r="P313" i="13"/>
  <c r="O314" i="13"/>
  <c r="P314" i="13"/>
  <c r="O315" i="13"/>
  <c r="P315" i="13"/>
  <c r="O316" i="13"/>
  <c r="P316" i="13"/>
  <c r="O317" i="13"/>
  <c r="P317" i="13"/>
  <c r="O318" i="13"/>
  <c r="P318" i="13"/>
  <c r="O319" i="13"/>
  <c r="P319" i="13"/>
  <c r="O320" i="13"/>
  <c r="P320" i="13"/>
  <c r="O321" i="13"/>
  <c r="P321" i="13"/>
  <c r="O322" i="13"/>
  <c r="P322" i="13"/>
  <c r="O323" i="13"/>
  <c r="P323" i="13"/>
  <c r="O324" i="13"/>
  <c r="P324" i="13"/>
  <c r="O325" i="13"/>
  <c r="P325" i="13"/>
  <c r="O326" i="13"/>
  <c r="P326" i="13"/>
  <c r="O327" i="13"/>
  <c r="P327" i="13"/>
  <c r="O328" i="13"/>
  <c r="P328" i="13"/>
  <c r="O329" i="13"/>
  <c r="P329" i="13"/>
  <c r="O330" i="13"/>
  <c r="P330" i="13"/>
  <c r="O331" i="13"/>
  <c r="P331" i="13"/>
  <c r="O332" i="13"/>
  <c r="P332" i="13"/>
  <c r="O333" i="13"/>
  <c r="P333" i="13"/>
  <c r="O334" i="13"/>
  <c r="P334" i="13"/>
  <c r="O335" i="13"/>
  <c r="P335" i="13"/>
  <c r="O336" i="13"/>
  <c r="P336" i="13"/>
  <c r="O337" i="13"/>
  <c r="P337" i="13"/>
  <c r="O338" i="13"/>
  <c r="P338" i="13"/>
  <c r="O339" i="13"/>
  <c r="P339" i="13"/>
  <c r="O340" i="13"/>
  <c r="P340" i="13"/>
  <c r="O341" i="13"/>
  <c r="P341" i="13"/>
  <c r="O342" i="13"/>
  <c r="P342" i="13"/>
  <c r="O343" i="13"/>
  <c r="P343" i="13"/>
  <c r="O344" i="13"/>
  <c r="P344" i="13"/>
  <c r="O345" i="13"/>
  <c r="P345" i="13"/>
  <c r="O346" i="13"/>
  <c r="P346" i="13"/>
  <c r="O347" i="13"/>
  <c r="P347" i="13"/>
  <c r="O348" i="13"/>
  <c r="P348" i="13"/>
  <c r="O349" i="13"/>
  <c r="P349" i="13"/>
  <c r="O350" i="13"/>
  <c r="P350" i="13"/>
  <c r="O351" i="13"/>
  <c r="P351" i="13"/>
  <c r="O352" i="13"/>
  <c r="P352" i="13"/>
  <c r="O353" i="13"/>
  <c r="P353" i="13"/>
  <c r="O354" i="13"/>
  <c r="P354" i="13"/>
  <c r="O355" i="13"/>
  <c r="P355" i="13"/>
  <c r="O356" i="13"/>
  <c r="P356" i="13"/>
  <c r="O357" i="13"/>
  <c r="P357" i="13"/>
  <c r="O358" i="13"/>
  <c r="P358" i="13"/>
  <c r="O359" i="13"/>
  <c r="P359" i="13"/>
  <c r="O360" i="13"/>
  <c r="P360" i="13"/>
  <c r="O361" i="13"/>
  <c r="P361" i="13"/>
  <c r="O362" i="13"/>
  <c r="P362" i="13"/>
  <c r="O363" i="13"/>
  <c r="P363" i="13"/>
  <c r="O364" i="13"/>
  <c r="P364" i="13"/>
  <c r="O365" i="13"/>
  <c r="P365" i="13"/>
  <c r="O366" i="13"/>
  <c r="P366" i="13"/>
  <c r="O367" i="13"/>
  <c r="P367" i="13"/>
  <c r="O368" i="13"/>
  <c r="P368" i="13"/>
  <c r="O369" i="13"/>
  <c r="P369" i="13"/>
  <c r="O370" i="13"/>
  <c r="P370" i="13"/>
  <c r="O371" i="13"/>
  <c r="P371" i="13"/>
  <c r="O372" i="13"/>
  <c r="P372" i="13"/>
  <c r="O373" i="13"/>
  <c r="P373" i="13"/>
  <c r="O374" i="13"/>
  <c r="P374" i="13"/>
  <c r="O375" i="13"/>
  <c r="P375" i="13"/>
  <c r="O376" i="13"/>
  <c r="P376" i="13"/>
  <c r="O377" i="13"/>
  <c r="P377" i="13"/>
  <c r="O378" i="13"/>
  <c r="P378" i="13"/>
  <c r="O379" i="13"/>
  <c r="P379" i="13"/>
  <c r="O380" i="13"/>
  <c r="P380" i="13"/>
  <c r="O381" i="13"/>
  <c r="P381" i="13"/>
  <c r="O382" i="13"/>
  <c r="P382" i="13"/>
  <c r="O383" i="13"/>
  <c r="P383" i="13"/>
  <c r="O384" i="13"/>
  <c r="P384" i="13"/>
  <c r="O385" i="13"/>
  <c r="P385" i="13"/>
  <c r="O386" i="13"/>
  <c r="P386" i="13"/>
  <c r="O387" i="13"/>
  <c r="P387" i="13"/>
  <c r="O388" i="13"/>
  <c r="P388" i="13"/>
  <c r="O389" i="13"/>
  <c r="P389" i="13"/>
  <c r="O390" i="13"/>
  <c r="P390" i="13"/>
  <c r="O391" i="13"/>
  <c r="P391" i="13"/>
  <c r="O392" i="13"/>
  <c r="P392" i="13"/>
  <c r="O393" i="13"/>
  <c r="P393" i="13"/>
  <c r="O394" i="13"/>
  <c r="P394" i="13"/>
  <c r="O395" i="13"/>
  <c r="P395" i="13"/>
  <c r="O396" i="13"/>
  <c r="P396" i="13"/>
  <c r="O397" i="13"/>
  <c r="P397" i="13"/>
  <c r="O398" i="13"/>
  <c r="P398" i="13"/>
  <c r="O399" i="13"/>
  <c r="P399" i="13"/>
  <c r="O400" i="13"/>
  <c r="P400" i="13"/>
  <c r="O401" i="13"/>
  <c r="P401" i="13"/>
  <c r="O402" i="13"/>
  <c r="P402" i="13"/>
  <c r="O403" i="13"/>
  <c r="P403" i="13"/>
  <c r="O404" i="13"/>
  <c r="P404" i="13"/>
  <c r="O405" i="13"/>
  <c r="P405" i="13"/>
  <c r="O406" i="13"/>
  <c r="P406" i="13"/>
  <c r="O407" i="13"/>
  <c r="P407" i="13"/>
  <c r="O408" i="13"/>
  <c r="P408" i="13"/>
  <c r="O409" i="13"/>
  <c r="P409" i="13"/>
  <c r="O410" i="13"/>
  <c r="P410" i="13"/>
  <c r="O411" i="13"/>
  <c r="P411" i="13"/>
  <c r="O412" i="13"/>
  <c r="P412" i="13"/>
  <c r="O413" i="13"/>
  <c r="P413" i="13"/>
  <c r="O414" i="13"/>
  <c r="P414" i="13"/>
  <c r="O415" i="13"/>
  <c r="P415" i="13"/>
  <c r="O416" i="13"/>
  <c r="P416" i="13"/>
  <c r="O417" i="13"/>
  <c r="P417" i="13"/>
  <c r="O418" i="13"/>
  <c r="P418" i="13"/>
  <c r="O419" i="13"/>
  <c r="P419" i="13"/>
  <c r="O420" i="13"/>
  <c r="P420" i="13"/>
  <c r="O421" i="13"/>
  <c r="P421" i="13"/>
  <c r="O422" i="13"/>
  <c r="P422" i="13"/>
  <c r="O423" i="13"/>
  <c r="P423" i="13"/>
  <c r="O424" i="13"/>
  <c r="P424" i="13"/>
  <c r="O425" i="13"/>
  <c r="P425" i="13"/>
  <c r="O426" i="13"/>
  <c r="P426" i="13"/>
  <c r="O427" i="13"/>
  <c r="P427" i="13"/>
  <c r="O428" i="13"/>
  <c r="P428" i="13"/>
  <c r="O429" i="13"/>
  <c r="P429" i="13"/>
  <c r="O430" i="13"/>
  <c r="P430" i="13"/>
  <c r="O431" i="13"/>
  <c r="P431" i="13"/>
  <c r="O432" i="13"/>
  <c r="P432" i="13"/>
  <c r="O433" i="13"/>
  <c r="P433" i="13"/>
  <c r="O434" i="13"/>
  <c r="P434" i="13"/>
  <c r="O435" i="13"/>
  <c r="P435" i="13"/>
  <c r="O436" i="13"/>
  <c r="P436" i="13"/>
  <c r="O437" i="13"/>
  <c r="P437" i="13"/>
  <c r="O438" i="13"/>
  <c r="P438" i="13"/>
  <c r="O439" i="13"/>
  <c r="P439" i="13"/>
  <c r="O440" i="13"/>
  <c r="P440" i="13"/>
  <c r="O441" i="13"/>
  <c r="P441" i="13"/>
  <c r="O442" i="13"/>
  <c r="P442" i="13"/>
  <c r="O443" i="13"/>
  <c r="P443" i="13"/>
  <c r="O444" i="13"/>
  <c r="P444" i="13"/>
  <c r="O445" i="13"/>
  <c r="P445" i="13"/>
  <c r="O446" i="13"/>
  <c r="P446" i="13"/>
  <c r="O447" i="13"/>
  <c r="P447" i="13"/>
  <c r="O448" i="13"/>
  <c r="P448" i="13"/>
  <c r="O449" i="13"/>
  <c r="P449" i="13"/>
  <c r="O450" i="13"/>
  <c r="P450" i="13"/>
  <c r="O451" i="13"/>
  <c r="P451" i="13"/>
  <c r="O452" i="13"/>
  <c r="P452" i="13"/>
  <c r="O453" i="13"/>
  <c r="P453" i="13"/>
  <c r="O454" i="13"/>
  <c r="P454" i="13"/>
  <c r="O455" i="13"/>
  <c r="P455" i="13"/>
  <c r="O456" i="13"/>
  <c r="P456" i="13"/>
  <c r="O457" i="13"/>
  <c r="P457" i="13"/>
  <c r="O458" i="13"/>
  <c r="P458" i="13"/>
  <c r="O459" i="13"/>
  <c r="P459" i="13"/>
  <c r="O460" i="13"/>
  <c r="P460" i="13"/>
  <c r="O461" i="13"/>
  <c r="P461" i="13"/>
  <c r="O462" i="13"/>
  <c r="P462" i="13"/>
  <c r="O463" i="13"/>
  <c r="P463" i="13"/>
  <c r="O464" i="13"/>
  <c r="P464" i="13"/>
  <c r="O465" i="13"/>
  <c r="P465" i="13"/>
  <c r="O466" i="13"/>
  <c r="P466" i="13"/>
  <c r="O467" i="13"/>
  <c r="P467" i="13"/>
  <c r="O468" i="13"/>
  <c r="P468" i="13"/>
  <c r="O469" i="13"/>
  <c r="P469" i="13"/>
  <c r="O470" i="13"/>
  <c r="P470" i="13"/>
  <c r="O471" i="13"/>
  <c r="P471" i="13"/>
  <c r="O472" i="13"/>
  <c r="P472" i="13"/>
  <c r="O473" i="13"/>
  <c r="P473" i="13"/>
  <c r="O474" i="13"/>
  <c r="P474" i="13"/>
  <c r="O475" i="13"/>
  <c r="P475" i="13"/>
  <c r="O476" i="13"/>
  <c r="P476" i="13"/>
  <c r="O477" i="13"/>
  <c r="P477" i="13"/>
  <c r="O478" i="13"/>
  <c r="P478" i="13"/>
  <c r="O479" i="13"/>
  <c r="P479" i="13"/>
  <c r="O480" i="13"/>
  <c r="P480" i="13"/>
  <c r="O481" i="13"/>
  <c r="P481" i="13"/>
  <c r="O482" i="13"/>
  <c r="P482" i="13"/>
  <c r="O483" i="13"/>
  <c r="P483" i="13"/>
  <c r="O484" i="13"/>
  <c r="P484" i="13"/>
  <c r="O485" i="13"/>
  <c r="P485" i="13"/>
  <c r="O486" i="13"/>
  <c r="P486" i="13"/>
  <c r="O487" i="13"/>
  <c r="P487" i="13"/>
  <c r="O488" i="13"/>
  <c r="P488" i="13"/>
  <c r="O489" i="13"/>
  <c r="P489" i="13"/>
  <c r="O490" i="13"/>
  <c r="P490" i="13"/>
  <c r="O491" i="13"/>
  <c r="P491" i="13"/>
  <c r="O492" i="13"/>
  <c r="P492" i="13"/>
  <c r="O493" i="13"/>
  <c r="P493" i="13"/>
  <c r="O494" i="13"/>
  <c r="P494" i="13"/>
  <c r="O495" i="13"/>
  <c r="P495" i="13"/>
  <c r="O496" i="13"/>
  <c r="P496" i="13"/>
  <c r="O497" i="13"/>
  <c r="P497" i="13"/>
  <c r="O498" i="13"/>
  <c r="P498" i="13"/>
  <c r="O499" i="13"/>
  <c r="P499" i="13"/>
  <c r="O500" i="13"/>
  <c r="P500" i="13"/>
  <c r="O501" i="13"/>
  <c r="P501" i="13"/>
  <c r="O502" i="13"/>
  <c r="P502" i="13"/>
  <c r="O503" i="13"/>
  <c r="P503" i="13"/>
  <c r="O504" i="13"/>
  <c r="P504" i="13"/>
  <c r="O505" i="13"/>
  <c r="P505" i="13"/>
  <c r="O506" i="13"/>
  <c r="P506" i="13"/>
  <c r="O507" i="13"/>
  <c r="P507" i="13"/>
  <c r="O508" i="13"/>
  <c r="P508" i="13"/>
  <c r="O509" i="13"/>
  <c r="P509" i="13"/>
  <c r="O510" i="13"/>
  <c r="P510" i="13"/>
  <c r="O511" i="13"/>
  <c r="P511" i="13"/>
  <c r="O512" i="13"/>
  <c r="P512" i="13"/>
  <c r="O513" i="13"/>
  <c r="P513" i="13"/>
  <c r="O514" i="13"/>
  <c r="P514" i="13"/>
  <c r="O515" i="13"/>
  <c r="P515" i="13"/>
  <c r="O516" i="13"/>
  <c r="P516" i="13"/>
  <c r="O517" i="13"/>
  <c r="P517" i="13"/>
  <c r="O518" i="13"/>
  <c r="P518" i="13"/>
  <c r="O519" i="13"/>
  <c r="P519" i="13"/>
  <c r="O520" i="13"/>
  <c r="P520" i="13"/>
  <c r="O521" i="13"/>
  <c r="P521" i="13"/>
  <c r="O522" i="13"/>
  <c r="P522" i="13"/>
  <c r="O523" i="13"/>
  <c r="P523" i="13"/>
  <c r="O524" i="13"/>
  <c r="P524" i="13"/>
  <c r="O525" i="13"/>
  <c r="P525" i="13"/>
  <c r="O526" i="13"/>
  <c r="P526" i="13"/>
  <c r="O527" i="13"/>
  <c r="P527" i="13"/>
  <c r="O528" i="13"/>
  <c r="P528" i="13"/>
  <c r="O529" i="13"/>
  <c r="P529" i="13"/>
  <c r="O530" i="13"/>
  <c r="P530" i="13"/>
  <c r="O531" i="13"/>
  <c r="P531" i="13"/>
  <c r="O532" i="13"/>
  <c r="P532" i="13"/>
  <c r="O533" i="13"/>
  <c r="P533" i="13"/>
  <c r="O534" i="13"/>
  <c r="P534" i="13"/>
  <c r="O535" i="13"/>
  <c r="P535" i="13"/>
  <c r="O536" i="13"/>
  <c r="P536" i="13"/>
  <c r="O537" i="13"/>
  <c r="P537" i="13"/>
  <c r="O538" i="13"/>
  <c r="P538" i="13"/>
  <c r="O539" i="13"/>
  <c r="P539" i="13"/>
  <c r="O540" i="13"/>
  <c r="P540" i="13"/>
  <c r="O541" i="13"/>
  <c r="P541" i="13"/>
  <c r="O542" i="13"/>
  <c r="P542" i="13"/>
  <c r="O543" i="13"/>
  <c r="P543" i="13"/>
  <c r="O544" i="13"/>
  <c r="P544" i="13"/>
  <c r="O545" i="13"/>
  <c r="P545" i="13"/>
  <c r="O546" i="13"/>
  <c r="P546" i="13"/>
  <c r="O547" i="13"/>
  <c r="P547" i="13"/>
  <c r="O548" i="13"/>
  <c r="P548" i="13"/>
  <c r="O549" i="13"/>
  <c r="P549" i="13"/>
  <c r="O550" i="13"/>
  <c r="P550" i="13"/>
  <c r="O551" i="13"/>
  <c r="P551" i="13"/>
  <c r="O552" i="13"/>
  <c r="P552" i="13"/>
  <c r="O553" i="13"/>
  <c r="P553" i="13"/>
  <c r="O554" i="13"/>
  <c r="P554" i="13"/>
  <c r="O555" i="13"/>
  <c r="P555" i="13"/>
  <c r="O556" i="13"/>
  <c r="P556" i="13"/>
  <c r="O557" i="13"/>
  <c r="P557" i="13"/>
  <c r="O558" i="13"/>
  <c r="P558" i="13"/>
  <c r="O559" i="13"/>
  <c r="P559" i="13"/>
  <c r="O560" i="13"/>
  <c r="P560" i="13"/>
  <c r="O561" i="13"/>
  <c r="P561" i="13"/>
  <c r="O562" i="13"/>
  <c r="P562" i="13"/>
  <c r="O563" i="13"/>
  <c r="P563" i="13"/>
  <c r="O564" i="13"/>
  <c r="P564" i="13"/>
  <c r="O565" i="13"/>
  <c r="P565" i="13"/>
  <c r="O566" i="13"/>
  <c r="P566" i="13"/>
  <c r="O567" i="13"/>
  <c r="P567" i="13"/>
  <c r="O568" i="13"/>
  <c r="P568" i="13"/>
  <c r="O569" i="13"/>
  <c r="P569" i="13"/>
  <c r="O570" i="13"/>
  <c r="P570" i="13"/>
  <c r="O571" i="13"/>
  <c r="P571" i="13"/>
  <c r="O572" i="13"/>
  <c r="P572" i="13"/>
  <c r="O573" i="13"/>
  <c r="P573" i="13"/>
  <c r="O574" i="13"/>
  <c r="P574" i="13"/>
  <c r="O575" i="13"/>
  <c r="P575" i="13"/>
  <c r="O576" i="13"/>
  <c r="P576" i="13"/>
  <c r="O577" i="13"/>
  <c r="P577" i="13"/>
  <c r="O578" i="13"/>
  <c r="P578" i="13"/>
  <c r="O579" i="13"/>
  <c r="P579" i="13"/>
  <c r="O580" i="13"/>
  <c r="P580" i="13"/>
  <c r="O581" i="13"/>
  <c r="P581" i="13"/>
  <c r="O582" i="13"/>
  <c r="P582" i="13"/>
  <c r="O583" i="13"/>
  <c r="P583" i="13"/>
  <c r="O584" i="13"/>
  <c r="P584" i="13"/>
  <c r="O585" i="13"/>
  <c r="P585" i="13"/>
  <c r="O586" i="13"/>
  <c r="P586" i="13"/>
  <c r="O587" i="13"/>
  <c r="P587" i="13"/>
  <c r="O588" i="13"/>
  <c r="P588" i="13"/>
  <c r="O589" i="13"/>
  <c r="P589" i="13"/>
  <c r="O590" i="13"/>
  <c r="P590" i="13"/>
  <c r="O591" i="13"/>
  <c r="P591" i="13"/>
  <c r="O592" i="13"/>
  <c r="P592" i="13"/>
  <c r="O593" i="13"/>
  <c r="P593" i="13"/>
  <c r="O594" i="13"/>
  <c r="P594" i="13"/>
  <c r="O595" i="13"/>
  <c r="P595" i="13"/>
  <c r="O596" i="13"/>
  <c r="P596" i="13"/>
  <c r="O597" i="13"/>
  <c r="P597" i="13"/>
  <c r="O598" i="13"/>
  <c r="P598" i="13"/>
  <c r="O599" i="13"/>
  <c r="P599" i="13"/>
  <c r="O600" i="13"/>
  <c r="P600" i="13"/>
  <c r="O601" i="13"/>
  <c r="P601" i="13"/>
  <c r="O602" i="13"/>
  <c r="P602" i="13"/>
  <c r="O603" i="13"/>
  <c r="P603" i="13"/>
  <c r="O604" i="13"/>
  <c r="P604" i="13"/>
  <c r="O605" i="13"/>
  <c r="P605" i="13"/>
  <c r="O606" i="13"/>
  <c r="P606" i="13"/>
  <c r="O607" i="13"/>
  <c r="P607" i="13"/>
  <c r="O608" i="13"/>
  <c r="P608" i="13"/>
  <c r="O609" i="13"/>
  <c r="P609" i="13"/>
  <c r="O610" i="13"/>
  <c r="P610" i="13"/>
  <c r="O611" i="13"/>
  <c r="P611" i="13"/>
  <c r="O612" i="13"/>
  <c r="P612" i="13"/>
  <c r="O613" i="13"/>
  <c r="P613" i="13"/>
  <c r="O614" i="13"/>
  <c r="P614" i="13"/>
  <c r="O615" i="13"/>
  <c r="P615" i="13"/>
  <c r="O616" i="13"/>
  <c r="P616" i="13"/>
  <c r="O617" i="13"/>
  <c r="P617" i="13"/>
  <c r="O618" i="13"/>
  <c r="P618" i="13"/>
  <c r="O619" i="13"/>
  <c r="P619" i="13"/>
  <c r="O620" i="13"/>
  <c r="P620" i="13"/>
  <c r="O621" i="13"/>
  <c r="P621" i="13"/>
  <c r="O622" i="13"/>
  <c r="P622" i="13"/>
  <c r="O623" i="13"/>
  <c r="P623" i="13"/>
  <c r="O624" i="13"/>
  <c r="P624" i="13"/>
  <c r="O625" i="13"/>
  <c r="P625" i="13"/>
  <c r="O626" i="13"/>
  <c r="P626" i="13"/>
  <c r="O627" i="13"/>
  <c r="P627" i="13"/>
  <c r="O628" i="13"/>
  <c r="P628" i="13"/>
  <c r="O629" i="13"/>
  <c r="P629" i="13"/>
  <c r="O630" i="13"/>
  <c r="P630" i="13"/>
  <c r="O631" i="13"/>
  <c r="P631" i="13"/>
  <c r="O632" i="13"/>
  <c r="P632" i="13"/>
  <c r="O633" i="13"/>
  <c r="P633" i="13"/>
  <c r="O634" i="13"/>
  <c r="P634" i="13"/>
  <c r="O635" i="13"/>
  <c r="P635" i="13"/>
  <c r="O636" i="13"/>
  <c r="P636" i="13"/>
  <c r="O637" i="13"/>
  <c r="P637" i="13"/>
  <c r="O638" i="13"/>
  <c r="P638" i="13"/>
  <c r="O639" i="13"/>
  <c r="P639" i="13"/>
  <c r="O640" i="13"/>
  <c r="P640" i="13"/>
  <c r="O641" i="13"/>
  <c r="P641" i="13"/>
  <c r="O642" i="13"/>
  <c r="P642" i="13"/>
  <c r="O643" i="13"/>
  <c r="P643" i="13"/>
  <c r="O644" i="13"/>
  <c r="P644" i="13"/>
  <c r="O645" i="13"/>
  <c r="P645" i="13"/>
  <c r="O646" i="13"/>
  <c r="P646" i="13"/>
  <c r="O647" i="13"/>
  <c r="P647" i="13"/>
  <c r="O648" i="13"/>
  <c r="P648" i="13"/>
  <c r="O649" i="13"/>
  <c r="P649" i="13"/>
  <c r="O650" i="13"/>
  <c r="P650" i="13"/>
  <c r="O651" i="13"/>
  <c r="P651" i="13"/>
  <c r="O652" i="13"/>
  <c r="P652" i="13"/>
  <c r="O653" i="13"/>
  <c r="P653" i="13"/>
  <c r="O654" i="13"/>
  <c r="P654" i="13"/>
  <c r="O655" i="13"/>
  <c r="P655" i="13"/>
  <c r="O656" i="13"/>
  <c r="P656" i="13"/>
  <c r="O657" i="13"/>
  <c r="P657" i="13"/>
  <c r="O658" i="13"/>
  <c r="P658" i="13"/>
  <c r="O659" i="13"/>
  <c r="P659" i="13"/>
  <c r="O660" i="13"/>
  <c r="P660" i="13"/>
  <c r="O661" i="13"/>
  <c r="P661" i="13"/>
  <c r="O662" i="13"/>
  <c r="P662" i="13"/>
  <c r="O663" i="13"/>
  <c r="P663" i="13"/>
  <c r="O664" i="13"/>
  <c r="P664" i="13"/>
  <c r="O665" i="13"/>
  <c r="P665" i="13"/>
  <c r="O666" i="13"/>
  <c r="P666" i="13"/>
  <c r="O667" i="13"/>
  <c r="P667" i="13"/>
  <c r="O668" i="13"/>
  <c r="P668" i="13"/>
  <c r="O669" i="13"/>
  <c r="P669" i="13"/>
  <c r="O670" i="13"/>
  <c r="P670" i="13"/>
  <c r="O671" i="13"/>
  <c r="P671" i="13"/>
  <c r="O672" i="13"/>
  <c r="P672" i="13"/>
  <c r="O673" i="13"/>
  <c r="P673" i="13"/>
  <c r="O674" i="13"/>
  <c r="P674" i="13"/>
  <c r="O675" i="13"/>
  <c r="P675" i="13"/>
  <c r="O676" i="13"/>
  <c r="P676" i="13"/>
  <c r="O677" i="13"/>
  <c r="P677" i="13"/>
  <c r="O678" i="13"/>
  <c r="P678" i="13"/>
  <c r="O679" i="13"/>
  <c r="P679" i="13"/>
  <c r="O680" i="13"/>
  <c r="P680" i="13"/>
  <c r="O681" i="13"/>
  <c r="P681" i="13"/>
  <c r="O7" i="12"/>
  <c r="P7" i="12"/>
  <c r="O8" i="12"/>
  <c r="P8" i="12"/>
  <c r="O9" i="12"/>
  <c r="P9" i="12"/>
  <c r="O10" i="12"/>
  <c r="P10" i="12"/>
  <c r="O11" i="12"/>
  <c r="P11" i="12"/>
  <c r="O12" i="12"/>
  <c r="P12" i="12"/>
  <c r="O13" i="12"/>
  <c r="P13" i="12"/>
  <c r="O14" i="12"/>
  <c r="P14" i="12"/>
  <c r="O15" i="12"/>
  <c r="P15" i="12"/>
  <c r="O16" i="12"/>
  <c r="P16" i="12"/>
  <c r="O17" i="12"/>
  <c r="P17" i="12"/>
  <c r="O18" i="12"/>
  <c r="P18" i="12"/>
  <c r="O19" i="12"/>
  <c r="P19" i="12"/>
  <c r="O20" i="12"/>
  <c r="P20" i="12"/>
  <c r="O21" i="12"/>
  <c r="P21" i="12"/>
  <c r="O22" i="12"/>
  <c r="P22" i="12"/>
  <c r="O23" i="12"/>
  <c r="P23" i="12"/>
  <c r="O24" i="12"/>
  <c r="P24" i="12"/>
  <c r="O25" i="12"/>
  <c r="P25" i="12"/>
  <c r="O26" i="12"/>
  <c r="P26" i="12"/>
  <c r="O27" i="12"/>
  <c r="P27" i="12"/>
  <c r="O28" i="12"/>
  <c r="P28" i="12"/>
  <c r="O29" i="12"/>
  <c r="P29" i="12"/>
  <c r="O30" i="12"/>
  <c r="P30" i="12"/>
  <c r="O31" i="12"/>
  <c r="P31" i="12"/>
  <c r="O32" i="12"/>
  <c r="P32" i="12"/>
  <c r="O33" i="12"/>
  <c r="P33" i="12"/>
  <c r="O34" i="12"/>
  <c r="P34" i="12"/>
  <c r="O35" i="12"/>
  <c r="P35" i="12"/>
  <c r="O36" i="12"/>
  <c r="P36" i="12"/>
  <c r="O37" i="12"/>
  <c r="P37" i="12"/>
  <c r="O38" i="12"/>
  <c r="P38" i="12"/>
  <c r="O39" i="12"/>
  <c r="P39" i="12"/>
  <c r="O40" i="12"/>
  <c r="P40" i="12"/>
  <c r="O41" i="12"/>
  <c r="P41" i="12"/>
  <c r="O42" i="12"/>
  <c r="P42" i="12"/>
  <c r="O43" i="12"/>
  <c r="P43" i="12"/>
  <c r="O44" i="12"/>
  <c r="P44" i="12"/>
  <c r="O45" i="12"/>
  <c r="P45" i="12"/>
  <c r="O46" i="12"/>
  <c r="P46" i="12"/>
  <c r="O47" i="12"/>
  <c r="P47" i="12"/>
  <c r="O48" i="12"/>
  <c r="P48" i="12"/>
  <c r="O49" i="12"/>
  <c r="P49" i="12"/>
  <c r="O50" i="12"/>
  <c r="P50" i="12"/>
  <c r="O51" i="12"/>
  <c r="P51" i="12"/>
  <c r="O52" i="12"/>
  <c r="P52" i="12"/>
  <c r="O53" i="12"/>
  <c r="P53" i="12"/>
  <c r="O54" i="12"/>
  <c r="P54" i="12"/>
  <c r="O55" i="12"/>
  <c r="P55" i="12"/>
  <c r="O56" i="12"/>
  <c r="P56" i="12"/>
  <c r="O57" i="12"/>
  <c r="P57" i="12"/>
  <c r="O58" i="12"/>
  <c r="P58" i="12"/>
  <c r="O59" i="12"/>
  <c r="P59" i="12"/>
  <c r="O60" i="12"/>
  <c r="P60" i="12"/>
  <c r="O61" i="12"/>
  <c r="P61" i="12"/>
  <c r="O62" i="12"/>
  <c r="P62" i="12"/>
  <c r="O63" i="12"/>
  <c r="P63" i="12"/>
  <c r="O64" i="12"/>
  <c r="P64" i="12"/>
  <c r="O65" i="12"/>
  <c r="P65" i="12"/>
  <c r="O66" i="12"/>
  <c r="P66" i="12"/>
  <c r="O67" i="12"/>
  <c r="P67" i="12"/>
  <c r="O68" i="12"/>
  <c r="P68" i="12"/>
  <c r="O69" i="12"/>
  <c r="P69" i="12"/>
  <c r="O70" i="12"/>
  <c r="P70" i="12"/>
  <c r="O71" i="12"/>
  <c r="P71" i="12"/>
  <c r="O72" i="12"/>
  <c r="P72" i="12"/>
  <c r="O73" i="12"/>
  <c r="P73" i="12"/>
  <c r="O74" i="12"/>
  <c r="P74" i="12"/>
  <c r="O75" i="12"/>
  <c r="P75" i="12"/>
  <c r="O76" i="12"/>
  <c r="P76" i="12"/>
  <c r="O77" i="12"/>
  <c r="P77" i="12"/>
  <c r="O78" i="12"/>
  <c r="P78" i="12"/>
  <c r="O79" i="12"/>
  <c r="P79" i="12"/>
  <c r="O80" i="12"/>
  <c r="P80" i="12"/>
  <c r="O81" i="12"/>
  <c r="P81" i="12"/>
  <c r="O82" i="12"/>
  <c r="P82" i="12"/>
  <c r="O83" i="12"/>
  <c r="P83" i="12"/>
  <c r="O84" i="12"/>
  <c r="P84" i="12"/>
  <c r="O85" i="12"/>
  <c r="P85" i="12"/>
  <c r="O86" i="12"/>
  <c r="P86" i="12"/>
  <c r="O87" i="12"/>
  <c r="P87" i="12"/>
  <c r="O88" i="12"/>
  <c r="P88" i="12"/>
  <c r="O89" i="12"/>
  <c r="P89" i="12"/>
  <c r="O90" i="12"/>
  <c r="P90" i="12"/>
  <c r="O91" i="12"/>
  <c r="P91" i="12"/>
  <c r="O92" i="12"/>
  <c r="P92" i="12"/>
  <c r="O93" i="12"/>
  <c r="P93" i="12"/>
  <c r="O94" i="12"/>
  <c r="P94" i="12"/>
  <c r="O95" i="12"/>
  <c r="P95" i="12"/>
  <c r="O96" i="12"/>
  <c r="P96" i="12"/>
  <c r="O97" i="12"/>
  <c r="P97" i="12"/>
  <c r="O98" i="12"/>
  <c r="P98" i="12"/>
  <c r="O99" i="12"/>
  <c r="P99" i="12"/>
  <c r="O100" i="12"/>
  <c r="P100" i="12"/>
  <c r="O101" i="12"/>
  <c r="P101" i="12"/>
  <c r="O102" i="12"/>
  <c r="P102" i="12"/>
  <c r="O103" i="12"/>
  <c r="P103" i="12"/>
  <c r="O104" i="12"/>
  <c r="P104" i="12"/>
  <c r="O105" i="12"/>
  <c r="P105" i="12"/>
  <c r="O106" i="12"/>
  <c r="P106" i="12"/>
  <c r="O107" i="12"/>
  <c r="P107" i="12"/>
  <c r="O108" i="12"/>
  <c r="P108" i="12"/>
  <c r="O109" i="12"/>
  <c r="P109" i="12"/>
  <c r="O110" i="12"/>
  <c r="P110" i="12"/>
  <c r="O111" i="12"/>
  <c r="P111" i="12"/>
  <c r="O112" i="12"/>
  <c r="P112" i="12"/>
  <c r="O113" i="12"/>
  <c r="P113" i="12"/>
  <c r="O114" i="12"/>
  <c r="P114" i="12"/>
  <c r="O115" i="12"/>
  <c r="P115" i="12"/>
  <c r="O116" i="12"/>
  <c r="P116" i="12"/>
  <c r="O117" i="12"/>
  <c r="P117" i="12"/>
  <c r="O118" i="12"/>
  <c r="P118" i="12"/>
  <c r="O119" i="12"/>
  <c r="P119" i="12"/>
  <c r="O120" i="12"/>
  <c r="P120" i="12"/>
  <c r="O121" i="12"/>
  <c r="P121" i="12"/>
  <c r="O122" i="12"/>
  <c r="P122" i="12"/>
  <c r="O123" i="12"/>
  <c r="P123" i="12"/>
  <c r="O124" i="12"/>
  <c r="P124" i="12"/>
  <c r="O125" i="12"/>
  <c r="P125" i="12"/>
  <c r="O126" i="12"/>
  <c r="P126" i="12"/>
  <c r="O127" i="12"/>
  <c r="P127" i="12"/>
  <c r="O128" i="12"/>
  <c r="P128" i="12"/>
  <c r="O129" i="12"/>
  <c r="P129" i="12"/>
  <c r="O130" i="12"/>
  <c r="P130" i="12"/>
  <c r="O131" i="12"/>
  <c r="P131" i="12"/>
  <c r="O132" i="12"/>
  <c r="P132" i="12"/>
  <c r="O133" i="12"/>
  <c r="P133" i="12"/>
  <c r="O134" i="12"/>
  <c r="P134" i="12"/>
  <c r="O135" i="12"/>
  <c r="P135" i="12"/>
  <c r="O136" i="12"/>
  <c r="P136" i="12"/>
  <c r="O137" i="12"/>
  <c r="P137" i="12"/>
  <c r="O138" i="12"/>
  <c r="P138" i="12"/>
  <c r="O139" i="12"/>
  <c r="P139" i="12"/>
  <c r="O140" i="12"/>
  <c r="P140" i="12"/>
  <c r="O141" i="12"/>
  <c r="P141" i="12"/>
  <c r="O142" i="12"/>
  <c r="P142" i="12"/>
  <c r="O143" i="12"/>
  <c r="P143" i="12"/>
  <c r="O144" i="12"/>
  <c r="P144" i="12"/>
  <c r="O145" i="12"/>
  <c r="P145" i="12"/>
  <c r="O146" i="12"/>
  <c r="P146" i="12"/>
  <c r="O147" i="12"/>
  <c r="P147" i="12"/>
  <c r="O148" i="12"/>
  <c r="P148" i="12"/>
  <c r="O149" i="12"/>
  <c r="P149" i="12"/>
  <c r="O150" i="12"/>
  <c r="P150" i="12"/>
  <c r="O151" i="12"/>
  <c r="P151" i="12"/>
  <c r="O152" i="12"/>
  <c r="P152" i="12"/>
  <c r="O153" i="12"/>
  <c r="P153" i="12"/>
  <c r="O154" i="12"/>
  <c r="P154" i="12"/>
  <c r="O155" i="12"/>
  <c r="P155" i="12"/>
  <c r="O156" i="12"/>
  <c r="P156" i="12"/>
  <c r="O157" i="12"/>
  <c r="P157" i="12"/>
  <c r="O158" i="12"/>
  <c r="P158" i="12"/>
  <c r="O159" i="12"/>
  <c r="P159" i="12"/>
  <c r="O160" i="12"/>
  <c r="P160" i="12"/>
  <c r="O161" i="12"/>
  <c r="P161" i="12"/>
  <c r="O162" i="12"/>
  <c r="P162" i="12"/>
  <c r="O163" i="12"/>
  <c r="P163" i="12"/>
  <c r="O164" i="12"/>
  <c r="P164" i="12"/>
  <c r="O165" i="12"/>
  <c r="P165" i="12"/>
  <c r="O166" i="12"/>
  <c r="P166" i="12"/>
  <c r="O167" i="12"/>
  <c r="P167" i="12"/>
  <c r="O168" i="12"/>
  <c r="P168" i="12"/>
  <c r="O169" i="12"/>
  <c r="P169" i="12"/>
  <c r="O170" i="12"/>
  <c r="P170" i="12"/>
  <c r="O171" i="12"/>
  <c r="P171" i="12"/>
  <c r="O172" i="12"/>
  <c r="P172" i="12"/>
  <c r="O173" i="12"/>
  <c r="P173" i="12"/>
  <c r="O174" i="12"/>
  <c r="P174" i="12"/>
  <c r="O175" i="12"/>
  <c r="P175" i="12"/>
  <c r="O176" i="12"/>
  <c r="P176" i="12"/>
  <c r="O177" i="12"/>
  <c r="P177" i="12"/>
  <c r="O178" i="12"/>
  <c r="P178" i="12"/>
  <c r="O179" i="12"/>
  <c r="P179" i="12"/>
  <c r="O180" i="12"/>
  <c r="P180" i="12"/>
  <c r="O181" i="12"/>
  <c r="P181" i="12"/>
  <c r="O182" i="12"/>
  <c r="P182" i="12"/>
  <c r="O183" i="12"/>
  <c r="P183" i="12"/>
  <c r="O184" i="12"/>
  <c r="P184" i="12"/>
  <c r="O185" i="12"/>
  <c r="P185" i="12"/>
  <c r="O186" i="12"/>
  <c r="P186" i="12"/>
  <c r="O187" i="12"/>
  <c r="P187" i="12"/>
  <c r="O188" i="12"/>
  <c r="P188" i="12"/>
  <c r="O189" i="12"/>
  <c r="P189" i="12"/>
  <c r="O190" i="12"/>
  <c r="P190" i="12"/>
  <c r="O191" i="12"/>
  <c r="P191" i="12"/>
  <c r="O192" i="12"/>
  <c r="P192" i="12"/>
  <c r="O193" i="12"/>
  <c r="P193" i="12"/>
  <c r="O194" i="12"/>
  <c r="P194" i="12"/>
  <c r="O195" i="12"/>
  <c r="P195" i="12"/>
  <c r="O196" i="12"/>
  <c r="P196" i="12"/>
  <c r="O197" i="12"/>
  <c r="P197" i="12"/>
  <c r="O198" i="12"/>
  <c r="P198" i="12"/>
  <c r="O199" i="12"/>
  <c r="P199" i="12"/>
  <c r="O200" i="12"/>
  <c r="P200" i="12"/>
  <c r="O201" i="12"/>
  <c r="P201" i="12"/>
  <c r="O202" i="12"/>
  <c r="P202" i="12"/>
  <c r="O203" i="12"/>
  <c r="P203" i="12"/>
  <c r="O204" i="12"/>
  <c r="P204" i="12"/>
  <c r="O205" i="12"/>
  <c r="P205" i="12"/>
  <c r="O206" i="12"/>
  <c r="P206" i="12"/>
  <c r="O207" i="12"/>
  <c r="P207" i="12"/>
  <c r="O208" i="12"/>
  <c r="P208" i="12"/>
  <c r="O209" i="12"/>
  <c r="P209" i="12"/>
  <c r="O210" i="12"/>
  <c r="P210" i="12"/>
  <c r="O211" i="12"/>
  <c r="P211" i="12"/>
  <c r="O212" i="12"/>
  <c r="P212" i="12"/>
  <c r="O213" i="12"/>
  <c r="P213" i="12"/>
  <c r="O214" i="12"/>
  <c r="P214" i="12"/>
  <c r="O215" i="12"/>
  <c r="P215" i="12"/>
  <c r="O216" i="12"/>
  <c r="P216" i="12"/>
  <c r="O217" i="12"/>
  <c r="P217" i="12"/>
  <c r="O218" i="12"/>
  <c r="P218" i="12"/>
  <c r="O219" i="12"/>
  <c r="P219" i="12"/>
  <c r="O220" i="12"/>
  <c r="P220" i="12"/>
  <c r="O221" i="12"/>
  <c r="P221" i="12"/>
  <c r="O222" i="12"/>
  <c r="P222" i="12"/>
  <c r="O223" i="12"/>
  <c r="P223" i="12"/>
  <c r="O224" i="12"/>
  <c r="P224" i="12"/>
  <c r="O225" i="12"/>
  <c r="P225" i="12"/>
  <c r="O226" i="12"/>
  <c r="P226" i="12"/>
  <c r="O227" i="12"/>
  <c r="P227" i="12"/>
  <c r="O228" i="12"/>
  <c r="P228" i="12"/>
  <c r="O229" i="12"/>
  <c r="P229" i="12"/>
  <c r="O230" i="12"/>
  <c r="P230" i="12"/>
  <c r="O231" i="12"/>
  <c r="P231" i="12"/>
  <c r="O232" i="12"/>
  <c r="P232" i="12"/>
  <c r="O233" i="12"/>
  <c r="P233" i="12"/>
  <c r="O234" i="12"/>
  <c r="P234" i="12"/>
  <c r="O235" i="12"/>
  <c r="P235" i="12"/>
  <c r="O236" i="12"/>
  <c r="P236" i="12"/>
  <c r="O237" i="12"/>
  <c r="P237" i="12"/>
  <c r="O238" i="12"/>
  <c r="P238" i="12"/>
  <c r="O239" i="12"/>
  <c r="P239" i="12"/>
  <c r="O240" i="12"/>
  <c r="P240" i="12"/>
  <c r="O241" i="12"/>
  <c r="P241" i="12"/>
  <c r="O242" i="12"/>
  <c r="P242" i="12"/>
  <c r="O243" i="12"/>
  <c r="P243" i="12"/>
  <c r="O244" i="12"/>
  <c r="P244" i="12"/>
  <c r="O245" i="12"/>
  <c r="P245" i="12"/>
  <c r="O246" i="12"/>
  <c r="P246" i="12"/>
  <c r="O247" i="12"/>
  <c r="P247" i="12"/>
  <c r="O248" i="12"/>
  <c r="P248" i="12"/>
  <c r="O249" i="12"/>
  <c r="P249" i="12"/>
  <c r="O250" i="12"/>
  <c r="P250" i="12"/>
  <c r="O251" i="12"/>
  <c r="P251" i="12"/>
  <c r="O252" i="12"/>
  <c r="P252" i="12"/>
  <c r="O253" i="12"/>
  <c r="P253" i="12"/>
  <c r="O254" i="12"/>
  <c r="P254" i="12"/>
  <c r="O255" i="12"/>
  <c r="P255" i="12"/>
  <c r="O256" i="12"/>
  <c r="P256" i="12"/>
  <c r="O257" i="12"/>
  <c r="P257" i="12"/>
  <c r="O258" i="12"/>
  <c r="P258" i="12"/>
  <c r="O259" i="12"/>
  <c r="P259" i="12"/>
  <c r="O260" i="12"/>
  <c r="P260" i="12"/>
  <c r="O261" i="12"/>
  <c r="P261" i="12"/>
  <c r="O262" i="12"/>
  <c r="P262" i="12"/>
  <c r="O263" i="12"/>
  <c r="P263" i="12"/>
  <c r="O264" i="12"/>
  <c r="P264" i="12"/>
  <c r="O265" i="12"/>
  <c r="P265" i="12"/>
  <c r="O266" i="12"/>
  <c r="P266" i="12"/>
  <c r="O267" i="12"/>
  <c r="P267" i="12"/>
  <c r="O268" i="12"/>
  <c r="P268" i="12"/>
  <c r="O269" i="12"/>
  <c r="P269" i="12"/>
  <c r="O270" i="12"/>
  <c r="P270" i="12"/>
  <c r="O271" i="12"/>
  <c r="P271" i="12"/>
  <c r="O272" i="12"/>
  <c r="P272" i="12"/>
  <c r="O273" i="12"/>
  <c r="P273" i="12"/>
  <c r="O274" i="12"/>
  <c r="P274" i="12"/>
  <c r="O275" i="12"/>
  <c r="P275" i="12"/>
  <c r="O276" i="12"/>
  <c r="P276" i="12"/>
  <c r="O277" i="12"/>
  <c r="P277" i="12"/>
  <c r="O278" i="12"/>
  <c r="P278" i="12"/>
  <c r="O279" i="12"/>
  <c r="P279" i="12"/>
  <c r="O280" i="12"/>
  <c r="P280" i="12"/>
  <c r="O281" i="12"/>
  <c r="P281" i="12"/>
  <c r="O282" i="12"/>
  <c r="P282" i="12"/>
  <c r="O283" i="12"/>
  <c r="P283" i="12"/>
  <c r="O284" i="12"/>
  <c r="P284" i="12"/>
  <c r="O285" i="12"/>
  <c r="P285" i="12"/>
  <c r="O286" i="12"/>
  <c r="P286" i="12"/>
  <c r="O287" i="12"/>
  <c r="P287" i="12"/>
  <c r="O288" i="12"/>
  <c r="P288" i="12"/>
  <c r="O289" i="12"/>
  <c r="P289" i="12"/>
  <c r="O290" i="12"/>
  <c r="P290" i="12"/>
  <c r="O291" i="12"/>
  <c r="P291" i="12"/>
  <c r="O292" i="12"/>
  <c r="P292" i="12"/>
  <c r="O293" i="12"/>
  <c r="P293" i="12"/>
  <c r="O294" i="12"/>
  <c r="P294" i="12"/>
  <c r="O295" i="12"/>
  <c r="P295" i="12"/>
  <c r="O296" i="12"/>
  <c r="P296" i="12"/>
  <c r="O297" i="12"/>
  <c r="P297" i="12"/>
  <c r="O298" i="12"/>
  <c r="P298" i="12"/>
  <c r="O299" i="12"/>
  <c r="P299" i="12"/>
  <c r="O300" i="12"/>
  <c r="P300" i="12"/>
  <c r="O301" i="12"/>
  <c r="P301" i="12"/>
  <c r="O302" i="12"/>
  <c r="P302" i="12"/>
  <c r="O303" i="12"/>
  <c r="P303" i="12"/>
  <c r="O304" i="12"/>
  <c r="P304" i="12"/>
  <c r="O305" i="12"/>
  <c r="P305" i="12"/>
  <c r="O306" i="12"/>
  <c r="P306" i="12"/>
  <c r="O307" i="12"/>
  <c r="P307" i="12"/>
  <c r="O308" i="12"/>
  <c r="P308" i="12"/>
  <c r="O309" i="12"/>
  <c r="P309" i="12"/>
  <c r="O310" i="12"/>
  <c r="P310" i="12"/>
  <c r="O311" i="12"/>
  <c r="P311" i="12"/>
  <c r="O312" i="12"/>
  <c r="P312" i="12"/>
  <c r="O313" i="12"/>
  <c r="P313" i="12"/>
  <c r="O314" i="12"/>
  <c r="P314" i="12"/>
  <c r="O315" i="12"/>
  <c r="P315" i="12"/>
  <c r="O316" i="12"/>
  <c r="P316" i="12"/>
  <c r="O317" i="12"/>
  <c r="P317" i="12"/>
  <c r="O318" i="12"/>
  <c r="P318" i="12"/>
  <c r="O319" i="12"/>
  <c r="P319" i="12"/>
  <c r="O320" i="12"/>
  <c r="P320" i="12"/>
  <c r="O321" i="12"/>
  <c r="P321" i="12"/>
  <c r="O322" i="12"/>
  <c r="P322" i="12"/>
  <c r="O323" i="12"/>
  <c r="P323" i="12"/>
  <c r="O324" i="12"/>
  <c r="P324" i="12"/>
  <c r="O325" i="12"/>
  <c r="P325" i="12"/>
  <c r="O326" i="12"/>
  <c r="P326" i="12"/>
  <c r="O327" i="12"/>
  <c r="P327" i="12"/>
  <c r="O328" i="12"/>
  <c r="P328" i="12"/>
  <c r="O329" i="12"/>
  <c r="P329" i="12"/>
  <c r="O330" i="12"/>
  <c r="P330" i="12"/>
  <c r="O331" i="12"/>
  <c r="P331" i="12"/>
  <c r="O332" i="12"/>
  <c r="P332" i="12"/>
  <c r="O333" i="12"/>
  <c r="P333" i="12"/>
  <c r="O334" i="12"/>
  <c r="P334" i="12"/>
  <c r="O335" i="12"/>
  <c r="P335" i="12"/>
  <c r="O336" i="12"/>
  <c r="P336" i="12"/>
  <c r="O337" i="12"/>
  <c r="P337" i="12"/>
  <c r="O338" i="12"/>
  <c r="P338" i="12"/>
  <c r="O339" i="12"/>
  <c r="P339" i="12"/>
  <c r="O340" i="12"/>
  <c r="P340" i="12"/>
  <c r="O341" i="12"/>
  <c r="P341" i="12"/>
  <c r="O342" i="12"/>
  <c r="P342" i="12"/>
  <c r="O343" i="12"/>
  <c r="P343" i="12"/>
  <c r="O344" i="12"/>
  <c r="P344" i="12"/>
  <c r="O345" i="12"/>
  <c r="P345" i="12"/>
  <c r="O346" i="12"/>
  <c r="P346" i="12"/>
  <c r="O347" i="12"/>
  <c r="P347" i="12"/>
  <c r="O348" i="12"/>
  <c r="P348" i="12"/>
  <c r="O349" i="12"/>
  <c r="P349" i="12"/>
  <c r="O350" i="12"/>
  <c r="P350" i="12"/>
  <c r="O351" i="12"/>
  <c r="P351" i="12"/>
  <c r="O352" i="12"/>
  <c r="P352" i="12"/>
  <c r="O353" i="12"/>
  <c r="P353" i="12"/>
  <c r="O354" i="12"/>
  <c r="P354" i="12"/>
  <c r="O355" i="12"/>
  <c r="P355" i="12"/>
  <c r="O356" i="12"/>
  <c r="P356" i="12"/>
  <c r="O357" i="12"/>
  <c r="P357" i="12"/>
  <c r="O358" i="12"/>
  <c r="P358" i="12"/>
  <c r="O359" i="12"/>
  <c r="P359" i="12"/>
  <c r="O360" i="12"/>
  <c r="P360" i="12"/>
  <c r="O361" i="12"/>
  <c r="P361" i="12"/>
  <c r="O362" i="12"/>
  <c r="P362" i="12"/>
  <c r="O363" i="12"/>
  <c r="P363" i="12"/>
  <c r="O364" i="12"/>
  <c r="P364" i="12"/>
  <c r="O365" i="12"/>
  <c r="P365" i="12"/>
  <c r="O366" i="12"/>
  <c r="P366" i="12"/>
  <c r="O367" i="12"/>
  <c r="P367" i="12"/>
  <c r="O368" i="12"/>
  <c r="P368" i="12"/>
  <c r="O369" i="12"/>
  <c r="P369" i="12"/>
  <c r="O370" i="12"/>
  <c r="P370" i="12"/>
  <c r="O371" i="12"/>
  <c r="P371" i="12"/>
  <c r="O372" i="12"/>
  <c r="P372" i="12"/>
  <c r="O373" i="12"/>
  <c r="P373" i="12"/>
  <c r="O374" i="12"/>
  <c r="P374" i="12"/>
  <c r="O375" i="12"/>
  <c r="P375" i="12"/>
  <c r="O376" i="12"/>
  <c r="P376" i="12"/>
  <c r="O377" i="12"/>
  <c r="P377" i="12"/>
  <c r="O378" i="12"/>
  <c r="P378" i="12"/>
  <c r="O379" i="12"/>
  <c r="P379" i="12"/>
  <c r="O380" i="12"/>
  <c r="P380" i="12"/>
  <c r="O381" i="12"/>
  <c r="P381" i="12"/>
  <c r="O382" i="12"/>
  <c r="P382" i="12"/>
  <c r="O383" i="12"/>
  <c r="P383" i="12"/>
  <c r="O384" i="12"/>
  <c r="P384" i="12"/>
  <c r="O385" i="12"/>
  <c r="P385" i="12"/>
  <c r="O386" i="12"/>
  <c r="P386" i="12"/>
  <c r="O387" i="12"/>
  <c r="P387" i="12"/>
  <c r="O388" i="12"/>
  <c r="P388" i="12"/>
  <c r="O389" i="12"/>
  <c r="P389" i="12"/>
  <c r="O390" i="12"/>
  <c r="P390" i="12"/>
  <c r="O391" i="12"/>
  <c r="P391" i="12"/>
  <c r="O392" i="12"/>
  <c r="P392" i="12"/>
  <c r="O393" i="12"/>
  <c r="P393" i="12"/>
  <c r="O394" i="12"/>
  <c r="P394" i="12"/>
  <c r="O395" i="12"/>
  <c r="P395" i="12"/>
  <c r="O396" i="12"/>
  <c r="P396" i="12"/>
  <c r="O397" i="12"/>
  <c r="P397" i="12"/>
  <c r="O398" i="12"/>
  <c r="P398" i="12"/>
  <c r="O399" i="12"/>
  <c r="P399" i="12"/>
  <c r="O400" i="12"/>
  <c r="P400" i="12"/>
  <c r="O401" i="12"/>
  <c r="P401" i="12"/>
  <c r="O402" i="12"/>
  <c r="P402" i="12"/>
  <c r="O403" i="12"/>
  <c r="P403" i="12"/>
  <c r="O404" i="12"/>
  <c r="P404" i="12"/>
  <c r="O405" i="12"/>
  <c r="P405" i="12"/>
  <c r="O406" i="12"/>
  <c r="P406" i="12"/>
  <c r="O407" i="12"/>
  <c r="P407" i="12"/>
  <c r="O408" i="12"/>
  <c r="P408" i="12"/>
  <c r="O409" i="12"/>
  <c r="P409" i="12"/>
  <c r="O410" i="12"/>
  <c r="P410" i="12"/>
  <c r="O411" i="12"/>
  <c r="P411" i="12"/>
  <c r="O412" i="12"/>
  <c r="P412" i="12"/>
  <c r="O413" i="12"/>
  <c r="P413" i="12"/>
  <c r="O414" i="12"/>
  <c r="P414" i="12"/>
  <c r="O415" i="12"/>
  <c r="P415" i="12"/>
  <c r="O416" i="12"/>
  <c r="P416" i="12"/>
  <c r="O417" i="12"/>
  <c r="P417" i="12"/>
  <c r="O418" i="12"/>
  <c r="P418" i="12"/>
  <c r="O419" i="12"/>
  <c r="P419" i="12"/>
  <c r="O420" i="12"/>
  <c r="P420" i="12"/>
  <c r="O421" i="12"/>
  <c r="P421" i="12"/>
  <c r="O422" i="12"/>
  <c r="P422" i="12"/>
  <c r="O423" i="12"/>
  <c r="P423" i="12"/>
  <c r="O424" i="12"/>
  <c r="P424" i="12"/>
  <c r="O425" i="12"/>
  <c r="P425" i="12"/>
  <c r="O426" i="12"/>
  <c r="P426" i="12"/>
  <c r="O427" i="12"/>
  <c r="P427" i="12"/>
  <c r="O428" i="12"/>
  <c r="P428" i="12"/>
  <c r="O429" i="12"/>
  <c r="P429" i="12"/>
  <c r="O430" i="12"/>
  <c r="P430" i="12"/>
  <c r="O431" i="12"/>
  <c r="P431" i="12"/>
  <c r="O432" i="12"/>
  <c r="P432" i="12"/>
  <c r="O433" i="12"/>
  <c r="P433" i="12"/>
  <c r="O434" i="12"/>
  <c r="P434" i="12"/>
  <c r="O435" i="12"/>
  <c r="P435" i="12"/>
  <c r="O436" i="12"/>
  <c r="P436" i="12"/>
  <c r="O437" i="12"/>
  <c r="P437" i="12"/>
  <c r="O438" i="12"/>
  <c r="P438" i="12"/>
  <c r="O439" i="12"/>
  <c r="P439" i="12"/>
  <c r="O440" i="12"/>
  <c r="P440" i="12"/>
  <c r="O441" i="12"/>
  <c r="P441" i="12"/>
  <c r="O442" i="12"/>
  <c r="P442" i="12"/>
  <c r="O443" i="12"/>
  <c r="P443" i="12"/>
  <c r="O444" i="12"/>
  <c r="P444" i="12"/>
  <c r="O445" i="12"/>
  <c r="P445" i="12"/>
  <c r="O446" i="12"/>
  <c r="P446" i="12"/>
  <c r="O447" i="12"/>
  <c r="P447" i="12"/>
  <c r="O448" i="12"/>
  <c r="P448" i="12"/>
  <c r="O449" i="12"/>
  <c r="P449" i="12"/>
  <c r="O450" i="12"/>
  <c r="P450" i="12"/>
  <c r="O451" i="12"/>
  <c r="P451" i="12"/>
  <c r="O452" i="12"/>
  <c r="P452" i="12"/>
  <c r="O453" i="12"/>
  <c r="P453" i="12"/>
  <c r="O454" i="12"/>
  <c r="P454" i="12"/>
  <c r="O455" i="12"/>
  <c r="P455" i="12"/>
  <c r="O456" i="12"/>
  <c r="P456" i="12"/>
  <c r="O457" i="12"/>
  <c r="P457" i="12"/>
  <c r="O458" i="12"/>
  <c r="P458" i="12"/>
  <c r="O459" i="12"/>
  <c r="P459" i="12"/>
  <c r="O460" i="12"/>
  <c r="P460" i="12"/>
  <c r="O461" i="12"/>
  <c r="P461" i="12"/>
  <c r="O462" i="12"/>
  <c r="P462" i="12"/>
  <c r="O463" i="12"/>
  <c r="P463" i="12"/>
  <c r="O464" i="12"/>
  <c r="P464" i="12"/>
  <c r="O465" i="12"/>
  <c r="P465" i="12"/>
  <c r="O466" i="12"/>
  <c r="P466" i="12"/>
  <c r="O467" i="12"/>
  <c r="P467" i="12"/>
  <c r="O468" i="12"/>
  <c r="P468" i="12"/>
  <c r="O469" i="12"/>
  <c r="P469" i="12"/>
  <c r="O470" i="12"/>
  <c r="P470" i="12"/>
  <c r="O471" i="12"/>
  <c r="P471" i="12"/>
  <c r="O472" i="12"/>
  <c r="P472" i="12"/>
  <c r="O473" i="12"/>
  <c r="P473" i="12"/>
  <c r="O474" i="12"/>
  <c r="P474" i="12"/>
  <c r="O475" i="12"/>
  <c r="P475" i="12"/>
  <c r="O476" i="12"/>
  <c r="P476" i="12"/>
  <c r="O477" i="12"/>
  <c r="P477" i="12"/>
  <c r="O478" i="12"/>
  <c r="P478" i="12"/>
  <c r="O479" i="12"/>
  <c r="P479" i="12"/>
  <c r="O480" i="12"/>
  <c r="P480" i="12"/>
  <c r="O481" i="12"/>
  <c r="P481" i="12"/>
  <c r="O482" i="12"/>
  <c r="P482" i="12"/>
  <c r="O483" i="12"/>
  <c r="P483" i="12"/>
  <c r="O484" i="12"/>
  <c r="P484" i="12"/>
  <c r="O485" i="12"/>
  <c r="P485" i="12"/>
  <c r="O486" i="12"/>
  <c r="P486" i="12"/>
  <c r="O487" i="12"/>
  <c r="P487" i="12"/>
  <c r="O488" i="12"/>
  <c r="P488" i="12"/>
  <c r="O489" i="12"/>
  <c r="P489" i="12"/>
  <c r="O490" i="12"/>
  <c r="P490" i="12"/>
  <c r="O491" i="12"/>
  <c r="P491" i="12"/>
  <c r="O492" i="12"/>
  <c r="P492" i="12"/>
  <c r="O493" i="12"/>
  <c r="P493" i="12"/>
  <c r="O494" i="12"/>
  <c r="P494" i="12"/>
  <c r="O495" i="12"/>
  <c r="P495" i="12"/>
  <c r="O496" i="12"/>
  <c r="P496" i="12"/>
  <c r="O497" i="12"/>
  <c r="P497" i="12"/>
  <c r="O498" i="12"/>
  <c r="P498" i="12"/>
  <c r="O499" i="12"/>
  <c r="P499" i="12"/>
  <c r="O500" i="12"/>
  <c r="P500" i="12"/>
  <c r="O501" i="12"/>
  <c r="P501" i="12"/>
  <c r="O502" i="12"/>
  <c r="P502" i="12"/>
  <c r="O503" i="12"/>
  <c r="P503" i="12"/>
  <c r="O504" i="12"/>
  <c r="P504" i="12"/>
  <c r="O505" i="12"/>
  <c r="P505" i="12"/>
  <c r="O506" i="12"/>
  <c r="P506" i="12"/>
  <c r="O507" i="12"/>
  <c r="P507" i="12"/>
  <c r="O508" i="12"/>
  <c r="P508" i="12"/>
  <c r="O509" i="12"/>
  <c r="P509" i="12"/>
  <c r="O510" i="12"/>
  <c r="P510" i="12"/>
  <c r="O511" i="12"/>
  <c r="P511" i="12"/>
  <c r="O512" i="12"/>
  <c r="P512" i="12"/>
  <c r="O513" i="12"/>
  <c r="P513" i="12"/>
  <c r="O514" i="12"/>
  <c r="P514" i="12"/>
  <c r="O515" i="12"/>
  <c r="P515" i="12"/>
  <c r="O516" i="12"/>
  <c r="P516" i="12"/>
  <c r="O517" i="12"/>
  <c r="P517" i="12"/>
  <c r="O518" i="12"/>
  <c r="P518" i="12"/>
  <c r="O519" i="12"/>
  <c r="P519" i="12"/>
  <c r="O520" i="12"/>
  <c r="P520" i="12"/>
  <c r="O521" i="12"/>
  <c r="P521" i="12"/>
  <c r="O522" i="12"/>
  <c r="P522" i="12"/>
  <c r="O523" i="12"/>
  <c r="P523" i="12"/>
  <c r="O524" i="12"/>
  <c r="P524" i="12"/>
  <c r="O525" i="12"/>
  <c r="P525" i="12"/>
  <c r="O526" i="12"/>
  <c r="P526" i="12"/>
  <c r="O527" i="12"/>
  <c r="P527" i="12"/>
  <c r="O528" i="12"/>
  <c r="P528" i="12"/>
  <c r="O529" i="12"/>
  <c r="P529" i="12"/>
  <c r="O530" i="12"/>
  <c r="P530" i="12"/>
  <c r="O531" i="12"/>
  <c r="P531" i="12"/>
  <c r="O532" i="12"/>
  <c r="P532" i="12"/>
  <c r="O533" i="12"/>
  <c r="P533" i="12"/>
  <c r="O534" i="12"/>
  <c r="P534" i="12"/>
  <c r="O535" i="12"/>
  <c r="P535" i="12"/>
  <c r="O536" i="12"/>
  <c r="P536" i="12"/>
  <c r="O537" i="12"/>
  <c r="P537" i="12"/>
  <c r="O538" i="12"/>
  <c r="P538" i="12"/>
  <c r="O539" i="12"/>
  <c r="P539" i="12"/>
  <c r="O540" i="12"/>
  <c r="P540" i="12"/>
  <c r="O541" i="12"/>
  <c r="P541" i="12"/>
  <c r="O542" i="12"/>
  <c r="P542" i="12"/>
  <c r="O543" i="12"/>
  <c r="P543" i="12"/>
  <c r="O544" i="12"/>
  <c r="P544" i="12"/>
  <c r="O545" i="12"/>
  <c r="P545" i="12"/>
  <c r="O546" i="12"/>
  <c r="P546" i="12"/>
  <c r="O547" i="12"/>
  <c r="P547" i="12"/>
  <c r="O548" i="12"/>
  <c r="P548" i="12"/>
  <c r="O549" i="12"/>
  <c r="P549" i="12"/>
  <c r="O550" i="12"/>
  <c r="P550" i="12"/>
  <c r="O551" i="12"/>
  <c r="P551" i="12"/>
  <c r="O552" i="12"/>
  <c r="P552" i="12"/>
  <c r="O553" i="12"/>
  <c r="P553" i="12"/>
  <c r="O554" i="12"/>
  <c r="P554" i="12"/>
  <c r="O555" i="12"/>
  <c r="P555" i="12"/>
  <c r="O556" i="12"/>
  <c r="P556" i="12"/>
  <c r="O557" i="12"/>
  <c r="P557" i="12"/>
  <c r="O558" i="12"/>
  <c r="P558" i="12"/>
  <c r="O559" i="12"/>
  <c r="P559" i="12"/>
  <c r="O560" i="12"/>
  <c r="P560" i="12"/>
  <c r="O561" i="12"/>
  <c r="P561" i="12"/>
  <c r="O562" i="12"/>
  <c r="P562" i="12"/>
  <c r="O563" i="12"/>
  <c r="P563" i="12"/>
  <c r="O564" i="12"/>
  <c r="P564" i="12"/>
  <c r="O565" i="12"/>
  <c r="P565" i="12"/>
  <c r="O566" i="12"/>
  <c r="P566" i="12"/>
  <c r="O567" i="12"/>
  <c r="P567" i="12"/>
  <c r="O568" i="12"/>
  <c r="P568" i="12"/>
  <c r="O569" i="12"/>
  <c r="P569" i="12"/>
  <c r="O570" i="12"/>
  <c r="P570" i="12"/>
  <c r="O571" i="12"/>
  <c r="P571" i="12"/>
  <c r="O572" i="12"/>
  <c r="P572" i="12"/>
  <c r="O573" i="12"/>
  <c r="P573" i="12"/>
  <c r="O574" i="12"/>
  <c r="P574" i="12"/>
  <c r="O575" i="12"/>
  <c r="P575" i="12"/>
  <c r="O576" i="12"/>
  <c r="P576" i="12"/>
  <c r="O577" i="12"/>
  <c r="P577" i="12"/>
  <c r="O578" i="12"/>
  <c r="P578" i="12"/>
  <c r="O579" i="12"/>
  <c r="P579" i="12"/>
  <c r="O580" i="12"/>
  <c r="P580" i="12"/>
  <c r="O581" i="12"/>
  <c r="P581" i="12"/>
  <c r="O582" i="12"/>
  <c r="P582" i="12"/>
  <c r="O583" i="12"/>
  <c r="P583" i="12"/>
  <c r="O584" i="12"/>
  <c r="P584" i="12"/>
  <c r="O585" i="12"/>
  <c r="P585" i="12"/>
  <c r="O586" i="12"/>
  <c r="P586" i="12"/>
  <c r="O587" i="12"/>
  <c r="P587" i="12"/>
  <c r="O588" i="12"/>
  <c r="P588" i="12"/>
  <c r="O589" i="12"/>
  <c r="P589" i="12"/>
  <c r="O590" i="12"/>
  <c r="P590" i="12"/>
  <c r="O591" i="12"/>
  <c r="P591" i="12"/>
  <c r="O592" i="12"/>
  <c r="P592" i="12"/>
  <c r="O593" i="12"/>
  <c r="P593" i="12"/>
  <c r="O594" i="12"/>
  <c r="P594" i="12"/>
  <c r="O595" i="12"/>
  <c r="P595" i="12"/>
  <c r="O596" i="12"/>
  <c r="P596" i="12"/>
  <c r="O597" i="12"/>
  <c r="P597" i="12"/>
  <c r="O598" i="12"/>
  <c r="P598" i="12"/>
  <c r="O599" i="12"/>
  <c r="P599" i="12"/>
  <c r="O600" i="12"/>
  <c r="P600" i="12"/>
  <c r="O601" i="12"/>
  <c r="P601" i="12"/>
  <c r="O602" i="12"/>
  <c r="P602" i="12"/>
  <c r="O603" i="12"/>
  <c r="P603" i="12"/>
  <c r="O604" i="12"/>
  <c r="P604" i="12"/>
  <c r="O605" i="12"/>
  <c r="P605" i="12"/>
  <c r="O606" i="12"/>
  <c r="P606" i="12"/>
  <c r="O607" i="12"/>
  <c r="P607" i="12"/>
  <c r="O608" i="12"/>
  <c r="P608" i="12"/>
  <c r="O609" i="12"/>
  <c r="P609" i="12"/>
  <c r="O610" i="12"/>
  <c r="P610" i="12"/>
  <c r="O611" i="12"/>
  <c r="P611" i="12"/>
  <c r="O612" i="12"/>
  <c r="P612" i="12"/>
  <c r="O613" i="12"/>
  <c r="P613" i="12"/>
  <c r="O614" i="12"/>
  <c r="P614" i="12"/>
  <c r="O615" i="12"/>
  <c r="P615" i="12"/>
  <c r="O616" i="12"/>
  <c r="P616" i="12"/>
  <c r="O617" i="12"/>
  <c r="P617" i="12"/>
  <c r="O618" i="12"/>
  <c r="P618" i="12"/>
  <c r="O619" i="12"/>
  <c r="P619" i="12"/>
  <c r="O620" i="12"/>
  <c r="P620" i="12"/>
  <c r="O621" i="12"/>
  <c r="P621" i="12"/>
  <c r="O622" i="12"/>
  <c r="P622" i="12"/>
  <c r="O623" i="12"/>
  <c r="P623" i="12"/>
  <c r="O624" i="12"/>
  <c r="P624" i="12"/>
  <c r="O625" i="12"/>
  <c r="P625" i="12"/>
  <c r="O626" i="12"/>
  <c r="P626" i="12"/>
  <c r="O627" i="12"/>
  <c r="P627" i="12"/>
  <c r="O628" i="12"/>
  <c r="P628" i="12"/>
  <c r="O629" i="12"/>
  <c r="P629" i="12"/>
  <c r="O630" i="12"/>
  <c r="P630" i="12"/>
  <c r="O631" i="12"/>
  <c r="P631" i="12"/>
  <c r="O632" i="12"/>
  <c r="P632" i="12"/>
  <c r="O633" i="12"/>
  <c r="P633" i="12"/>
  <c r="O634" i="12"/>
  <c r="P634" i="12"/>
  <c r="O635" i="12"/>
  <c r="P635" i="12"/>
  <c r="O636" i="12"/>
  <c r="P636" i="12"/>
  <c r="O637" i="12"/>
  <c r="P637" i="12"/>
  <c r="O638" i="12"/>
  <c r="P638" i="12"/>
  <c r="O639" i="12"/>
  <c r="P639" i="12"/>
  <c r="O640" i="12"/>
  <c r="P640" i="12"/>
  <c r="O641" i="12"/>
  <c r="P641" i="12"/>
  <c r="O642" i="12"/>
  <c r="P642" i="12"/>
  <c r="O643" i="12"/>
  <c r="P643" i="12"/>
  <c r="O644" i="12"/>
  <c r="P644" i="12"/>
  <c r="O645" i="12"/>
  <c r="P645" i="12"/>
  <c r="O646" i="12"/>
  <c r="P646" i="12"/>
  <c r="O647" i="12"/>
  <c r="P647" i="12"/>
  <c r="O648" i="12"/>
  <c r="P648" i="12"/>
  <c r="O649" i="12"/>
  <c r="P649" i="12"/>
  <c r="O650" i="12"/>
  <c r="P650" i="12"/>
  <c r="O651" i="12"/>
  <c r="P651" i="12"/>
  <c r="O652" i="12"/>
  <c r="P652" i="12"/>
  <c r="O653" i="12"/>
  <c r="P653" i="12"/>
  <c r="O654" i="12"/>
  <c r="P654" i="12"/>
  <c r="O655" i="12"/>
  <c r="P655" i="12"/>
  <c r="O656" i="12"/>
  <c r="P656" i="12"/>
  <c r="O657" i="12"/>
  <c r="P657" i="12"/>
  <c r="O658" i="12"/>
  <c r="P658" i="12"/>
  <c r="O659" i="12"/>
  <c r="P659" i="12"/>
  <c r="O660" i="12"/>
  <c r="P660" i="12"/>
  <c r="O661" i="12"/>
  <c r="P661" i="12"/>
  <c r="O662" i="12"/>
  <c r="P662" i="12"/>
  <c r="O663" i="12"/>
  <c r="P663" i="12"/>
  <c r="O664" i="12"/>
  <c r="P664" i="12"/>
  <c r="O665" i="12"/>
  <c r="P665" i="12"/>
  <c r="O666" i="12"/>
  <c r="P666" i="12"/>
  <c r="O667" i="12"/>
  <c r="P667" i="12"/>
  <c r="O668" i="12"/>
  <c r="P668" i="12"/>
  <c r="O669" i="12"/>
  <c r="P669" i="12"/>
  <c r="O670" i="12"/>
  <c r="P670" i="12"/>
  <c r="O671" i="12"/>
  <c r="P671" i="12"/>
  <c r="O672" i="12"/>
  <c r="P672" i="12"/>
  <c r="O673" i="12"/>
  <c r="P673" i="12"/>
  <c r="O674" i="12"/>
  <c r="P674" i="12"/>
  <c r="O675" i="12"/>
  <c r="P675" i="12"/>
  <c r="O676" i="12"/>
  <c r="P676" i="12"/>
  <c r="O677" i="12"/>
  <c r="P677" i="12"/>
  <c r="O678" i="12"/>
  <c r="P678" i="12"/>
  <c r="O679" i="12"/>
  <c r="P679" i="12"/>
  <c r="O680" i="12"/>
  <c r="P680" i="12"/>
  <c r="O681" i="12"/>
  <c r="P681" i="12"/>
  <c r="O682" i="12"/>
  <c r="P682" i="12"/>
  <c r="P681" i="14" l="1"/>
  <c r="O681" i="14"/>
  <c r="P680" i="14"/>
  <c r="O680" i="14"/>
  <c r="P679" i="14"/>
  <c r="O679" i="14"/>
  <c r="P678" i="14"/>
  <c r="O678" i="14"/>
  <c r="P677" i="14"/>
  <c r="O677" i="14"/>
  <c r="P676" i="14"/>
  <c r="O676" i="14"/>
  <c r="P675" i="14"/>
  <c r="O675" i="14"/>
  <c r="P674" i="14"/>
  <c r="O674" i="14"/>
  <c r="P673" i="14"/>
  <c r="O673" i="14"/>
  <c r="P672" i="14"/>
  <c r="O672" i="14"/>
  <c r="P671" i="14"/>
  <c r="O671" i="14"/>
  <c r="P670" i="14"/>
  <c r="O670" i="14"/>
  <c r="P669" i="14"/>
  <c r="O669" i="14"/>
  <c r="P668" i="14"/>
  <c r="O668" i="14"/>
  <c r="P667" i="14"/>
  <c r="O667" i="14"/>
  <c r="P666" i="14"/>
  <c r="O666" i="14"/>
  <c r="P665" i="14"/>
  <c r="O665" i="14"/>
  <c r="P664" i="14"/>
  <c r="O664" i="14"/>
  <c r="P663" i="14"/>
  <c r="O663" i="14"/>
  <c r="P662" i="14"/>
  <c r="O662" i="14"/>
  <c r="P661" i="14"/>
  <c r="O661" i="14"/>
  <c r="P660" i="14"/>
  <c r="O660" i="14"/>
  <c r="P659" i="14"/>
  <c r="O659" i="14"/>
  <c r="P658" i="14"/>
  <c r="O658" i="14"/>
  <c r="P657" i="14"/>
  <c r="O657" i="14"/>
  <c r="P656" i="14"/>
  <c r="O656" i="14"/>
  <c r="P655" i="14"/>
  <c r="O655" i="14"/>
  <c r="P654" i="14"/>
  <c r="O654" i="14"/>
  <c r="P653" i="14"/>
  <c r="O653" i="14"/>
  <c r="P652" i="14"/>
  <c r="O652" i="14"/>
  <c r="P651" i="14"/>
  <c r="O651" i="14"/>
  <c r="P650" i="14"/>
  <c r="O650" i="14"/>
  <c r="P649" i="14"/>
  <c r="O649" i="14"/>
  <c r="P648" i="14"/>
  <c r="O648" i="14"/>
  <c r="P647" i="14"/>
  <c r="O647" i="14"/>
  <c r="P646" i="14"/>
  <c r="O646" i="14"/>
  <c r="P645" i="14"/>
  <c r="O645" i="14"/>
  <c r="P644" i="14"/>
  <c r="O644" i="14"/>
  <c r="P643" i="14"/>
  <c r="O643" i="14"/>
  <c r="P642" i="14"/>
  <c r="O642" i="14"/>
  <c r="P641" i="14"/>
  <c r="O641" i="14"/>
  <c r="P640" i="14"/>
  <c r="O640" i="14"/>
  <c r="P639" i="14"/>
  <c r="O639" i="14"/>
  <c r="P638" i="14"/>
  <c r="O638" i="14"/>
  <c r="P637" i="14"/>
  <c r="O637" i="14"/>
  <c r="P636" i="14"/>
  <c r="O636" i="14"/>
  <c r="P635" i="14"/>
  <c r="O635" i="14"/>
  <c r="P634" i="14"/>
  <c r="O634" i="14"/>
  <c r="P633" i="14"/>
  <c r="O633" i="14"/>
  <c r="P632" i="14"/>
  <c r="O632" i="14"/>
  <c r="P631" i="14"/>
  <c r="O631" i="14"/>
  <c r="P630" i="14"/>
  <c r="O630" i="14"/>
  <c r="P629" i="14"/>
  <c r="O629" i="14"/>
  <c r="P628" i="14"/>
  <c r="O628" i="14"/>
  <c r="P627" i="14"/>
  <c r="O627" i="14"/>
  <c r="P626" i="14"/>
  <c r="O626" i="14"/>
  <c r="P625" i="14"/>
  <c r="O625" i="14"/>
  <c r="P624" i="14"/>
  <c r="O624" i="14"/>
  <c r="P623" i="14"/>
  <c r="O623" i="14"/>
  <c r="P622" i="14"/>
  <c r="O622" i="14"/>
  <c r="P621" i="14"/>
  <c r="O621" i="14"/>
  <c r="P620" i="14"/>
  <c r="O620" i="14"/>
  <c r="P619" i="14"/>
  <c r="O619" i="14"/>
  <c r="P618" i="14"/>
  <c r="O618" i="14"/>
  <c r="P617" i="14"/>
  <c r="O617" i="14"/>
  <c r="P616" i="14"/>
  <c r="O616" i="14"/>
  <c r="P615" i="14"/>
  <c r="O615" i="14"/>
  <c r="P614" i="14"/>
  <c r="O614" i="14"/>
  <c r="P613" i="14"/>
  <c r="O613" i="14"/>
  <c r="P612" i="14"/>
  <c r="O612" i="14"/>
  <c r="P611" i="14"/>
  <c r="O611" i="14"/>
  <c r="P610" i="14"/>
  <c r="O610" i="14"/>
  <c r="P609" i="14"/>
  <c r="O609" i="14"/>
  <c r="P608" i="14"/>
  <c r="O608" i="14"/>
  <c r="P607" i="14"/>
  <c r="O607" i="14"/>
  <c r="P606" i="14"/>
  <c r="O606" i="14"/>
  <c r="P605" i="14"/>
  <c r="O605" i="14"/>
  <c r="P604" i="14"/>
  <c r="O604" i="14"/>
  <c r="P603" i="14"/>
  <c r="O603" i="14"/>
  <c r="P602" i="14"/>
  <c r="O602" i="14"/>
  <c r="P601" i="14"/>
  <c r="O601" i="14"/>
  <c r="P600" i="14"/>
  <c r="O600" i="14"/>
  <c r="P599" i="14"/>
  <c r="O599" i="14"/>
  <c r="P598" i="14"/>
  <c r="O598" i="14"/>
  <c r="P597" i="14"/>
  <c r="O597" i="14"/>
  <c r="P596" i="14"/>
  <c r="O596" i="14"/>
  <c r="P595" i="14"/>
  <c r="O595" i="14"/>
  <c r="P594" i="14"/>
  <c r="O594" i="14"/>
  <c r="P593" i="14"/>
  <c r="O593" i="14"/>
  <c r="P592" i="14"/>
  <c r="O592" i="14"/>
  <c r="P591" i="14"/>
  <c r="O591" i="14"/>
  <c r="P590" i="14"/>
  <c r="O590" i="14"/>
  <c r="P589" i="14"/>
  <c r="O589" i="14"/>
  <c r="P588" i="14"/>
  <c r="O588" i="14"/>
  <c r="P587" i="14"/>
  <c r="O587" i="14"/>
  <c r="P586" i="14"/>
  <c r="O586" i="14"/>
  <c r="P585" i="14"/>
  <c r="O585" i="14"/>
  <c r="P584" i="14"/>
  <c r="O584" i="14"/>
  <c r="P583" i="14"/>
  <c r="O583" i="14"/>
  <c r="P582" i="14"/>
  <c r="O582" i="14"/>
  <c r="P581" i="14"/>
  <c r="O581" i="14"/>
  <c r="P580" i="14"/>
  <c r="O580" i="14"/>
  <c r="P579" i="14"/>
  <c r="O579" i="14"/>
  <c r="P578" i="14"/>
  <c r="O578" i="14"/>
  <c r="P577" i="14"/>
  <c r="O577" i="14"/>
  <c r="P576" i="14"/>
  <c r="O576" i="14"/>
  <c r="P575" i="14"/>
  <c r="O575" i="14"/>
  <c r="P574" i="14"/>
  <c r="O574" i="14"/>
  <c r="P573" i="14"/>
  <c r="O573" i="14"/>
  <c r="P572" i="14"/>
  <c r="O572" i="14"/>
  <c r="P571" i="14"/>
  <c r="O571" i="14"/>
  <c r="P570" i="14"/>
  <c r="O570" i="14"/>
  <c r="P569" i="14"/>
  <c r="O569" i="14"/>
  <c r="P568" i="14"/>
  <c r="O568" i="14"/>
  <c r="P567" i="14"/>
  <c r="O567" i="14"/>
  <c r="P566" i="14"/>
  <c r="O566" i="14"/>
  <c r="P565" i="14"/>
  <c r="O565" i="14"/>
  <c r="P564" i="14"/>
  <c r="O564" i="14"/>
  <c r="P563" i="14"/>
  <c r="O563" i="14"/>
  <c r="P562" i="14"/>
  <c r="O562" i="14"/>
  <c r="P561" i="14"/>
  <c r="O561" i="14"/>
  <c r="P560" i="14"/>
  <c r="O560" i="14"/>
  <c r="P559" i="14"/>
  <c r="O559" i="14"/>
  <c r="P558" i="14"/>
  <c r="O558" i="14"/>
  <c r="P557" i="14"/>
  <c r="O557" i="14"/>
  <c r="P556" i="14"/>
  <c r="O556" i="14"/>
  <c r="P555" i="14"/>
  <c r="O555" i="14"/>
  <c r="P554" i="14"/>
  <c r="O554" i="14"/>
  <c r="P553" i="14"/>
  <c r="O553" i="14"/>
  <c r="P552" i="14"/>
  <c r="O552" i="14"/>
  <c r="P551" i="14"/>
  <c r="O551" i="14"/>
  <c r="P550" i="14"/>
  <c r="O550" i="14"/>
  <c r="P549" i="14"/>
  <c r="O549" i="14"/>
  <c r="P548" i="14"/>
  <c r="O548" i="14"/>
  <c r="P547" i="14"/>
  <c r="O547" i="14"/>
  <c r="P546" i="14"/>
  <c r="O546" i="14"/>
  <c r="P545" i="14"/>
  <c r="O545" i="14"/>
  <c r="P544" i="14"/>
  <c r="O544" i="14"/>
  <c r="P543" i="14"/>
  <c r="O543" i="14"/>
  <c r="P542" i="14"/>
  <c r="O542" i="14"/>
  <c r="P541" i="14"/>
  <c r="O541" i="14"/>
  <c r="P540" i="14"/>
  <c r="O540" i="14"/>
  <c r="P539" i="14"/>
  <c r="O539" i="14"/>
  <c r="P538" i="14"/>
  <c r="O538" i="14"/>
  <c r="P537" i="14"/>
  <c r="O537" i="14"/>
  <c r="P536" i="14"/>
  <c r="O536" i="14"/>
  <c r="P535" i="14"/>
  <c r="O535" i="14"/>
  <c r="P534" i="14"/>
  <c r="O534" i="14"/>
  <c r="P533" i="14"/>
  <c r="O533" i="14"/>
  <c r="P532" i="14"/>
  <c r="O532" i="14"/>
  <c r="P531" i="14"/>
  <c r="O531" i="14"/>
  <c r="P530" i="14"/>
  <c r="O530" i="14"/>
  <c r="P529" i="14"/>
  <c r="O529" i="14"/>
  <c r="P528" i="14"/>
  <c r="O528" i="14"/>
  <c r="P527" i="14"/>
  <c r="O527" i="14"/>
  <c r="P526" i="14"/>
  <c r="O526" i="14"/>
  <c r="P525" i="14"/>
  <c r="O525" i="14"/>
  <c r="P524" i="14"/>
  <c r="O524" i="14"/>
  <c r="P523" i="14"/>
  <c r="O523" i="14"/>
  <c r="P522" i="14"/>
  <c r="O522" i="14"/>
  <c r="P521" i="14"/>
  <c r="O521" i="14"/>
  <c r="P520" i="14"/>
  <c r="O520" i="14"/>
  <c r="P519" i="14"/>
  <c r="O519" i="14"/>
  <c r="P518" i="14"/>
  <c r="O518" i="14"/>
  <c r="P517" i="14"/>
  <c r="O517" i="14"/>
  <c r="P516" i="14"/>
  <c r="O516" i="14"/>
  <c r="P515" i="14"/>
  <c r="O515" i="14"/>
  <c r="P514" i="14"/>
  <c r="O514" i="14"/>
  <c r="P513" i="14"/>
  <c r="O513" i="14"/>
  <c r="P512" i="14"/>
  <c r="O512" i="14"/>
  <c r="P511" i="14"/>
  <c r="O511" i="14"/>
  <c r="P510" i="14"/>
  <c r="O510" i="14"/>
  <c r="P509" i="14"/>
  <c r="O509" i="14"/>
  <c r="P508" i="14"/>
  <c r="O508" i="14"/>
  <c r="P507" i="14"/>
  <c r="O507" i="14"/>
  <c r="P506" i="14"/>
  <c r="O506" i="14"/>
  <c r="P505" i="14"/>
  <c r="O505" i="14"/>
  <c r="P504" i="14"/>
  <c r="O504" i="14"/>
  <c r="P503" i="14"/>
  <c r="O503" i="14"/>
  <c r="P502" i="14"/>
  <c r="O502" i="14"/>
  <c r="P501" i="14"/>
  <c r="O501" i="14"/>
  <c r="P500" i="14"/>
  <c r="O500" i="14"/>
  <c r="P499" i="14"/>
  <c r="O499" i="14"/>
  <c r="P498" i="14"/>
  <c r="O498" i="14"/>
  <c r="P497" i="14"/>
  <c r="O497" i="14"/>
  <c r="P496" i="14"/>
  <c r="O496" i="14"/>
  <c r="P495" i="14"/>
  <c r="O495" i="14"/>
  <c r="P494" i="14"/>
  <c r="O494" i="14"/>
  <c r="P493" i="14"/>
  <c r="O493" i="14"/>
  <c r="P492" i="14"/>
  <c r="O492" i="14"/>
  <c r="P491" i="14"/>
  <c r="O491" i="14"/>
  <c r="P490" i="14"/>
  <c r="O490" i="14"/>
  <c r="P489" i="14"/>
  <c r="O489" i="14"/>
  <c r="P488" i="14"/>
  <c r="O488" i="14"/>
  <c r="P487" i="14"/>
  <c r="O487" i="14"/>
  <c r="P486" i="14"/>
  <c r="O486" i="14"/>
  <c r="P485" i="14"/>
  <c r="O485" i="14"/>
  <c r="P484" i="14"/>
  <c r="O484" i="14"/>
  <c r="P483" i="14"/>
  <c r="O483" i="14"/>
  <c r="P482" i="14"/>
  <c r="O482" i="14"/>
  <c r="P481" i="14"/>
  <c r="O481" i="14"/>
  <c r="P480" i="14"/>
  <c r="O480" i="14"/>
  <c r="P479" i="14"/>
  <c r="O479" i="14"/>
  <c r="P478" i="14"/>
  <c r="O478" i="14"/>
  <c r="P477" i="14"/>
  <c r="O477" i="14"/>
  <c r="P476" i="14"/>
  <c r="O476" i="14"/>
  <c r="P475" i="14"/>
  <c r="O475" i="14"/>
  <c r="P474" i="14"/>
  <c r="O474" i="14"/>
  <c r="P473" i="14"/>
  <c r="O473" i="14"/>
  <c r="P472" i="14"/>
  <c r="O472" i="14"/>
  <c r="P471" i="14"/>
  <c r="O471" i="14"/>
  <c r="P470" i="14"/>
  <c r="O470" i="14"/>
  <c r="P469" i="14"/>
  <c r="O469" i="14"/>
  <c r="P468" i="14"/>
  <c r="O468" i="14"/>
  <c r="P467" i="14"/>
  <c r="O467" i="14"/>
  <c r="P466" i="14"/>
  <c r="O466" i="14"/>
  <c r="P465" i="14"/>
  <c r="O465" i="14"/>
  <c r="P464" i="14"/>
  <c r="O464" i="14"/>
  <c r="P463" i="14"/>
  <c r="O463" i="14"/>
  <c r="P462" i="14"/>
  <c r="O462" i="14"/>
  <c r="P461" i="14"/>
  <c r="O461" i="14"/>
  <c r="P460" i="14"/>
  <c r="O460" i="14"/>
  <c r="P459" i="14"/>
  <c r="O459" i="14"/>
  <c r="P458" i="14"/>
  <c r="O458" i="14"/>
  <c r="P457" i="14"/>
  <c r="O457" i="14"/>
  <c r="P456" i="14"/>
  <c r="O456" i="14"/>
  <c r="P455" i="14"/>
  <c r="O455" i="14"/>
  <c r="P454" i="14"/>
  <c r="O454" i="14"/>
  <c r="P453" i="14"/>
  <c r="O453" i="14"/>
  <c r="P452" i="14"/>
  <c r="O452" i="14"/>
  <c r="P451" i="14"/>
  <c r="O451" i="14"/>
  <c r="P450" i="14"/>
  <c r="O450" i="14"/>
  <c r="P449" i="14"/>
  <c r="O449" i="14"/>
  <c r="P448" i="14"/>
  <c r="O448" i="14"/>
  <c r="P447" i="14"/>
  <c r="O447" i="14"/>
  <c r="P446" i="14"/>
  <c r="O446" i="14"/>
  <c r="P445" i="14"/>
  <c r="O445" i="14"/>
  <c r="P444" i="14"/>
  <c r="O444" i="14"/>
  <c r="P443" i="14"/>
  <c r="O443" i="14"/>
  <c r="P442" i="14"/>
  <c r="O442" i="14"/>
  <c r="P441" i="14"/>
  <c r="O441" i="14"/>
  <c r="P440" i="14"/>
  <c r="O440" i="14"/>
  <c r="P439" i="14"/>
  <c r="O439" i="14"/>
  <c r="P438" i="14"/>
  <c r="O438" i="14"/>
  <c r="P437" i="14"/>
  <c r="O437" i="14"/>
  <c r="P436" i="14"/>
  <c r="O436" i="14"/>
  <c r="P435" i="14"/>
  <c r="O435" i="14"/>
  <c r="P434" i="14"/>
  <c r="O434" i="14"/>
  <c r="P433" i="14"/>
  <c r="O433" i="14"/>
  <c r="P432" i="14"/>
  <c r="O432" i="14"/>
  <c r="P431" i="14"/>
  <c r="O431" i="14"/>
  <c r="P430" i="14"/>
  <c r="O430" i="14"/>
  <c r="P429" i="14"/>
  <c r="O429" i="14"/>
  <c r="P428" i="14"/>
  <c r="O428" i="14"/>
  <c r="P427" i="14"/>
  <c r="O427" i="14"/>
  <c r="P426" i="14"/>
  <c r="O426" i="14"/>
  <c r="P425" i="14"/>
  <c r="O425" i="14"/>
  <c r="P424" i="14"/>
  <c r="O424" i="14"/>
  <c r="P423" i="14"/>
  <c r="O423" i="14"/>
  <c r="P422" i="14"/>
  <c r="O422" i="14"/>
  <c r="P421" i="14"/>
  <c r="O421" i="14"/>
  <c r="P420" i="14"/>
  <c r="O420" i="14"/>
  <c r="P419" i="14"/>
  <c r="O419" i="14"/>
  <c r="P418" i="14"/>
  <c r="O418" i="14"/>
  <c r="P417" i="14"/>
  <c r="O417" i="14"/>
  <c r="P416" i="14"/>
  <c r="O416" i="14"/>
  <c r="P415" i="14"/>
  <c r="O415" i="14"/>
  <c r="P414" i="14"/>
  <c r="O414" i="14"/>
  <c r="P413" i="14"/>
  <c r="O413" i="14"/>
  <c r="P412" i="14"/>
  <c r="O412" i="14"/>
  <c r="P411" i="14"/>
  <c r="O411" i="14"/>
  <c r="P410" i="14"/>
  <c r="O410" i="14"/>
  <c r="P409" i="14"/>
  <c r="O409" i="14"/>
  <c r="P408" i="14"/>
  <c r="O408" i="14"/>
  <c r="P407" i="14"/>
  <c r="O407" i="14"/>
  <c r="P406" i="14"/>
  <c r="O406" i="14"/>
  <c r="P405" i="14"/>
  <c r="O405" i="14"/>
  <c r="P404" i="14"/>
  <c r="O404" i="14"/>
  <c r="P403" i="14"/>
  <c r="O403" i="14"/>
  <c r="P402" i="14"/>
  <c r="O402" i="14"/>
  <c r="P401" i="14"/>
  <c r="O401" i="14"/>
  <c r="P400" i="14"/>
  <c r="O400" i="14"/>
  <c r="P399" i="14"/>
  <c r="O399" i="14"/>
  <c r="P398" i="14"/>
  <c r="O398" i="14"/>
  <c r="P397" i="14"/>
  <c r="O397" i="14"/>
  <c r="P396" i="14"/>
  <c r="O396" i="14"/>
  <c r="P395" i="14"/>
  <c r="O395" i="14"/>
  <c r="P394" i="14"/>
  <c r="O394" i="14"/>
  <c r="P393" i="14"/>
  <c r="O393" i="14"/>
  <c r="P392" i="14"/>
  <c r="O392" i="14"/>
  <c r="P391" i="14"/>
  <c r="O391" i="14"/>
  <c r="P390" i="14"/>
  <c r="O390" i="14"/>
  <c r="P389" i="14"/>
  <c r="O389" i="14"/>
  <c r="P388" i="14"/>
  <c r="O388" i="14"/>
  <c r="P387" i="14"/>
  <c r="O387" i="14"/>
  <c r="P386" i="14"/>
  <c r="O386" i="14"/>
  <c r="P385" i="14"/>
  <c r="O385" i="14"/>
  <c r="P384" i="14"/>
  <c r="O384" i="14"/>
  <c r="P383" i="14"/>
  <c r="O383" i="14"/>
  <c r="P382" i="14"/>
  <c r="O382" i="14"/>
  <c r="P381" i="14"/>
  <c r="O381" i="14"/>
  <c r="P380" i="14"/>
  <c r="O380" i="14"/>
  <c r="P379" i="14"/>
  <c r="O379" i="14"/>
  <c r="P378" i="14"/>
  <c r="O378" i="14"/>
  <c r="P377" i="14"/>
  <c r="O377" i="14"/>
  <c r="P376" i="14"/>
  <c r="O376" i="14"/>
  <c r="P375" i="14"/>
  <c r="O375" i="14"/>
  <c r="P374" i="14"/>
  <c r="O374" i="14"/>
  <c r="P373" i="14"/>
  <c r="O373" i="14"/>
  <c r="P372" i="14"/>
  <c r="O372" i="14"/>
  <c r="P371" i="14"/>
  <c r="O371" i="14"/>
  <c r="P370" i="14"/>
  <c r="O370" i="14"/>
  <c r="P369" i="14"/>
  <c r="O369" i="14"/>
  <c r="P368" i="14"/>
  <c r="O368" i="14"/>
  <c r="P367" i="14"/>
  <c r="O367" i="14"/>
  <c r="P366" i="14"/>
  <c r="O366" i="14"/>
  <c r="P365" i="14"/>
  <c r="O365" i="14"/>
  <c r="P364" i="14"/>
  <c r="O364" i="14"/>
  <c r="P363" i="14"/>
  <c r="O363" i="14"/>
  <c r="P362" i="14"/>
  <c r="O362" i="14"/>
  <c r="P361" i="14"/>
  <c r="O361" i="14"/>
  <c r="P360" i="14"/>
  <c r="O360" i="14"/>
  <c r="P359" i="14"/>
  <c r="O359" i="14"/>
  <c r="P358" i="14"/>
  <c r="O358" i="14"/>
  <c r="P357" i="14"/>
  <c r="O357" i="14"/>
  <c r="P356" i="14"/>
  <c r="O356" i="14"/>
  <c r="P355" i="14"/>
  <c r="O355" i="14"/>
  <c r="P354" i="14"/>
  <c r="O354" i="14"/>
  <c r="P353" i="14"/>
  <c r="O353" i="14"/>
  <c r="P352" i="14"/>
  <c r="O352" i="14"/>
  <c r="P351" i="14"/>
  <c r="O351" i="14"/>
  <c r="P350" i="14"/>
  <c r="O350" i="14"/>
  <c r="P349" i="14"/>
  <c r="O349" i="14"/>
  <c r="P348" i="14"/>
  <c r="O348" i="14"/>
  <c r="P347" i="14"/>
  <c r="O347" i="14"/>
  <c r="P346" i="14"/>
  <c r="O346" i="14"/>
  <c r="P345" i="14"/>
  <c r="O345" i="14"/>
  <c r="P344" i="14"/>
  <c r="O344" i="14"/>
  <c r="P343" i="14"/>
  <c r="O343" i="14"/>
  <c r="P342" i="14"/>
  <c r="O342" i="14"/>
  <c r="P341" i="14"/>
  <c r="O341" i="14"/>
  <c r="P340" i="14"/>
  <c r="O340" i="14"/>
  <c r="P339" i="14"/>
  <c r="O339" i="14"/>
  <c r="P338" i="14"/>
  <c r="O338" i="14"/>
  <c r="P337" i="14"/>
  <c r="O337" i="14"/>
  <c r="P336" i="14"/>
  <c r="O336" i="14"/>
  <c r="P335" i="14"/>
  <c r="O335" i="14"/>
  <c r="P334" i="14"/>
  <c r="O334" i="14"/>
  <c r="P333" i="14"/>
  <c r="O333" i="14"/>
  <c r="P332" i="14"/>
  <c r="O332" i="14"/>
  <c r="P331" i="14"/>
  <c r="O331" i="14"/>
  <c r="P330" i="14"/>
  <c r="O330" i="14"/>
  <c r="P329" i="14"/>
  <c r="O329" i="14"/>
  <c r="P328" i="14"/>
  <c r="O328" i="14"/>
  <c r="P327" i="14"/>
  <c r="O327" i="14"/>
  <c r="P326" i="14"/>
  <c r="O326" i="14"/>
  <c r="P325" i="14"/>
  <c r="O325" i="14"/>
  <c r="P324" i="14"/>
  <c r="O324" i="14"/>
  <c r="P323" i="14"/>
  <c r="O323" i="14"/>
  <c r="P322" i="14"/>
  <c r="O322" i="14"/>
  <c r="P321" i="14"/>
  <c r="O321" i="14"/>
  <c r="P320" i="14"/>
  <c r="O320" i="14"/>
  <c r="P319" i="14"/>
  <c r="O319" i="14"/>
  <c r="P318" i="14"/>
  <c r="O318" i="14"/>
  <c r="P317" i="14"/>
  <c r="O317" i="14"/>
  <c r="P316" i="14"/>
  <c r="O316" i="14"/>
  <c r="P315" i="14"/>
  <c r="O315" i="14"/>
  <c r="P314" i="14"/>
  <c r="O314" i="14"/>
  <c r="P313" i="14"/>
  <c r="O313" i="14"/>
  <c r="P312" i="14"/>
  <c r="O312" i="14"/>
  <c r="P311" i="14"/>
  <c r="O311" i="14"/>
  <c r="P310" i="14"/>
  <c r="O310" i="14"/>
  <c r="P309" i="14"/>
  <c r="O309" i="14"/>
  <c r="P308" i="14"/>
  <c r="O308" i="14"/>
  <c r="P307" i="14"/>
  <c r="O307" i="14"/>
  <c r="P306" i="14"/>
  <c r="O306" i="14"/>
  <c r="P305" i="14"/>
  <c r="O305" i="14"/>
  <c r="P304" i="14"/>
  <c r="O304" i="14"/>
  <c r="P303" i="14"/>
  <c r="O303" i="14"/>
  <c r="P302" i="14"/>
  <c r="O302" i="14"/>
  <c r="P301" i="14"/>
  <c r="O301" i="14"/>
  <c r="P300" i="14"/>
  <c r="O300" i="14"/>
  <c r="P299" i="14"/>
  <c r="O299" i="14"/>
  <c r="P298" i="14"/>
  <c r="O298" i="14"/>
  <c r="P297" i="14"/>
  <c r="O297" i="14"/>
  <c r="P296" i="14"/>
  <c r="O296" i="14"/>
  <c r="P295" i="14"/>
  <c r="O295" i="14"/>
  <c r="P294" i="14"/>
  <c r="O294" i="14"/>
  <c r="P293" i="14"/>
  <c r="O293" i="14"/>
  <c r="P292" i="14"/>
  <c r="O292" i="14"/>
  <c r="P291" i="14"/>
  <c r="O291" i="14"/>
  <c r="P290" i="14"/>
  <c r="O290" i="14"/>
  <c r="P289" i="14"/>
  <c r="O289" i="14"/>
  <c r="P288" i="14"/>
  <c r="O288" i="14"/>
  <c r="P287" i="14"/>
  <c r="O287" i="14"/>
  <c r="P286" i="14"/>
  <c r="O286" i="14"/>
  <c r="P285" i="14"/>
  <c r="O285" i="14"/>
  <c r="P284" i="14"/>
  <c r="O284" i="14"/>
  <c r="P283" i="14"/>
  <c r="O283" i="14"/>
  <c r="P282" i="14"/>
  <c r="O282" i="14"/>
  <c r="P281" i="14"/>
  <c r="O281" i="14"/>
  <c r="P280" i="14"/>
  <c r="O280" i="14"/>
  <c r="P279" i="14"/>
  <c r="O279" i="14"/>
  <c r="P278" i="14"/>
  <c r="O278" i="14"/>
  <c r="P277" i="14"/>
  <c r="O277" i="14"/>
  <c r="P276" i="14"/>
  <c r="O276" i="14"/>
  <c r="P275" i="14"/>
  <c r="O275" i="14"/>
  <c r="P274" i="14"/>
  <c r="O274" i="14"/>
  <c r="P273" i="14"/>
  <c r="O273" i="14"/>
  <c r="P272" i="14"/>
  <c r="O272" i="14"/>
  <c r="P271" i="14"/>
  <c r="O271" i="14"/>
  <c r="P270" i="14"/>
  <c r="O270" i="14"/>
  <c r="P269" i="14"/>
  <c r="O269" i="14"/>
  <c r="P268" i="14"/>
  <c r="O268" i="14"/>
  <c r="P267" i="14"/>
  <c r="O267" i="14"/>
  <c r="P266" i="14"/>
  <c r="O266" i="14"/>
  <c r="P265" i="14"/>
  <c r="O265" i="14"/>
  <c r="P264" i="14"/>
  <c r="O264" i="14"/>
  <c r="P263" i="14"/>
  <c r="O263" i="14"/>
  <c r="P262" i="14"/>
  <c r="O262" i="14"/>
  <c r="P261" i="14"/>
  <c r="O261" i="14"/>
  <c r="P260" i="14"/>
  <c r="O260" i="14"/>
  <c r="P259" i="14"/>
  <c r="O259" i="14"/>
  <c r="P258" i="14"/>
  <c r="O258" i="14"/>
  <c r="P257" i="14"/>
  <c r="O257" i="14"/>
  <c r="P256" i="14"/>
  <c r="O256" i="14"/>
  <c r="P255" i="14"/>
  <c r="O255" i="14"/>
  <c r="P254" i="14"/>
  <c r="O254" i="14"/>
  <c r="P253" i="14"/>
  <c r="O253" i="14"/>
  <c r="P252" i="14"/>
  <c r="O252" i="14"/>
  <c r="P251" i="14"/>
  <c r="O251" i="14"/>
  <c r="P250" i="14"/>
  <c r="O250" i="14"/>
  <c r="P249" i="14"/>
  <c r="O249" i="14"/>
  <c r="P248" i="14"/>
  <c r="O248" i="14"/>
  <c r="P247" i="14"/>
  <c r="O247" i="14"/>
  <c r="P246" i="14"/>
  <c r="O246" i="14"/>
  <c r="P245" i="14"/>
  <c r="O245" i="14"/>
  <c r="P244" i="14"/>
  <c r="O244" i="14"/>
  <c r="P243" i="14"/>
  <c r="O243" i="14"/>
  <c r="P242" i="14"/>
  <c r="O242" i="14"/>
  <c r="P241" i="14"/>
  <c r="O241" i="14"/>
  <c r="P240" i="14"/>
  <c r="O240" i="14"/>
  <c r="P239" i="14"/>
  <c r="O239" i="14"/>
  <c r="P238" i="14"/>
  <c r="O238" i="14"/>
  <c r="P237" i="14"/>
  <c r="O237" i="14"/>
  <c r="P236" i="14"/>
  <c r="O236" i="14"/>
  <c r="P235" i="14"/>
  <c r="O235" i="14"/>
  <c r="P234" i="14"/>
  <c r="O234" i="14"/>
  <c r="P233" i="14"/>
  <c r="O233" i="14"/>
  <c r="P232" i="14"/>
  <c r="O232" i="14"/>
  <c r="P231" i="14"/>
  <c r="O231" i="14"/>
  <c r="P230" i="14"/>
  <c r="O230" i="14"/>
  <c r="P229" i="14"/>
  <c r="O229" i="14"/>
  <c r="P228" i="14"/>
  <c r="O228" i="14"/>
  <c r="P227" i="14"/>
  <c r="O227" i="14"/>
  <c r="P226" i="14"/>
  <c r="O226" i="14"/>
  <c r="P225" i="14"/>
  <c r="O225" i="14"/>
  <c r="P224" i="14"/>
  <c r="O224" i="14"/>
  <c r="P223" i="14"/>
  <c r="O223" i="14"/>
  <c r="P222" i="14"/>
  <c r="O222" i="14"/>
  <c r="P221" i="14"/>
  <c r="O221" i="14"/>
  <c r="P220" i="14"/>
  <c r="O220" i="14"/>
  <c r="P219" i="14"/>
  <c r="O219" i="14"/>
  <c r="P218" i="14"/>
  <c r="O218" i="14"/>
  <c r="P217" i="14"/>
  <c r="O217" i="14"/>
  <c r="P216" i="14"/>
  <c r="O216" i="14"/>
  <c r="P215" i="14"/>
  <c r="O215" i="14"/>
  <c r="P214" i="14"/>
  <c r="O214" i="14"/>
  <c r="P213" i="14"/>
  <c r="O213" i="14"/>
  <c r="P212" i="14"/>
  <c r="O212" i="14"/>
  <c r="P211" i="14"/>
  <c r="O211" i="14"/>
  <c r="P210" i="14"/>
  <c r="O210" i="14"/>
  <c r="P209" i="14"/>
  <c r="O209" i="14"/>
  <c r="P208" i="14"/>
  <c r="O208" i="14"/>
  <c r="P207" i="14"/>
  <c r="O207" i="14"/>
  <c r="P206" i="14"/>
  <c r="O206" i="14"/>
  <c r="P205" i="14"/>
  <c r="O205" i="14"/>
  <c r="P204" i="14"/>
  <c r="O204" i="14"/>
  <c r="P203" i="14"/>
  <c r="O203" i="14"/>
  <c r="P202" i="14"/>
  <c r="O202" i="14"/>
  <c r="P201" i="14"/>
  <c r="O201" i="14"/>
  <c r="P200" i="14"/>
  <c r="O200" i="14"/>
  <c r="P199" i="14"/>
  <c r="O199" i="14"/>
  <c r="P198" i="14"/>
  <c r="O198" i="14"/>
  <c r="P197" i="14"/>
  <c r="O197" i="14"/>
  <c r="P196" i="14"/>
  <c r="O196" i="14"/>
  <c r="P195" i="14"/>
  <c r="O195" i="14"/>
  <c r="P194" i="14"/>
  <c r="O194" i="14"/>
  <c r="P193" i="14"/>
  <c r="O193" i="14"/>
  <c r="P192" i="14"/>
  <c r="O192" i="14"/>
  <c r="P191" i="14"/>
  <c r="O191" i="14"/>
  <c r="P190" i="14"/>
  <c r="O190" i="14"/>
  <c r="P189" i="14"/>
  <c r="O189" i="14"/>
  <c r="P188" i="14"/>
  <c r="O188" i="14"/>
  <c r="P187" i="14"/>
  <c r="O187" i="14"/>
  <c r="P186" i="14"/>
  <c r="O186" i="14"/>
  <c r="P185" i="14"/>
  <c r="O185" i="14"/>
  <c r="P184" i="14"/>
  <c r="O184" i="14"/>
  <c r="P183" i="14"/>
  <c r="O183" i="14"/>
  <c r="P182" i="14"/>
  <c r="O182" i="14"/>
  <c r="P181" i="14"/>
  <c r="O181" i="14"/>
  <c r="P180" i="14"/>
  <c r="O180" i="14"/>
  <c r="P179" i="14"/>
  <c r="O179" i="14"/>
  <c r="P178" i="14"/>
  <c r="O178" i="14"/>
  <c r="P177" i="14"/>
  <c r="O177" i="14"/>
  <c r="P176" i="14"/>
  <c r="O176" i="14"/>
  <c r="P175" i="14"/>
  <c r="O175" i="14"/>
  <c r="P174" i="14"/>
  <c r="O174" i="14"/>
  <c r="P173" i="14"/>
  <c r="O173" i="14"/>
  <c r="P172" i="14"/>
  <c r="O172" i="14"/>
  <c r="P171" i="14"/>
  <c r="O171" i="14"/>
  <c r="P170" i="14"/>
  <c r="O170" i="14"/>
  <c r="P169" i="14"/>
  <c r="O169" i="14"/>
  <c r="P168" i="14"/>
  <c r="O168" i="14"/>
  <c r="P167" i="14"/>
  <c r="O167" i="14"/>
  <c r="P166" i="14"/>
  <c r="O166" i="14"/>
  <c r="P165" i="14"/>
  <c r="O165" i="14"/>
  <c r="P164" i="14"/>
  <c r="O164" i="14"/>
  <c r="P163" i="14"/>
  <c r="O163" i="14"/>
  <c r="P162" i="14"/>
  <c r="O162" i="14"/>
  <c r="P161" i="14"/>
  <c r="O161" i="14"/>
  <c r="P160" i="14"/>
  <c r="O160" i="14"/>
  <c r="P159" i="14"/>
  <c r="O159" i="14"/>
  <c r="P158" i="14"/>
  <c r="O158" i="14"/>
  <c r="P157" i="14"/>
  <c r="O157" i="14"/>
  <c r="P156" i="14"/>
  <c r="O156" i="14"/>
  <c r="P155" i="14"/>
  <c r="O155" i="14"/>
  <c r="P154" i="14"/>
  <c r="O154" i="14"/>
  <c r="P153" i="14"/>
  <c r="O153" i="14"/>
  <c r="P152" i="14"/>
  <c r="O152" i="14"/>
  <c r="P151" i="14"/>
  <c r="O151" i="14"/>
  <c r="P150" i="14"/>
  <c r="O150" i="14"/>
  <c r="P149" i="14"/>
  <c r="O149" i="14"/>
  <c r="P148" i="14"/>
  <c r="O148" i="14"/>
  <c r="P147" i="14"/>
  <c r="O147" i="14"/>
  <c r="P146" i="14"/>
  <c r="O146" i="14"/>
  <c r="P145" i="14"/>
  <c r="O145" i="14"/>
  <c r="P144" i="14"/>
  <c r="O144" i="14"/>
  <c r="P143" i="14"/>
  <c r="O143" i="14"/>
  <c r="P142" i="14"/>
  <c r="O142" i="14"/>
  <c r="P141" i="14"/>
  <c r="O141" i="14"/>
  <c r="P140" i="14"/>
  <c r="O140" i="14"/>
  <c r="P139" i="14"/>
  <c r="O139" i="14"/>
  <c r="P138" i="14"/>
  <c r="O138" i="14"/>
  <c r="P137" i="14"/>
  <c r="O137" i="14"/>
  <c r="P136" i="14"/>
  <c r="O136" i="14"/>
  <c r="P135" i="14"/>
  <c r="O135" i="14"/>
  <c r="P134" i="14"/>
  <c r="O134" i="14"/>
  <c r="P133" i="14"/>
  <c r="O133" i="14"/>
  <c r="P132" i="14"/>
  <c r="O132" i="14"/>
  <c r="P131" i="14"/>
  <c r="O131" i="14"/>
  <c r="P130" i="14"/>
  <c r="O130" i="14"/>
  <c r="P129" i="14"/>
  <c r="O129" i="14"/>
  <c r="P128" i="14"/>
  <c r="O128" i="14"/>
  <c r="P127" i="14"/>
  <c r="O127" i="14"/>
  <c r="P126" i="14"/>
  <c r="O126" i="14"/>
  <c r="P125" i="14"/>
  <c r="O125" i="14"/>
  <c r="P124" i="14"/>
  <c r="O124" i="14"/>
  <c r="P123" i="14"/>
  <c r="O123" i="14"/>
  <c r="P122" i="14"/>
  <c r="O122" i="14"/>
  <c r="P121" i="14"/>
  <c r="O121" i="14"/>
  <c r="P120" i="14"/>
  <c r="O120" i="14"/>
  <c r="P119" i="14"/>
  <c r="O119" i="14"/>
  <c r="P118" i="14"/>
  <c r="O118" i="14"/>
  <c r="P117" i="14"/>
  <c r="O117" i="14"/>
  <c r="P116" i="14"/>
  <c r="O116" i="14"/>
  <c r="P115" i="14"/>
  <c r="O115" i="14"/>
  <c r="P114" i="14"/>
  <c r="O114" i="14"/>
  <c r="P113" i="14"/>
  <c r="O113" i="14"/>
  <c r="P112" i="14"/>
  <c r="O112" i="14"/>
  <c r="P111" i="14"/>
  <c r="O111" i="14"/>
  <c r="P110" i="14"/>
  <c r="O110" i="14"/>
  <c r="P109" i="14"/>
  <c r="O109" i="14"/>
  <c r="P108" i="14"/>
  <c r="O108" i="14"/>
  <c r="P107" i="14"/>
  <c r="O107" i="14"/>
  <c r="P106" i="14"/>
  <c r="O106" i="14"/>
  <c r="P105" i="14"/>
  <c r="O105" i="14"/>
  <c r="P104" i="14"/>
  <c r="O104" i="14"/>
  <c r="P103" i="14"/>
  <c r="O103" i="14"/>
  <c r="P102" i="14"/>
  <c r="O102" i="14"/>
  <c r="P101" i="14"/>
  <c r="O101" i="14"/>
  <c r="P100" i="14"/>
  <c r="O100" i="14"/>
  <c r="P99" i="14"/>
  <c r="O99" i="14"/>
  <c r="P98" i="14"/>
  <c r="O98" i="14"/>
  <c r="P97" i="14"/>
  <c r="O97" i="14"/>
  <c r="P96" i="14"/>
  <c r="O96" i="14"/>
  <c r="P95" i="14"/>
  <c r="O95" i="14"/>
  <c r="P94" i="14"/>
  <c r="O94" i="14"/>
  <c r="P93" i="14"/>
  <c r="O93" i="14"/>
  <c r="P92" i="14"/>
  <c r="O92" i="14"/>
  <c r="P91" i="14"/>
  <c r="O91" i="14"/>
  <c r="P90" i="14"/>
  <c r="O90" i="14"/>
  <c r="P89" i="14"/>
  <c r="O89" i="14"/>
  <c r="P88" i="14"/>
  <c r="O88" i="14"/>
  <c r="P87" i="14"/>
  <c r="O87" i="14"/>
  <c r="P86" i="14"/>
  <c r="O86" i="14"/>
  <c r="P85" i="14"/>
  <c r="O85" i="14"/>
  <c r="P84" i="14"/>
  <c r="O84" i="14"/>
  <c r="P83" i="14"/>
  <c r="O83" i="14"/>
  <c r="P82" i="14"/>
  <c r="O82" i="14"/>
  <c r="P81" i="14"/>
  <c r="O81" i="14"/>
  <c r="P80" i="14"/>
  <c r="O80" i="14"/>
  <c r="P79" i="14"/>
  <c r="O79" i="14"/>
  <c r="P78" i="14"/>
  <c r="O78" i="14"/>
  <c r="P77" i="14"/>
  <c r="O77" i="14"/>
  <c r="P76" i="14"/>
  <c r="O76" i="14"/>
  <c r="P75" i="14"/>
  <c r="O75" i="14"/>
  <c r="P74" i="14"/>
  <c r="O74" i="14"/>
  <c r="P73" i="14"/>
  <c r="O73" i="14"/>
  <c r="P72" i="14"/>
  <c r="O72" i="14"/>
  <c r="P71" i="14"/>
  <c r="O71" i="14"/>
  <c r="P70" i="14"/>
  <c r="O70" i="14"/>
  <c r="P69" i="14"/>
  <c r="O69" i="14"/>
  <c r="P68" i="14"/>
  <c r="O68" i="14"/>
  <c r="P67" i="14"/>
  <c r="O67" i="14"/>
  <c r="P66" i="14"/>
  <c r="O66" i="14"/>
  <c r="P65" i="14"/>
  <c r="O65" i="14"/>
  <c r="P64" i="14"/>
  <c r="O64" i="14"/>
  <c r="P63" i="14"/>
  <c r="O63" i="14"/>
  <c r="P62" i="14"/>
  <c r="O62" i="14"/>
  <c r="P61" i="14"/>
  <c r="O61" i="14"/>
  <c r="P60" i="14"/>
  <c r="O60" i="14"/>
  <c r="P59" i="14"/>
  <c r="O59" i="14"/>
  <c r="P58" i="14"/>
  <c r="O58" i="14"/>
  <c r="P57" i="14"/>
  <c r="O57" i="14"/>
  <c r="P56" i="14"/>
  <c r="O56" i="14"/>
  <c r="P55" i="14"/>
  <c r="O55" i="14"/>
  <c r="P54" i="14"/>
  <c r="O54" i="14"/>
  <c r="P53" i="14"/>
  <c r="O53" i="14"/>
  <c r="P52" i="14"/>
  <c r="O52" i="14"/>
  <c r="P51" i="14"/>
  <c r="O51" i="14"/>
  <c r="P50" i="14"/>
  <c r="O50" i="14"/>
  <c r="P49" i="14"/>
  <c r="O49" i="14"/>
  <c r="P48" i="14"/>
  <c r="O48" i="14"/>
  <c r="P47" i="14"/>
  <c r="O47" i="14"/>
  <c r="P46" i="14"/>
  <c r="O46" i="14"/>
  <c r="P45" i="14"/>
  <c r="O45" i="14"/>
  <c r="P44" i="14"/>
  <c r="O44" i="14"/>
  <c r="P43" i="14"/>
  <c r="O43" i="14"/>
  <c r="P42" i="14"/>
  <c r="O42" i="14"/>
  <c r="P41" i="14"/>
  <c r="O41" i="14"/>
  <c r="P40" i="14"/>
  <c r="O40" i="14"/>
  <c r="P39" i="14"/>
  <c r="O39" i="14"/>
  <c r="P38" i="14"/>
  <c r="O38" i="14"/>
  <c r="P37" i="14"/>
  <c r="O37" i="14"/>
  <c r="P36" i="14"/>
  <c r="O36" i="14"/>
  <c r="P35" i="14"/>
  <c r="O35" i="14"/>
  <c r="P34" i="14"/>
  <c r="O34" i="14"/>
  <c r="P33" i="14"/>
  <c r="O33" i="14"/>
  <c r="P32" i="14"/>
  <c r="O32" i="14"/>
  <c r="P31" i="14"/>
  <c r="O31" i="14"/>
  <c r="P30" i="14"/>
  <c r="O30" i="14"/>
  <c r="P29" i="14"/>
  <c r="O29" i="14"/>
  <c r="P28" i="14"/>
  <c r="O28" i="14"/>
  <c r="P27" i="14"/>
  <c r="O27" i="14"/>
  <c r="P26" i="14"/>
  <c r="O26" i="14"/>
  <c r="P25" i="14"/>
  <c r="O25" i="14"/>
  <c r="P24" i="14"/>
  <c r="O24" i="14"/>
  <c r="P23" i="14"/>
  <c r="O23" i="14"/>
  <c r="P22" i="14"/>
  <c r="O22" i="14"/>
  <c r="P21" i="14"/>
  <c r="O21" i="14"/>
  <c r="P20" i="14"/>
  <c r="O20" i="14"/>
  <c r="P19" i="14"/>
  <c r="O19" i="14"/>
  <c r="P18" i="14"/>
  <c r="O18" i="14"/>
  <c r="P17" i="14"/>
  <c r="O17" i="14"/>
  <c r="P16" i="14"/>
  <c r="O16" i="14"/>
  <c r="P15" i="14"/>
  <c r="O15" i="14"/>
  <c r="P14" i="14"/>
  <c r="O14" i="14"/>
  <c r="P13" i="14"/>
  <c r="O13" i="14"/>
  <c r="P12" i="14"/>
  <c r="O12" i="14"/>
  <c r="P11" i="14"/>
  <c r="O11" i="14"/>
  <c r="P10" i="14"/>
  <c r="O10" i="14"/>
  <c r="P9" i="14"/>
  <c r="O9" i="14"/>
  <c r="P8" i="14"/>
  <c r="O8" i="14"/>
  <c r="P7" i="14"/>
  <c r="P6" i="14"/>
  <c r="O6" i="14"/>
  <c r="P7" i="11" l="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" i="11"/>
  <c r="G682" i="14" l="1"/>
  <c r="F682" i="14"/>
  <c r="E682" i="14"/>
  <c r="D682" i="14"/>
  <c r="G24" i="3" s="1"/>
  <c r="C682" i="14"/>
  <c r="G23" i="3" s="1"/>
  <c r="M681" i="14"/>
  <c r="L681" i="14"/>
  <c r="K681" i="14"/>
  <c r="J681" i="14"/>
  <c r="I681" i="14"/>
  <c r="M680" i="14"/>
  <c r="L680" i="14"/>
  <c r="K680" i="14"/>
  <c r="J680" i="14"/>
  <c r="I680" i="14"/>
  <c r="M679" i="14"/>
  <c r="L679" i="14"/>
  <c r="K679" i="14"/>
  <c r="J679" i="14"/>
  <c r="I679" i="14"/>
  <c r="M678" i="14"/>
  <c r="L678" i="14"/>
  <c r="K678" i="14"/>
  <c r="J678" i="14"/>
  <c r="I678" i="14"/>
  <c r="M677" i="14"/>
  <c r="L677" i="14"/>
  <c r="K677" i="14"/>
  <c r="J677" i="14"/>
  <c r="I677" i="14"/>
  <c r="M676" i="14"/>
  <c r="L676" i="14"/>
  <c r="K676" i="14"/>
  <c r="J676" i="14"/>
  <c r="I676" i="14"/>
  <c r="M675" i="14"/>
  <c r="L675" i="14"/>
  <c r="K675" i="14"/>
  <c r="J675" i="14"/>
  <c r="I675" i="14"/>
  <c r="M674" i="14"/>
  <c r="L674" i="14"/>
  <c r="K674" i="14"/>
  <c r="J674" i="14"/>
  <c r="I674" i="14"/>
  <c r="M673" i="14"/>
  <c r="L673" i="14"/>
  <c r="K673" i="14"/>
  <c r="J673" i="14"/>
  <c r="I673" i="14"/>
  <c r="M672" i="14"/>
  <c r="L672" i="14"/>
  <c r="K672" i="14"/>
  <c r="J672" i="14"/>
  <c r="I672" i="14"/>
  <c r="M671" i="14"/>
  <c r="L671" i="14"/>
  <c r="K671" i="14"/>
  <c r="J671" i="14"/>
  <c r="I671" i="14"/>
  <c r="M670" i="14"/>
  <c r="L670" i="14"/>
  <c r="K670" i="14"/>
  <c r="J670" i="14"/>
  <c r="I670" i="14"/>
  <c r="M669" i="14"/>
  <c r="L669" i="14"/>
  <c r="K669" i="14"/>
  <c r="J669" i="14"/>
  <c r="I669" i="14"/>
  <c r="M668" i="14"/>
  <c r="L668" i="14"/>
  <c r="K668" i="14"/>
  <c r="J668" i="14"/>
  <c r="I668" i="14"/>
  <c r="M667" i="14"/>
  <c r="L667" i="14"/>
  <c r="K667" i="14"/>
  <c r="J667" i="14"/>
  <c r="I667" i="14"/>
  <c r="M666" i="14"/>
  <c r="L666" i="14"/>
  <c r="K666" i="14"/>
  <c r="J666" i="14"/>
  <c r="I666" i="14"/>
  <c r="M665" i="14"/>
  <c r="L665" i="14"/>
  <c r="K665" i="14"/>
  <c r="J665" i="14"/>
  <c r="I665" i="14"/>
  <c r="M664" i="14"/>
  <c r="L664" i="14"/>
  <c r="K664" i="14"/>
  <c r="J664" i="14"/>
  <c r="I664" i="14"/>
  <c r="M663" i="14"/>
  <c r="L663" i="14"/>
  <c r="K663" i="14"/>
  <c r="J663" i="14"/>
  <c r="I663" i="14"/>
  <c r="M662" i="14"/>
  <c r="L662" i="14"/>
  <c r="K662" i="14"/>
  <c r="J662" i="14"/>
  <c r="I662" i="14"/>
  <c r="M661" i="14"/>
  <c r="L661" i="14"/>
  <c r="K661" i="14"/>
  <c r="J661" i="14"/>
  <c r="I661" i="14"/>
  <c r="M660" i="14"/>
  <c r="L660" i="14"/>
  <c r="K660" i="14"/>
  <c r="J660" i="14"/>
  <c r="I660" i="14"/>
  <c r="M659" i="14"/>
  <c r="L659" i="14"/>
  <c r="K659" i="14"/>
  <c r="J659" i="14"/>
  <c r="I659" i="14"/>
  <c r="M658" i="14"/>
  <c r="L658" i="14"/>
  <c r="K658" i="14"/>
  <c r="J658" i="14"/>
  <c r="I658" i="14"/>
  <c r="M657" i="14"/>
  <c r="L657" i="14"/>
  <c r="K657" i="14"/>
  <c r="J657" i="14"/>
  <c r="I657" i="14"/>
  <c r="M656" i="14"/>
  <c r="L656" i="14"/>
  <c r="K656" i="14"/>
  <c r="J656" i="14"/>
  <c r="I656" i="14"/>
  <c r="M655" i="14"/>
  <c r="L655" i="14"/>
  <c r="K655" i="14"/>
  <c r="J655" i="14"/>
  <c r="I655" i="14"/>
  <c r="M654" i="14"/>
  <c r="L654" i="14"/>
  <c r="K654" i="14"/>
  <c r="J654" i="14"/>
  <c r="I654" i="14"/>
  <c r="M653" i="14"/>
  <c r="L653" i="14"/>
  <c r="K653" i="14"/>
  <c r="J653" i="14"/>
  <c r="I653" i="14"/>
  <c r="M652" i="14"/>
  <c r="L652" i="14"/>
  <c r="K652" i="14"/>
  <c r="J652" i="14"/>
  <c r="I652" i="14"/>
  <c r="M651" i="14"/>
  <c r="L651" i="14"/>
  <c r="K651" i="14"/>
  <c r="J651" i="14"/>
  <c r="I651" i="14"/>
  <c r="M650" i="14"/>
  <c r="L650" i="14"/>
  <c r="K650" i="14"/>
  <c r="J650" i="14"/>
  <c r="I650" i="14"/>
  <c r="M649" i="14"/>
  <c r="L649" i="14"/>
  <c r="K649" i="14"/>
  <c r="J649" i="14"/>
  <c r="I649" i="14"/>
  <c r="M648" i="14"/>
  <c r="L648" i="14"/>
  <c r="K648" i="14"/>
  <c r="J648" i="14"/>
  <c r="I648" i="14"/>
  <c r="M647" i="14"/>
  <c r="L647" i="14"/>
  <c r="K647" i="14"/>
  <c r="J647" i="14"/>
  <c r="I647" i="14"/>
  <c r="M646" i="14"/>
  <c r="L646" i="14"/>
  <c r="K646" i="14"/>
  <c r="J646" i="14"/>
  <c r="I646" i="14"/>
  <c r="M645" i="14"/>
  <c r="L645" i="14"/>
  <c r="K645" i="14"/>
  <c r="J645" i="14"/>
  <c r="I645" i="14"/>
  <c r="M644" i="14"/>
  <c r="L644" i="14"/>
  <c r="K644" i="14"/>
  <c r="J644" i="14"/>
  <c r="I644" i="14"/>
  <c r="M643" i="14"/>
  <c r="L643" i="14"/>
  <c r="K643" i="14"/>
  <c r="J643" i="14"/>
  <c r="I643" i="14"/>
  <c r="M642" i="14"/>
  <c r="L642" i="14"/>
  <c r="K642" i="14"/>
  <c r="J642" i="14"/>
  <c r="I642" i="14"/>
  <c r="M641" i="14"/>
  <c r="L641" i="14"/>
  <c r="K641" i="14"/>
  <c r="J641" i="14"/>
  <c r="I641" i="14"/>
  <c r="M640" i="14"/>
  <c r="L640" i="14"/>
  <c r="K640" i="14"/>
  <c r="J640" i="14"/>
  <c r="I640" i="14"/>
  <c r="M639" i="14"/>
  <c r="L639" i="14"/>
  <c r="K639" i="14"/>
  <c r="J639" i="14"/>
  <c r="I639" i="14"/>
  <c r="M638" i="14"/>
  <c r="L638" i="14"/>
  <c r="K638" i="14"/>
  <c r="J638" i="14"/>
  <c r="I638" i="14"/>
  <c r="M637" i="14"/>
  <c r="L637" i="14"/>
  <c r="K637" i="14"/>
  <c r="J637" i="14"/>
  <c r="I637" i="14"/>
  <c r="M636" i="14"/>
  <c r="L636" i="14"/>
  <c r="K636" i="14"/>
  <c r="J636" i="14"/>
  <c r="I636" i="14"/>
  <c r="M635" i="14"/>
  <c r="L635" i="14"/>
  <c r="K635" i="14"/>
  <c r="J635" i="14"/>
  <c r="I635" i="14"/>
  <c r="M634" i="14"/>
  <c r="L634" i="14"/>
  <c r="K634" i="14"/>
  <c r="J634" i="14"/>
  <c r="I634" i="14"/>
  <c r="M633" i="14"/>
  <c r="L633" i="14"/>
  <c r="K633" i="14"/>
  <c r="J633" i="14"/>
  <c r="I633" i="14"/>
  <c r="M632" i="14"/>
  <c r="L632" i="14"/>
  <c r="K632" i="14"/>
  <c r="J632" i="14"/>
  <c r="I632" i="14"/>
  <c r="M631" i="14"/>
  <c r="L631" i="14"/>
  <c r="K631" i="14"/>
  <c r="J631" i="14"/>
  <c r="I631" i="14"/>
  <c r="M630" i="14"/>
  <c r="L630" i="14"/>
  <c r="K630" i="14"/>
  <c r="J630" i="14"/>
  <c r="I630" i="14"/>
  <c r="M629" i="14"/>
  <c r="L629" i="14"/>
  <c r="K629" i="14"/>
  <c r="J629" i="14"/>
  <c r="I629" i="14"/>
  <c r="M628" i="14"/>
  <c r="L628" i="14"/>
  <c r="K628" i="14"/>
  <c r="J628" i="14"/>
  <c r="I628" i="14"/>
  <c r="M627" i="14"/>
  <c r="L627" i="14"/>
  <c r="K627" i="14"/>
  <c r="J627" i="14"/>
  <c r="I627" i="14"/>
  <c r="M626" i="14"/>
  <c r="L626" i="14"/>
  <c r="K626" i="14"/>
  <c r="J626" i="14"/>
  <c r="I626" i="14"/>
  <c r="M625" i="14"/>
  <c r="L625" i="14"/>
  <c r="K625" i="14"/>
  <c r="J625" i="14"/>
  <c r="I625" i="14"/>
  <c r="M624" i="14"/>
  <c r="L624" i="14"/>
  <c r="K624" i="14"/>
  <c r="J624" i="14"/>
  <c r="I624" i="14"/>
  <c r="M623" i="14"/>
  <c r="L623" i="14"/>
  <c r="K623" i="14"/>
  <c r="J623" i="14"/>
  <c r="I623" i="14"/>
  <c r="M622" i="14"/>
  <c r="L622" i="14"/>
  <c r="K622" i="14"/>
  <c r="J622" i="14"/>
  <c r="I622" i="14"/>
  <c r="M621" i="14"/>
  <c r="L621" i="14"/>
  <c r="K621" i="14"/>
  <c r="J621" i="14"/>
  <c r="I621" i="14"/>
  <c r="M620" i="14"/>
  <c r="L620" i="14"/>
  <c r="K620" i="14"/>
  <c r="J620" i="14"/>
  <c r="I620" i="14"/>
  <c r="M619" i="14"/>
  <c r="L619" i="14"/>
  <c r="K619" i="14"/>
  <c r="J619" i="14"/>
  <c r="I619" i="14"/>
  <c r="M618" i="14"/>
  <c r="L618" i="14"/>
  <c r="K618" i="14"/>
  <c r="J618" i="14"/>
  <c r="I618" i="14"/>
  <c r="M617" i="14"/>
  <c r="L617" i="14"/>
  <c r="K617" i="14"/>
  <c r="J617" i="14"/>
  <c r="I617" i="14"/>
  <c r="M616" i="14"/>
  <c r="L616" i="14"/>
  <c r="K616" i="14"/>
  <c r="J616" i="14"/>
  <c r="I616" i="14"/>
  <c r="M615" i="14"/>
  <c r="L615" i="14"/>
  <c r="K615" i="14"/>
  <c r="J615" i="14"/>
  <c r="I615" i="14"/>
  <c r="M614" i="14"/>
  <c r="L614" i="14"/>
  <c r="K614" i="14"/>
  <c r="J614" i="14"/>
  <c r="I614" i="14"/>
  <c r="M613" i="14"/>
  <c r="L613" i="14"/>
  <c r="K613" i="14"/>
  <c r="J613" i="14"/>
  <c r="I613" i="14"/>
  <c r="M612" i="14"/>
  <c r="L612" i="14"/>
  <c r="K612" i="14"/>
  <c r="J612" i="14"/>
  <c r="I612" i="14"/>
  <c r="M611" i="14"/>
  <c r="L611" i="14"/>
  <c r="K611" i="14"/>
  <c r="J611" i="14"/>
  <c r="I611" i="14"/>
  <c r="M610" i="14"/>
  <c r="L610" i="14"/>
  <c r="K610" i="14"/>
  <c r="J610" i="14"/>
  <c r="I610" i="14"/>
  <c r="M609" i="14"/>
  <c r="L609" i="14"/>
  <c r="K609" i="14"/>
  <c r="J609" i="14"/>
  <c r="I609" i="14"/>
  <c r="M608" i="14"/>
  <c r="L608" i="14"/>
  <c r="K608" i="14"/>
  <c r="J608" i="14"/>
  <c r="I608" i="14"/>
  <c r="M607" i="14"/>
  <c r="L607" i="14"/>
  <c r="K607" i="14"/>
  <c r="J607" i="14"/>
  <c r="I607" i="14"/>
  <c r="M606" i="14"/>
  <c r="L606" i="14"/>
  <c r="K606" i="14"/>
  <c r="J606" i="14"/>
  <c r="I606" i="14"/>
  <c r="M605" i="14"/>
  <c r="L605" i="14"/>
  <c r="K605" i="14"/>
  <c r="J605" i="14"/>
  <c r="I605" i="14"/>
  <c r="M604" i="14"/>
  <c r="L604" i="14"/>
  <c r="K604" i="14"/>
  <c r="J604" i="14"/>
  <c r="I604" i="14"/>
  <c r="M603" i="14"/>
  <c r="L603" i="14"/>
  <c r="K603" i="14"/>
  <c r="J603" i="14"/>
  <c r="I603" i="14"/>
  <c r="M602" i="14"/>
  <c r="L602" i="14"/>
  <c r="K602" i="14"/>
  <c r="J602" i="14"/>
  <c r="I602" i="14"/>
  <c r="M601" i="14"/>
  <c r="L601" i="14"/>
  <c r="K601" i="14"/>
  <c r="J601" i="14"/>
  <c r="I601" i="14"/>
  <c r="M600" i="14"/>
  <c r="L600" i="14"/>
  <c r="K600" i="14"/>
  <c r="J600" i="14"/>
  <c r="I600" i="14"/>
  <c r="M599" i="14"/>
  <c r="L599" i="14"/>
  <c r="K599" i="14"/>
  <c r="J599" i="14"/>
  <c r="I599" i="14"/>
  <c r="M598" i="14"/>
  <c r="L598" i="14"/>
  <c r="K598" i="14"/>
  <c r="J598" i="14"/>
  <c r="I598" i="14"/>
  <c r="M597" i="14"/>
  <c r="L597" i="14"/>
  <c r="K597" i="14"/>
  <c r="J597" i="14"/>
  <c r="I597" i="14"/>
  <c r="M596" i="14"/>
  <c r="L596" i="14"/>
  <c r="K596" i="14"/>
  <c r="J596" i="14"/>
  <c r="I596" i="14"/>
  <c r="M595" i="14"/>
  <c r="L595" i="14"/>
  <c r="K595" i="14"/>
  <c r="J595" i="14"/>
  <c r="I595" i="14"/>
  <c r="M594" i="14"/>
  <c r="L594" i="14"/>
  <c r="K594" i="14"/>
  <c r="J594" i="14"/>
  <c r="I594" i="14"/>
  <c r="M593" i="14"/>
  <c r="L593" i="14"/>
  <c r="K593" i="14"/>
  <c r="J593" i="14"/>
  <c r="I593" i="14"/>
  <c r="M592" i="14"/>
  <c r="L592" i="14"/>
  <c r="K592" i="14"/>
  <c r="J592" i="14"/>
  <c r="I592" i="14"/>
  <c r="M591" i="14"/>
  <c r="L591" i="14"/>
  <c r="K591" i="14"/>
  <c r="J591" i="14"/>
  <c r="I591" i="14"/>
  <c r="M590" i="14"/>
  <c r="L590" i="14"/>
  <c r="K590" i="14"/>
  <c r="J590" i="14"/>
  <c r="I590" i="14"/>
  <c r="M589" i="14"/>
  <c r="L589" i="14"/>
  <c r="K589" i="14"/>
  <c r="J589" i="14"/>
  <c r="I589" i="14"/>
  <c r="M588" i="14"/>
  <c r="L588" i="14"/>
  <c r="K588" i="14"/>
  <c r="J588" i="14"/>
  <c r="I588" i="14"/>
  <c r="M587" i="14"/>
  <c r="L587" i="14"/>
  <c r="K587" i="14"/>
  <c r="J587" i="14"/>
  <c r="I587" i="14"/>
  <c r="M586" i="14"/>
  <c r="L586" i="14"/>
  <c r="K586" i="14"/>
  <c r="J586" i="14"/>
  <c r="I586" i="14"/>
  <c r="M585" i="14"/>
  <c r="L585" i="14"/>
  <c r="K585" i="14"/>
  <c r="J585" i="14"/>
  <c r="I585" i="14"/>
  <c r="M584" i="14"/>
  <c r="L584" i="14"/>
  <c r="K584" i="14"/>
  <c r="J584" i="14"/>
  <c r="I584" i="14"/>
  <c r="M583" i="14"/>
  <c r="L583" i="14"/>
  <c r="K583" i="14"/>
  <c r="J583" i="14"/>
  <c r="I583" i="14"/>
  <c r="M582" i="14"/>
  <c r="L582" i="14"/>
  <c r="K582" i="14"/>
  <c r="J582" i="14"/>
  <c r="I582" i="14"/>
  <c r="M581" i="14"/>
  <c r="L581" i="14"/>
  <c r="K581" i="14"/>
  <c r="J581" i="14"/>
  <c r="I581" i="14"/>
  <c r="M580" i="14"/>
  <c r="L580" i="14"/>
  <c r="K580" i="14"/>
  <c r="J580" i="14"/>
  <c r="I580" i="14"/>
  <c r="M579" i="14"/>
  <c r="L579" i="14"/>
  <c r="K579" i="14"/>
  <c r="J579" i="14"/>
  <c r="I579" i="14"/>
  <c r="M578" i="14"/>
  <c r="L578" i="14"/>
  <c r="K578" i="14"/>
  <c r="J578" i="14"/>
  <c r="I578" i="14"/>
  <c r="M577" i="14"/>
  <c r="L577" i="14"/>
  <c r="K577" i="14"/>
  <c r="J577" i="14"/>
  <c r="I577" i="14"/>
  <c r="M576" i="14"/>
  <c r="L576" i="14"/>
  <c r="K576" i="14"/>
  <c r="J576" i="14"/>
  <c r="I576" i="14"/>
  <c r="M575" i="14"/>
  <c r="L575" i="14"/>
  <c r="K575" i="14"/>
  <c r="J575" i="14"/>
  <c r="I575" i="14"/>
  <c r="M574" i="14"/>
  <c r="L574" i="14"/>
  <c r="K574" i="14"/>
  <c r="J574" i="14"/>
  <c r="I574" i="14"/>
  <c r="M573" i="14"/>
  <c r="L573" i="14"/>
  <c r="K573" i="14"/>
  <c r="J573" i="14"/>
  <c r="I573" i="14"/>
  <c r="M572" i="14"/>
  <c r="L572" i="14"/>
  <c r="K572" i="14"/>
  <c r="J572" i="14"/>
  <c r="I572" i="14"/>
  <c r="M571" i="14"/>
  <c r="L571" i="14"/>
  <c r="K571" i="14"/>
  <c r="J571" i="14"/>
  <c r="I571" i="14"/>
  <c r="M570" i="14"/>
  <c r="L570" i="14"/>
  <c r="K570" i="14"/>
  <c r="J570" i="14"/>
  <c r="I570" i="14"/>
  <c r="M569" i="14"/>
  <c r="L569" i="14"/>
  <c r="K569" i="14"/>
  <c r="J569" i="14"/>
  <c r="I569" i="14"/>
  <c r="M568" i="14"/>
  <c r="L568" i="14"/>
  <c r="K568" i="14"/>
  <c r="J568" i="14"/>
  <c r="I568" i="14"/>
  <c r="M567" i="14"/>
  <c r="L567" i="14"/>
  <c r="K567" i="14"/>
  <c r="J567" i="14"/>
  <c r="I567" i="14"/>
  <c r="M566" i="14"/>
  <c r="L566" i="14"/>
  <c r="K566" i="14"/>
  <c r="J566" i="14"/>
  <c r="I566" i="14"/>
  <c r="M565" i="14"/>
  <c r="L565" i="14"/>
  <c r="K565" i="14"/>
  <c r="J565" i="14"/>
  <c r="I565" i="14"/>
  <c r="M564" i="14"/>
  <c r="L564" i="14"/>
  <c r="K564" i="14"/>
  <c r="J564" i="14"/>
  <c r="I564" i="14"/>
  <c r="M563" i="14"/>
  <c r="L563" i="14"/>
  <c r="K563" i="14"/>
  <c r="J563" i="14"/>
  <c r="I563" i="14"/>
  <c r="M562" i="14"/>
  <c r="L562" i="14"/>
  <c r="K562" i="14"/>
  <c r="J562" i="14"/>
  <c r="I562" i="14"/>
  <c r="M561" i="14"/>
  <c r="L561" i="14"/>
  <c r="K561" i="14"/>
  <c r="J561" i="14"/>
  <c r="I561" i="14"/>
  <c r="M560" i="14"/>
  <c r="L560" i="14"/>
  <c r="K560" i="14"/>
  <c r="J560" i="14"/>
  <c r="I560" i="14"/>
  <c r="M559" i="14"/>
  <c r="L559" i="14"/>
  <c r="K559" i="14"/>
  <c r="J559" i="14"/>
  <c r="I559" i="14"/>
  <c r="M558" i="14"/>
  <c r="L558" i="14"/>
  <c r="K558" i="14"/>
  <c r="J558" i="14"/>
  <c r="I558" i="14"/>
  <c r="M557" i="14"/>
  <c r="L557" i="14"/>
  <c r="K557" i="14"/>
  <c r="J557" i="14"/>
  <c r="I557" i="14"/>
  <c r="M556" i="14"/>
  <c r="L556" i="14"/>
  <c r="K556" i="14"/>
  <c r="J556" i="14"/>
  <c r="I556" i="14"/>
  <c r="M555" i="14"/>
  <c r="L555" i="14"/>
  <c r="K555" i="14"/>
  <c r="J555" i="14"/>
  <c r="I555" i="14"/>
  <c r="M554" i="14"/>
  <c r="L554" i="14"/>
  <c r="K554" i="14"/>
  <c r="J554" i="14"/>
  <c r="I554" i="14"/>
  <c r="M553" i="14"/>
  <c r="L553" i="14"/>
  <c r="K553" i="14"/>
  <c r="J553" i="14"/>
  <c r="I553" i="14"/>
  <c r="M552" i="14"/>
  <c r="L552" i="14"/>
  <c r="K552" i="14"/>
  <c r="J552" i="14"/>
  <c r="I552" i="14"/>
  <c r="M551" i="14"/>
  <c r="L551" i="14"/>
  <c r="K551" i="14"/>
  <c r="J551" i="14"/>
  <c r="I551" i="14"/>
  <c r="M550" i="14"/>
  <c r="L550" i="14"/>
  <c r="K550" i="14"/>
  <c r="J550" i="14"/>
  <c r="I550" i="14"/>
  <c r="M549" i="14"/>
  <c r="L549" i="14"/>
  <c r="K549" i="14"/>
  <c r="J549" i="14"/>
  <c r="I549" i="14"/>
  <c r="M548" i="14"/>
  <c r="L548" i="14"/>
  <c r="K548" i="14"/>
  <c r="J548" i="14"/>
  <c r="I548" i="14"/>
  <c r="M547" i="14"/>
  <c r="L547" i="14"/>
  <c r="K547" i="14"/>
  <c r="J547" i="14"/>
  <c r="I547" i="14"/>
  <c r="M546" i="14"/>
  <c r="L546" i="14"/>
  <c r="K546" i="14"/>
  <c r="J546" i="14"/>
  <c r="I546" i="14"/>
  <c r="M545" i="14"/>
  <c r="L545" i="14"/>
  <c r="K545" i="14"/>
  <c r="J545" i="14"/>
  <c r="I545" i="14"/>
  <c r="M544" i="14"/>
  <c r="L544" i="14"/>
  <c r="K544" i="14"/>
  <c r="J544" i="14"/>
  <c r="I544" i="14"/>
  <c r="M543" i="14"/>
  <c r="L543" i="14"/>
  <c r="K543" i="14"/>
  <c r="J543" i="14"/>
  <c r="I543" i="14"/>
  <c r="M542" i="14"/>
  <c r="L542" i="14"/>
  <c r="K542" i="14"/>
  <c r="J542" i="14"/>
  <c r="I542" i="14"/>
  <c r="M541" i="14"/>
  <c r="L541" i="14"/>
  <c r="K541" i="14"/>
  <c r="J541" i="14"/>
  <c r="I541" i="14"/>
  <c r="M540" i="14"/>
  <c r="L540" i="14"/>
  <c r="K540" i="14"/>
  <c r="J540" i="14"/>
  <c r="I540" i="14"/>
  <c r="M539" i="14"/>
  <c r="L539" i="14"/>
  <c r="K539" i="14"/>
  <c r="J539" i="14"/>
  <c r="I539" i="14"/>
  <c r="M538" i="14"/>
  <c r="L538" i="14"/>
  <c r="K538" i="14"/>
  <c r="J538" i="14"/>
  <c r="I538" i="14"/>
  <c r="M537" i="14"/>
  <c r="L537" i="14"/>
  <c r="K537" i="14"/>
  <c r="J537" i="14"/>
  <c r="I537" i="14"/>
  <c r="M536" i="14"/>
  <c r="L536" i="14"/>
  <c r="K536" i="14"/>
  <c r="J536" i="14"/>
  <c r="I536" i="14"/>
  <c r="M535" i="14"/>
  <c r="L535" i="14"/>
  <c r="K535" i="14"/>
  <c r="J535" i="14"/>
  <c r="I535" i="14"/>
  <c r="M534" i="14"/>
  <c r="L534" i="14"/>
  <c r="K534" i="14"/>
  <c r="J534" i="14"/>
  <c r="I534" i="14"/>
  <c r="M533" i="14"/>
  <c r="L533" i="14"/>
  <c r="K533" i="14"/>
  <c r="J533" i="14"/>
  <c r="I533" i="14"/>
  <c r="M532" i="14"/>
  <c r="L532" i="14"/>
  <c r="K532" i="14"/>
  <c r="J532" i="14"/>
  <c r="I532" i="14"/>
  <c r="M531" i="14"/>
  <c r="L531" i="14"/>
  <c r="K531" i="14"/>
  <c r="J531" i="14"/>
  <c r="I531" i="14"/>
  <c r="M530" i="14"/>
  <c r="L530" i="14"/>
  <c r="K530" i="14"/>
  <c r="J530" i="14"/>
  <c r="I530" i="14"/>
  <c r="M529" i="14"/>
  <c r="L529" i="14"/>
  <c r="K529" i="14"/>
  <c r="J529" i="14"/>
  <c r="I529" i="14"/>
  <c r="M528" i="14"/>
  <c r="L528" i="14"/>
  <c r="K528" i="14"/>
  <c r="J528" i="14"/>
  <c r="I528" i="14"/>
  <c r="M527" i="14"/>
  <c r="L527" i="14"/>
  <c r="K527" i="14"/>
  <c r="J527" i="14"/>
  <c r="I527" i="14"/>
  <c r="M526" i="14"/>
  <c r="L526" i="14"/>
  <c r="K526" i="14"/>
  <c r="J526" i="14"/>
  <c r="I526" i="14"/>
  <c r="M525" i="14"/>
  <c r="L525" i="14"/>
  <c r="K525" i="14"/>
  <c r="J525" i="14"/>
  <c r="I525" i="14"/>
  <c r="M524" i="14"/>
  <c r="L524" i="14"/>
  <c r="K524" i="14"/>
  <c r="J524" i="14"/>
  <c r="I524" i="14"/>
  <c r="M523" i="14"/>
  <c r="L523" i="14"/>
  <c r="K523" i="14"/>
  <c r="J523" i="14"/>
  <c r="I523" i="14"/>
  <c r="M522" i="14"/>
  <c r="L522" i="14"/>
  <c r="K522" i="14"/>
  <c r="J522" i="14"/>
  <c r="I522" i="14"/>
  <c r="M521" i="14"/>
  <c r="L521" i="14"/>
  <c r="K521" i="14"/>
  <c r="J521" i="14"/>
  <c r="I521" i="14"/>
  <c r="M520" i="14"/>
  <c r="L520" i="14"/>
  <c r="K520" i="14"/>
  <c r="J520" i="14"/>
  <c r="I520" i="14"/>
  <c r="M519" i="14"/>
  <c r="L519" i="14"/>
  <c r="K519" i="14"/>
  <c r="J519" i="14"/>
  <c r="I519" i="14"/>
  <c r="M518" i="14"/>
  <c r="L518" i="14"/>
  <c r="K518" i="14"/>
  <c r="J518" i="14"/>
  <c r="I518" i="14"/>
  <c r="M517" i="14"/>
  <c r="L517" i="14"/>
  <c r="K517" i="14"/>
  <c r="J517" i="14"/>
  <c r="I517" i="14"/>
  <c r="M516" i="14"/>
  <c r="L516" i="14"/>
  <c r="K516" i="14"/>
  <c r="J516" i="14"/>
  <c r="I516" i="14"/>
  <c r="M515" i="14"/>
  <c r="L515" i="14"/>
  <c r="K515" i="14"/>
  <c r="J515" i="14"/>
  <c r="I515" i="14"/>
  <c r="M514" i="14"/>
  <c r="L514" i="14"/>
  <c r="K514" i="14"/>
  <c r="J514" i="14"/>
  <c r="I514" i="14"/>
  <c r="M513" i="14"/>
  <c r="L513" i="14"/>
  <c r="K513" i="14"/>
  <c r="J513" i="14"/>
  <c r="I513" i="14"/>
  <c r="M512" i="14"/>
  <c r="L512" i="14"/>
  <c r="K512" i="14"/>
  <c r="J512" i="14"/>
  <c r="I512" i="14"/>
  <c r="M511" i="14"/>
  <c r="L511" i="14"/>
  <c r="K511" i="14"/>
  <c r="J511" i="14"/>
  <c r="I511" i="14"/>
  <c r="M510" i="14"/>
  <c r="L510" i="14"/>
  <c r="K510" i="14"/>
  <c r="J510" i="14"/>
  <c r="I510" i="14"/>
  <c r="M509" i="14"/>
  <c r="L509" i="14"/>
  <c r="K509" i="14"/>
  <c r="J509" i="14"/>
  <c r="I509" i="14"/>
  <c r="M508" i="14"/>
  <c r="L508" i="14"/>
  <c r="K508" i="14"/>
  <c r="J508" i="14"/>
  <c r="I508" i="14"/>
  <c r="M507" i="14"/>
  <c r="L507" i="14"/>
  <c r="K507" i="14"/>
  <c r="J507" i="14"/>
  <c r="I507" i="14"/>
  <c r="M506" i="14"/>
  <c r="L506" i="14"/>
  <c r="K506" i="14"/>
  <c r="J506" i="14"/>
  <c r="I506" i="14"/>
  <c r="M505" i="14"/>
  <c r="L505" i="14"/>
  <c r="K505" i="14"/>
  <c r="J505" i="14"/>
  <c r="I505" i="14"/>
  <c r="M504" i="14"/>
  <c r="L504" i="14"/>
  <c r="K504" i="14"/>
  <c r="J504" i="14"/>
  <c r="I504" i="14"/>
  <c r="M503" i="14"/>
  <c r="L503" i="14"/>
  <c r="K503" i="14"/>
  <c r="J503" i="14"/>
  <c r="I503" i="14"/>
  <c r="M502" i="14"/>
  <c r="L502" i="14"/>
  <c r="K502" i="14"/>
  <c r="J502" i="14"/>
  <c r="I502" i="14"/>
  <c r="M501" i="14"/>
  <c r="L501" i="14"/>
  <c r="K501" i="14"/>
  <c r="J501" i="14"/>
  <c r="I501" i="14"/>
  <c r="M500" i="14"/>
  <c r="L500" i="14"/>
  <c r="K500" i="14"/>
  <c r="J500" i="14"/>
  <c r="I500" i="14"/>
  <c r="M499" i="14"/>
  <c r="L499" i="14"/>
  <c r="K499" i="14"/>
  <c r="J499" i="14"/>
  <c r="I499" i="14"/>
  <c r="M498" i="14"/>
  <c r="L498" i="14"/>
  <c r="K498" i="14"/>
  <c r="J498" i="14"/>
  <c r="I498" i="14"/>
  <c r="M497" i="14"/>
  <c r="L497" i="14"/>
  <c r="K497" i="14"/>
  <c r="J497" i="14"/>
  <c r="I497" i="14"/>
  <c r="M496" i="14"/>
  <c r="L496" i="14"/>
  <c r="K496" i="14"/>
  <c r="J496" i="14"/>
  <c r="I496" i="14"/>
  <c r="M495" i="14"/>
  <c r="L495" i="14"/>
  <c r="K495" i="14"/>
  <c r="J495" i="14"/>
  <c r="I495" i="14"/>
  <c r="M494" i="14"/>
  <c r="L494" i="14"/>
  <c r="K494" i="14"/>
  <c r="J494" i="14"/>
  <c r="I494" i="14"/>
  <c r="M493" i="14"/>
  <c r="L493" i="14"/>
  <c r="K493" i="14"/>
  <c r="J493" i="14"/>
  <c r="I493" i="14"/>
  <c r="M492" i="14"/>
  <c r="L492" i="14"/>
  <c r="K492" i="14"/>
  <c r="J492" i="14"/>
  <c r="I492" i="14"/>
  <c r="M491" i="14"/>
  <c r="L491" i="14"/>
  <c r="K491" i="14"/>
  <c r="J491" i="14"/>
  <c r="I491" i="14"/>
  <c r="M490" i="14"/>
  <c r="L490" i="14"/>
  <c r="K490" i="14"/>
  <c r="J490" i="14"/>
  <c r="I490" i="14"/>
  <c r="M489" i="14"/>
  <c r="L489" i="14"/>
  <c r="K489" i="14"/>
  <c r="J489" i="14"/>
  <c r="I489" i="14"/>
  <c r="M488" i="14"/>
  <c r="L488" i="14"/>
  <c r="K488" i="14"/>
  <c r="J488" i="14"/>
  <c r="I488" i="14"/>
  <c r="M487" i="14"/>
  <c r="L487" i="14"/>
  <c r="K487" i="14"/>
  <c r="J487" i="14"/>
  <c r="I487" i="14"/>
  <c r="M486" i="14"/>
  <c r="L486" i="14"/>
  <c r="K486" i="14"/>
  <c r="J486" i="14"/>
  <c r="I486" i="14"/>
  <c r="M485" i="14"/>
  <c r="L485" i="14"/>
  <c r="K485" i="14"/>
  <c r="J485" i="14"/>
  <c r="I485" i="14"/>
  <c r="M484" i="14"/>
  <c r="L484" i="14"/>
  <c r="K484" i="14"/>
  <c r="J484" i="14"/>
  <c r="I484" i="14"/>
  <c r="M483" i="14"/>
  <c r="L483" i="14"/>
  <c r="K483" i="14"/>
  <c r="J483" i="14"/>
  <c r="I483" i="14"/>
  <c r="M482" i="14"/>
  <c r="L482" i="14"/>
  <c r="K482" i="14"/>
  <c r="J482" i="14"/>
  <c r="I482" i="14"/>
  <c r="M481" i="14"/>
  <c r="L481" i="14"/>
  <c r="K481" i="14"/>
  <c r="J481" i="14"/>
  <c r="I481" i="14"/>
  <c r="M480" i="14"/>
  <c r="L480" i="14"/>
  <c r="K480" i="14"/>
  <c r="J480" i="14"/>
  <c r="I480" i="14"/>
  <c r="M479" i="14"/>
  <c r="L479" i="14"/>
  <c r="K479" i="14"/>
  <c r="J479" i="14"/>
  <c r="I479" i="14"/>
  <c r="M478" i="14"/>
  <c r="L478" i="14"/>
  <c r="K478" i="14"/>
  <c r="J478" i="14"/>
  <c r="I478" i="14"/>
  <c r="M477" i="14"/>
  <c r="L477" i="14"/>
  <c r="K477" i="14"/>
  <c r="J477" i="14"/>
  <c r="I477" i="14"/>
  <c r="M476" i="14"/>
  <c r="L476" i="14"/>
  <c r="K476" i="14"/>
  <c r="J476" i="14"/>
  <c r="I476" i="14"/>
  <c r="M475" i="14"/>
  <c r="L475" i="14"/>
  <c r="K475" i="14"/>
  <c r="J475" i="14"/>
  <c r="I475" i="14"/>
  <c r="M474" i="14"/>
  <c r="L474" i="14"/>
  <c r="K474" i="14"/>
  <c r="J474" i="14"/>
  <c r="I474" i="14"/>
  <c r="M473" i="14"/>
  <c r="L473" i="14"/>
  <c r="K473" i="14"/>
  <c r="J473" i="14"/>
  <c r="I473" i="14"/>
  <c r="M472" i="14"/>
  <c r="L472" i="14"/>
  <c r="K472" i="14"/>
  <c r="J472" i="14"/>
  <c r="I472" i="14"/>
  <c r="M471" i="14"/>
  <c r="L471" i="14"/>
  <c r="K471" i="14"/>
  <c r="J471" i="14"/>
  <c r="I471" i="14"/>
  <c r="M470" i="14"/>
  <c r="L470" i="14"/>
  <c r="K470" i="14"/>
  <c r="J470" i="14"/>
  <c r="I470" i="14"/>
  <c r="M469" i="14"/>
  <c r="L469" i="14"/>
  <c r="K469" i="14"/>
  <c r="J469" i="14"/>
  <c r="I469" i="14"/>
  <c r="M468" i="14"/>
  <c r="L468" i="14"/>
  <c r="K468" i="14"/>
  <c r="J468" i="14"/>
  <c r="I468" i="14"/>
  <c r="M467" i="14"/>
  <c r="L467" i="14"/>
  <c r="K467" i="14"/>
  <c r="J467" i="14"/>
  <c r="I467" i="14"/>
  <c r="M466" i="14"/>
  <c r="L466" i="14"/>
  <c r="K466" i="14"/>
  <c r="J466" i="14"/>
  <c r="I466" i="14"/>
  <c r="M465" i="14"/>
  <c r="L465" i="14"/>
  <c r="K465" i="14"/>
  <c r="J465" i="14"/>
  <c r="I465" i="14"/>
  <c r="M464" i="14"/>
  <c r="L464" i="14"/>
  <c r="K464" i="14"/>
  <c r="J464" i="14"/>
  <c r="I464" i="14"/>
  <c r="M463" i="14"/>
  <c r="L463" i="14"/>
  <c r="K463" i="14"/>
  <c r="J463" i="14"/>
  <c r="I463" i="14"/>
  <c r="M462" i="14"/>
  <c r="L462" i="14"/>
  <c r="K462" i="14"/>
  <c r="J462" i="14"/>
  <c r="I462" i="14"/>
  <c r="M461" i="14"/>
  <c r="L461" i="14"/>
  <c r="K461" i="14"/>
  <c r="J461" i="14"/>
  <c r="I461" i="14"/>
  <c r="M460" i="14"/>
  <c r="L460" i="14"/>
  <c r="K460" i="14"/>
  <c r="J460" i="14"/>
  <c r="I460" i="14"/>
  <c r="M459" i="14"/>
  <c r="L459" i="14"/>
  <c r="K459" i="14"/>
  <c r="J459" i="14"/>
  <c r="I459" i="14"/>
  <c r="M458" i="14"/>
  <c r="L458" i="14"/>
  <c r="K458" i="14"/>
  <c r="J458" i="14"/>
  <c r="I458" i="14"/>
  <c r="M457" i="14"/>
  <c r="L457" i="14"/>
  <c r="K457" i="14"/>
  <c r="J457" i="14"/>
  <c r="I457" i="14"/>
  <c r="M456" i="14"/>
  <c r="L456" i="14"/>
  <c r="K456" i="14"/>
  <c r="J456" i="14"/>
  <c r="I456" i="14"/>
  <c r="M455" i="14"/>
  <c r="L455" i="14"/>
  <c r="K455" i="14"/>
  <c r="J455" i="14"/>
  <c r="I455" i="14"/>
  <c r="M454" i="14"/>
  <c r="L454" i="14"/>
  <c r="K454" i="14"/>
  <c r="J454" i="14"/>
  <c r="I454" i="14"/>
  <c r="M453" i="14"/>
  <c r="L453" i="14"/>
  <c r="K453" i="14"/>
  <c r="J453" i="14"/>
  <c r="I453" i="14"/>
  <c r="M452" i="14"/>
  <c r="L452" i="14"/>
  <c r="K452" i="14"/>
  <c r="J452" i="14"/>
  <c r="I452" i="14"/>
  <c r="M451" i="14"/>
  <c r="L451" i="14"/>
  <c r="K451" i="14"/>
  <c r="J451" i="14"/>
  <c r="I451" i="14"/>
  <c r="M450" i="14"/>
  <c r="L450" i="14"/>
  <c r="K450" i="14"/>
  <c r="J450" i="14"/>
  <c r="I450" i="14"/>
  <c r="M449" i="14"/>
  <c r="L449" i="14"/>
  <c r="K449" i="14"/>
  <c r="J449" i="14"/>
  <c r="I449" i="14"/>
  <c r="M448" i="14"/>
  <c r="L448" i="14"/>
  <c r="K448" i="14"/>
  <c r="J448" i="14"/>
  <c r="I448" i="14"/>
  <c r="M447" i="14"/>
  <c r="L447" i="14"/>
  <c r="K447" i="14"/>
  <c r="J447" i="14"/>
  <c r="I447" i="14"/>
  <c r="M446" i="14"/>
  <c r="L446" i="14"/>
  <c r="K446" i="14"/>
  <c r="J446" i="14"/>
  <c r="I446" i="14"/>
  <c r="M445" i="14"/>
  <c r="L445" i="14"/>
  <c r="K445" i="14"/>
  <c r="J445" i="14"/>
  <c r="I445" i="14"/>
  <c r="M444" i="14"/>
  <c r="L444" i="14"/>
  <c r="K444" i="14"/>
  <c r="J444" i="14"/>
  <c r="I444" i="14"/>
  <c r="M443" i="14"/>
  <c r="L443" i="14"/>
  <c r="K443" i="14"/>
  <c r="J443" i="14"/>
  <c r="I443" i="14"/>
  <c r="M442" i="14"/>
  <c r="L442" i="14"/>
  <c r="K442" i="14"/>
  <c r="J442" i="14"/>
  <c r="I442" i="14"/>
  <c r="M441" i="14"/>
  <c r="L441" i="14"/>
  <c r="K441" i="14"/>
  <c r="J441" i="14"/>
  <c r="I441" i="14"/>
  <c r="M440" i="14"/>
  <c r="L440" i="14"/>
  <c r="K440" i="14"/>
  <c r="J440" i="14"/>
  <c r="I440" i="14"/>
  <c r="M439" i="14"/>
  <c r="L439" i="14"/>
  <c r="K439" i="14"/>
  <c r="J439" i="14"/>
  <c r="I439" i="14"/>
  <c r="M438" i="14"/>
  <c r="L438" i="14"/>
  <c r="K438" i="14"/>
  <c r="J438" i="14"/>
  <c r="I438" i="14"/>
  <c r="M437" i="14"/>
  <c r="L437" i="14"/>
  <c r="K437" i="14"/>
  <c r="J437" i="14"/>
  <c r="I437" i="14"/>
  <c r="M436" i="14"/>
  <c r="L436" i="14"/>
  <c r="K436" i="14"/>
  <c r="J436" i="14"/>
  <c r="I436" i="14"/>
  <c r="M435" i="14"/>
  <c r="L435" i="14"/>
  <c r="K435" i="14"/>
  <c r="J435" i="14"/>
  <c r="I435" i="14"/>
  <c r="M434" i="14"/>
  <c r="L434" i="14"/>
  <c r="K434" i="14"/>
  <c r="J434" i="14"/>
  <c r="I434" i="14"/>
  <c r="M433" i="14"/>
  <c r="L433" i="14"/>
  <c r="K433" i="14"/>
  <c r="J433" i="14"/>
  <c r="I433" i="14"/>
  <c r="M432" i="14"/>
  <c r="L432" i="14"/>
  <c r="K432" i="14"/>
  <c r="J432" i="14"/>
  <c r="I432" i="14"/>
  <c r="M431" i="14"/>
  <c r="L431" i="14"/>
  <c r="K431" i="14"/>
  <c r="J431" i="14"/>
  <c r="I431" i="14"/>
  <c r="M430" i="14"/>
  <c r="L430" i="14"/>
  <c r="K430" i="14"/>
  <c r="J430" i="14"/>
  <c r="I430" i="14"/>
  <c r="M429" i="14"/>
  <c r="L429" i="14"/>
  <c r="K429" i="14"/>
  <c r="J429" i="14"/>
  <c r="I429" i="14"/>
  <c r="M428" i="14"/>
  <c r="L428" i="14"/>
  <c r="K428" i="14"/>
  <c r="J428" i="14"/>
  <c r="I428" i="14"/>
  <c r="M427" i="14"/>
  <c r="L427" i="14"/>
  <c r="K427" i="14"/>
  <c r="J427" i="14"/>
  <c r="I427" i="14"/>
  <c r="M426" i="14"/>
  <c r="L426" i="14"/>
  <c r="K426" i="14"/>
  <c r="J426" i="14"/>
  <c r="I426" i="14"/>
  <c r="M425" i="14"/>
  <c r="L425" i="14"/>
  <c r="K425" i="14"/>
  <c r="J425" i="14"/>
  <c r="I425" i="14"/>
  <c r="M424" i="14"/>
  <c r="L424" i="14"/>
  <c r="K424" i="14"/>
  <c r="J424" i="14"/>
  <c r="I424" i="14"/>
  <c r="M423" i="14"/>
  <c r="L423" i="14"/>
  <c r="K423" i="14"/>
  <c r="J423" i="14"/>
  <c r="I423" i="14"/>
  <c r="M422" i="14"/>
  <c r="L422" i="14"/>
  <c r="K422" i="14"/>
  <c r="J422" i="14"/>
  <c r="I422" i="14"/>
  <c r="M421" i="14"/>
  <c r="L421" i="14"/>
  <c r="K421" i="14"/>
  <c r="J421" i="14"/>
  <c r="I421" i="14"/>
  <c r="M420" i="14"/>
  <c r="L420" i="14"/>
  <c r="K420" i="14"/>
  <c r="J420" i="14"/>
  <c r="I420" i="14"/>
  <c r="M419" i="14"/>
  <c r="L419" i="14"/>
  <c r="K419" i="14"/>
  <c r="J419" i="14"/>
  <c r="I419" i="14"/>
  <c r="M418" i="14"/>
  <c r="L418" i="14"/>
  <c r="K418" i="14"/>
  <c r="J418" i="14"/>
  <c r="I418" i="14"/>
  <c r="M417" i="14"/>
  <c r="L417" i="14"/>
  <c r="K417" i="14"/>
  <c r="J417" i="14"/>
  <c r="I417" i="14"/>
  <c r="M416" i="14"/>
  <c r="L416" i="14"/>
  <c r="K416" i="14"/>
  <c r="J416" i="14"/>
  <c r="I416" i="14"/>
  <c r="M415" i="14"/>
  <c r="L415" i="14"/>
  <c r="K415" i="14"/>
  <c r="J415" i="14"/>
  <c r="I415" i="14"/>
  <c r="M414" i="14"/>
  <c r="L414" i="14"/>
  <c r="K414" i="14"/>
  <c r="J414" i="14"/>
  <c r="I414" i="14"/>
  <c r="M413" i="14"/>
  <c r="L413" i="14"/>
  <c r="K413" i="14"/>
  <c r="J413" i="14"/>
  <c r="I413" i="14"/>
  <c r="M412" i="14"/>
  <c r="L412" i="14"/>
  <c r="K412" i="14"/>
  <c r="J412" i="14"/>
  <c r="I412" i="14"/>
  <c r="M411" i="14"/>
  <c r="L411" i="14"/>
  <c r="K411" i="14"/>
  <c r="J411" i="14"/>
  <c r="I411" i="14"/>
  <c r="M410" i="14"/>
  <c r="L410" i="14"/>
  <c r="K410" i="14"/>
  <c r="J410" i="14"/>
  <c r="I410" i="14"/>
  <c r="M409" i="14"/>
  <c r="L409" i="14"/>
  <c r="K409" i="14"/>
  <c r="J409" i="14"/>
  <c r="I409" i="14"/>
  <c r="M408" i="14"/>
  <c r="L408" i="14"/>
  <c r="K408" i="14"/>
  <c r="J408" i="14"/>
  <c r="I408" i="14"/>
  <c r="M407" i="14"/>
  <c r="L407" i="14"/>
  <c r="K407" i="14"/>
  <c r="J407" i="14"/>
  <c r="I407" i="14"/>
  <c r="M406" i="14"/>
  <c r="L406" i="14"/>
  <c r="K406" i="14"/>
  <c r="J406" i="14"/>
  <c r="I406" i="14"/>
  <c r="M405" i="14"/>
  <c r="L405" i="14"/>
  <c r="K405" i="14"/>
  <c r="J405" i="14"/>
  <c r="I405" i="14"/>
  <c r="M404" i="14"/>
  <c r="L404" i="14"/>
  <c r="K404" i="14"/>
  <c r="J404" i="14"/>
  <c r="I404" i="14"/>
  <c r="M403" i="14"/>
  <c r="L403" i="14"/>
  <c r="K403" i="14"/>
  <c r="J403" i="14"/>
  <c r="I403" i="14"/>
  <c r="M402" i="14"/>
  <c r="L402" i="14"/>
  <c r="K402" i="14"/>
  <c r="J402" i="14"/>
  <c r="I402" i="14"/>
  <c r="M401" i="14"/>
  <c r="L401" i="14"/>
  <c r="K401" i="14"/>
  <c r="J401" i="14"/>
  <c r="I401" i="14"/>
  <c r="M400" i="14"/>
  <c r="L400" i="14"/>
  <c r="K400" i="14"/>
  <c r="J400" i="14"/>
  <c r="I400" i="14"/>
  <c r="M399" i="14"/>
  <c r="L399" i="14"/>
  <c r="K399" i="14"/>
  <c r="J399" i="14"/>
  <c r="I399" i="14"/>
  <c r="M398" i="14"/>
  <c r="L398" i="14"/>
  <c r="K398" i="14"/>
  <c r="J398" i="14"/>
  <c r="I398" i="14"/>
  <c r="M397" i="14"/>
  <c r="L397" i="14"/>
  <c r="K397" i="14"/>
  <c r="J397" i="14"/>
  <c r="I397" i="14"/>
  <c r="M396" i="14"/>
  <c r="L396" i="14"/>
  <c r="K396" i="14"/>
  <c r="J396" i="14"/>
  <c r="I396" i="14"/>
  <c r="M395" i="14"/>
  <c r="L395" i="14"/>
  <c r="K395" i="14"/>
  <c r="J395" i="14"/>
  <c r="I395" i="14"/>
  <c r="M394" i="14"/>
  <c r="L394" i="14"/>
  <c r="K394" i="14"/>
  <c r="J394" i="14"/>
  <c r="I394" i="14"/>
  <c r="M393" i="14"/>
  <c r="L393" i="14"/>
  <c r="K393" i="14"/>
  <c r="J393" i="14"/>
  <c r="I393" i="14"/>
  <c r="M392" i="14"/>
  <c r="L392" i="14"/>
  <c r="K392" i="14"/>
  <c r="J392" i="14"/>
  <c r="I392" i="14"/>
  <c r="M391" i="14"/>
  <c r="L391" i="14"/>
  <c r="K391" i="14"/>
  <c r="J391" i="14"/>
  <c r="I391" i="14"/>
  <c r="M390" i="14"/>
  <c r="L390" i="14"/>
  <c r="K390" i="14"/>
  <c r="J390" i="14"/>
  <c r="I390" i="14"/>
  <c r="M389" i="14"/>
  <c r="L389" i="14"/>
  <c r="K389" i="14"/>
  <c r="J389" i="14"/>
  <c r="I389" i="14"/>
  <c r="M388" i="14"/>
  <c r="L388" i="14"/>
  <c r="K388" i="14"/>
  <c r="J388" i="14"/>
  <c r="I388" i="14"/>
  <c r="M387" i="14"/>
  <c r="L387" i="14"/>
  <c r="K387" i="14"/>
  <c r="J387" i="14"/>
  <c r="I387" i="14"/>
  <c r="M386" i="14"/>
  <c r="L386" i="14"/>
  <c r="K386" i="14"/>
  <c r="J386" i="14"/>
  <c r="I386" i="14"/>
  <c r="M385" i="14"/>
  <c r="L385" i="14"/>
  <c r="K385" i="14"/>
  <c r="J385" i="14"/>
  <c r="I385" i="14"/>
  <c r="M384" i="14"/>
  <c r="L384" i="14"/>
  <c r="K384" i="14"/>
  <c r="J384" i="14"/>
  <c r="I384" i="14"/>
  <c r="M383" i="14"/>
  <c r="L383" i="14"/>
  <c r="K383" i="14"/>
  <c r="J383" i="14"/>
  <c r="I383" i="14"/>
  <c r="M382" i="14"/>
  <c r="L382" i="14"/>
  <c r="K382" i="14"/>
  <c r="J382" i="14"/>
  <c r="I382" i="14"/>
  <c r="M381" i="14"/>
  <c r="L381" i="14"/>
  <c r="K381" i="14"/>
  <c r="J381" i="14"/>
  <c r="I381" i="14"/>
  <c r="M380" i="14"/>
  <c r="L380" i="14"/>
  <c r="K380" i="14"/>
  <c r="J380" i="14"/>
  <c r="I380" i="14"/>
  <c r="M379" i="14"/>
  <c r="L379" i="14"/>
  <c r="K379" i="14"/>
  <c r="J379" i="14"/>
  <c r="I379" i="14"/>
  <c r="M378" i="14"/>
  <c r="L378" i="14"/>
  <c r="K378" i="14"/>
  <c r="J378" i="14"/>
  <c r="I378" i="14"/>
  <c r="M377" i="14"/>
  <c r="L377" i="14"/>
  <c r="K377" i="14"/>
  <c r="J377" i="14"/>
  <c r="I377" i="14"/>
  <c r="M376" i="14"/>
  <c r="L376" i="14"/>
  <c r="K376" i="14"/>
  <c r="J376" i="14"/>
  <c r="I376" i="14"/>
  <c r="M375" i="14"/>
  <c r="L375" i="14"/>
  <c r="K375" i="14"/>
  <c r="J375" i="14"/>
  <c r="I375" i="14"/>
  <c r="M374" i="14"/>
  <c r="L374" i="14"/>
  <c r="K374" i="14"/>
  <c r="J374" i="14"/>
  <c r="I374" i="14"/>
  <c r="M373" i="14"/>
  <c r="L373" i="14"/>
  <c r="K373" i="14"/>
  <c r="J373" i="14"/>
  <c r="I373" i="14"/>
  <c r="M372" i="14"/>
  <c r="L372" i="14"/>
  <c r="K372" i="14"/>
  <c r="J372" i="14"/>
  <c r="I372" i="14"/>
  <c r="M371" i="14"/>
  <c r="L371" i="14"/>
  <c r="K371" i="14"/>
  <c r="J371" i="14"/>
  <c r="I371" i="14"/>
  <c r="M370" i="14"/>
  <c r="L370" i="14"/>
  <c r="K370" i="14"/>
  <c r="J370" i="14"/>
  <c r="I370" i="14"/>
  <c r="M369" i="14"/>
  <c r="L369" i="14"/>
  <c r="K369" i="14"/>
  <c r="J369" i="14"/>
  <c r="I369" i="14"/>
  <c r="M368" i="14"/>
  <c r="L368" i="14"/>
  <c r="K368" i="14"/>
  <c r="J368" i="14"/>
  <c r="I368" i="14"/>
  <c r="M367" i="14"/>
  <c r="L367" i="14"/>
  <c r="K367" i="14"/>
  <c r="J367" i="14"/>
  <c r="I367" i="14"/>
  <c r="M366" i="14"/>
  <c r="L366" i="14"/>
  <c r="K366" i="14"/>
  <c r="J366" i="14"/>
  <c r="I366" i="14"/>
  <c r="M365" i="14"/>
  <c r="L365" i="14"/>
  <c r="K365" i="14"/>
  <c r="J365" i="14"/>
  <c r="I365" i="14"/>
  <c r="M364" i="14"/>
  <c r="L364" i="14"/>
  <c r="K364" i="14"/>
  <c r="J364" i="14"/>
  <c r="I364" i="14"/>
  <c r="M363" i="14"/>
  <c r="L363" i="14"/>
  <c r="K363" i="14"/>
  <c r="J363" i="14"/>
  <c r="I363" i="14"/>
  <c r="M362" i="14"/>
  <c r="L362" i="14"/>
  <c r="K362" i="14"/>
  <c r="J362" i="14"/>
  <c r="I362" i="14"/>
  <c r="M361" i="14"/>
  <c r="L361" i="14"/>
  <c r="K361" i="14"/>
  <c r="J361" i="14"/>
  <c r="I361" i="14"/>
  <c r="M360" i="14"/>
  <c r="L360" i="14"/>
  <c r="K360" i="14"/>
  <c r="J360" i="14"/>
  <c r="I360" i="14"/>
  <c r="M359" i="14"/>
  <c r="L359" i="14"/>
  <c r="K359" i="14"/>
  <c r="J359" i="14"/>
  <c r="I359" i="14"/>
  <c r="M358" i="14"/>
  <c r="L358" i="14"/>
  <c r="K358" i="14"/>
  <c r="J358" i="14"/>
  <c r="I358" i="14"/>
  <c r="M357" i="14"/>
  <c r="L357" i="14"/>
  <c r="K357" i="14"/>
  <c r="J357" i="14"/>
  <c r="I357" i="14"/>
  <c r="M356" i="14"/>
  <c r="L356" i="14"/>
  <c r="K356" i="14"/>
  <c r="J356" i="14"/>
  <c r="I356" i="14"/>
  <c r="M355" i="14"/>
  <c r="L355" i="14"/>
  <c r="K355" i="14"/>
  <c r="J355" i="14"/>
  <c r="I355" i="14"/>
  <c r="M354" i="14"/>
  <c r="L354" i="14"/>
  <c r="K354" i="14"/>
  <c r="J354" i="14"/>
  <c r="I354" i="14"/>
  <c r="M353" i="14"/>
  <c r="L353" i="14"/>
  <c r="K353" i="14"/>
  <c r="J353" i="14"/>
  <c r="I353" i="14"/>
  <c r="M352" i="14"/>
  <c r="L352" i="14"/>
  <c r="K352" i="14"/>
  <c r="J352" i="14"/>
  <c r="I352" i="14"/>
  <c r="M351" i="14"/>
  <c r="L351" i="14"/>
  <c r="K351" i="14"/>
  <c r="J351" i="14"/>
  <c r="I351" i="14"/>
  <c r="M350" i="14"/>
  <c r="L350" i="14"/>
  <c r="K350" i="14"/>
  <c r="J350" i="14"/>
  <c r="I350" i="14"/>
  <c r="M349" i="14"/>
  <c r="L349" i="14"/>
  <c r="K349" i="14"/>
  <c r="J349" i="14"/>
  <c r="I349" i="14"/>
  <c r="M348" i="14"/>
  <c r="L348" i="14"/>
  <c r="K348" i="14"/>
  <c r="J348" i="14"/>
  <c r="I348" i="14"/>
  <c r="M347" i="14"/>
  <c r="L347" i="14"/>
  <c r="K347" i="14"/>
  <c r="J347" i="14"/>
  <c r="I347" i="14"/>
  <c r="M346" i="14"/>
  <c r="L346" i="14"/>
  <c r="K346" i="14"/>
  <c r="J346" i="14"/>
  <c r="I346" i="14"/>
  <c r="M345" i="14"/>
  <c r="L345" i="14"/>
  <c r="K345" i="14"/>
  <c r="J345" i="14"/>
  <c r="I345" i="14"/>
  <c r="M344" i="14"/>
  <c r="L344" i="14"/>
  <c r="K344" i="14"/>
  <c r="J344" i="14"/>
  <c r="I344" i="14"/>
  <c r="M343" i="14"/>
  <c r="L343" i="14"/>
  <c r="K343" i="14"/>
  <c r="J343" i="14"/>
  <c r="I343" i="14"/>
  <c r="M342" i="14"/>
  <c r="L342" i="14"/>
  <c r="K342" i="14"/>
  <c r="J342" i="14"/>
  <c r="I342" i="14"/>
  <c r="M341" i="14"/>
  <c r="L341" i="14"/>
  <c r="K341" i="14"/>
  <c r="J341" i="14"/>
  <c r="I341" i="14"/>
  <c r="M340" i="14"/>
  <c r="L340" i="14"/>
  <c r="K340" i="14"/>
  <c r="J340" i="14"/>
  <c r="I340" i="14"/>
  <c r="M339" i="14"/>
  <c r="L339" i="14"/>
  <c r="K339" i="14"/>
  <c r="J339" i="14"/>
  <c r="I339" i="14"/>
  <c r="M338" i="14"/>
  <c r="L338" i="14"/>
  <c r="K338" i="14"/>
  <c r="J338" i="14"/>
  <c r="I338" i="14"/>
  <c r="M337" i="14"/>
  <c r="L337" i="14"/>
  <c r="K337" i="14"/>
  <c r="J337" i="14"/>
  <c r="I337" i="14"/>
  <c r="M336" i="14"/>
  <c r="L336" i="14"/>
  <c r="K336" i="14"/>
  <c r="J336" i="14"/>
  <c r="I336" i="14"/>
  <c r="M335" i="14"/>
  <c r="L335" i="14"/>
  <c r="K335" i="14"/>
  <c r="J335" i="14"/>
  <c r="I335" i="14"/>
  <c r="M334" i="14"/>
  <c r="L334" i="14"/>
  <c r="K334" i="14"/>
  <c r="J334" i="14"/>
  <c r="I334" i="14"/>
  <c r="M333" i="14"/>
  <c r="L333" i="14"/>
  <c r="K333" i="14"/>
  <c r="J333" i="14"/>
  <c r="I333" i="14"/>
  <c r="M332" i="14"/>
  <c r="L332" i="14"/>
  <c r="K332" i="14"/>
  <c r="J332" i="14"/>
  <c r="I332" i="14"/>
  <c r="M331" i="14"/>
  <c r="L331" i="14"/>
  <c r="K331" i="14"/>
  <c r="J331" i="14"/>
  <c r="I331" i="14"/>
  <c r="M330" i="14"/>
  <c r="L330" i="14"/>
  <c r="K330" i="14"/>
  <c r="J330" i="14"/>
  <c r="I330" i="14"/>
  <c r="M329" i="14"/>
  <c r="L329" i="14"/>
  <c r="K329" i="14"/>
  <c r="J329" i="14"/>
  <c r="I329" i="14"/>
  <c r="M328" i="14"/>
  <c r="L328" i="14"/>
  <c r="K328" i="14"/>
  <c r="J328" i="14"/>
  <c r="I328" i="14"/>
  <c r="M327" i="14"/>
  <c r="L327" i="14"/>
  <c r="K327" i="14"/>
  <c r="J327" i="14"/>
  <c r="I327" i="14"/>
  <c r="M326" i="14"/>
  <c r="L326" i="14"/>
  <c r="K326" i="14"/>
  <c r="J326" i="14"/>
  <c r="I326" i="14"/>
  <c r="M325" i="14"/>
  <c r="L325" i="14"/>
  <c r="K325" i="14"/>
  <c r="J325" i="14"/>
  <c r="I325" i="14"/>
  <c r="M324" i="14"/>
  <c r="L324" i="14"/>
  <c r="K324" i="14"/>
  <c r="J324" i="14"/>
  <c r="I324" i="14"/>
  <c r="M323" i="14"/>
  <c r="L323" i="14"/>
  <c r="K323" i="14"/>
  <c r="J323" i="14"/>
  <c r="I323" i="14"/>
  <c r="M322" i="14"/>
  <c r="L322" i="14"/>
  <c r="K322" i="14"/>
  <c r="J322" i="14"/>
  <c r="I322" i="14"/>
  <c r="M321" i="14"/>
  <c r="L321" i="14"/>
  <c r="K321" i="14"/>
  <c r="J321" i="14"/>
  <c r="I321" i="14"/>
  <c r="M320" i="14"/>
  <c r="L320" i="14"/>
  <c r="K320" i="14"/>
  <c r="J320" i="14"/>
  <c r="I320" i="14"/>
  <c r="M319" i="14"/>
  <c r="L319" i="14"/>
  <c r="K319" i="14"/>
  <c r="J319" i="14"/>
  <c r="I319" i="14"/>
  <c r="M318" i="14"/>
  <c r="L318" i="14"/>
  <c r="K318" i="14"/>
  <c r="J318" i="14"/>
  <c r="I318" i="14"/>
  <c r="M317" i="14"/>
  <c r="L317" i="14"/>
  <c r="K317" i="14"/>
  <c r="J317" i="14"/>
  <c r="I317" i="14"/>
  <c r="M316" i="14"/>
  <c r="L316" i="14"/>
  <c r="K316" i="14"/>
  <c r="J316" i="14"/>
  <c r="I316" i="14"/>
  <c r="M315" i="14"/>
  <c r="L315" i="14"/>
  <c r="K315" i="14"/>
  <c r="J315" i="14"/>
  <c r="I315" i="14"/>
  <c r="M314" i="14"/>
  <c r="L314" i="14"/>
  <c r="K314" i="14"/>
  <c r="J314" i="14"/>
  <c r="I314" i="14"/>
  <c r="M313" i="14"/>
  <c r="L313" i="14"/>
  <c r="K313" i="14"/>
  <c r="J313" i="14"/>
  <c r="I313" i="14"/>
  <c r="M312" i="14"/>
  <c r="L312" i="14"/>
  <c r="K312" i="14"/>
  <c r="J312" i="14"/>
  <c r="I312" i="14"/>
  <c r="M311" i="14"/>
  <c r="L311" i="14"/>
  <c r="K311" i="14"/>
  <c r="J311" i="14"/>
  <c r="I311" i="14"/>
  <c r="M310" i="14"/>
  <c r="L310" i="14"/>
  <c r="K310" i="14"/>
  <c r="J310" i="14"/>
  <c r="I310" i="14"/>
  <c r="M309" i="14"/>
  <c r="L309" i="14"/>
  <c r="K309" i="14"/>
  <c r="J309" i="14"/>
  <c r="I309" i="14"/>
  <c r="M308" i="14"/>
  <c r="L308" i="14"/>
  <c r="K308" i="14"/>
  <c r="J308" i="14"/>
  <c r="I308" i="14"/>
  <c r="M307" i="14"/>
  <c r="L307" i="14"/>
  <c r="K307" i="14"/>
  <c r="J307" i="14"/>
  <c r="I307" i="14"/>
  <c r="M306" i="14"/>
  <c r="L306" i="14"/>
  <c r="K306" i="14"/>
  <c r="J306" i="14"/>
  <c r="I306" i="14"/>
  <c r="M305" i="14"/>
  <c r="L305" i="14"/>
  <c r="K305" i="14"/>
  <c r="J305" i="14"/>
  <c r="I305" i="14"/>
  <c r="M304" i="14"/>
  <c r="L304" i="14"/>
  <c r="K304" i="14"/>
  <c r="J304" i="14"/>
  <c r="I304" i="14"/>
  <c r="M303" i="14"/>
  <c r="L303" i="14"/>
  <c r="K303" i="14"/>
  <c r="J303" i="14"/>
  <c r="I303" i="14"/>
  <c r="M302" i="14"/>
  <c r="L302" i="14"/>
  <c r="K302" i="14"/>
  <c r="J302" i="14"/>
  <c r="I302" i="14"/>
  <c r="M301" i="14"/>
  <c r="L301" i="14"/>
  <c r="K301" i="14"/>
  <c r="J301" i="14"/>
  <c r="I301" i="14"/>
  <c r="M300" i="14"/>
  <c r="L300" i="14"/>
  <c r="K300" i="14"/>
  <c r="J300" i="14"/>
  <c r="I300" i="14"/>
  <c r="M299" i="14"/>
  <c r="L299" i="14"/>
  <c r="K299" i="14"/>
  <c r="J299" i="14"/>
  <c r="I299" i="14"/>
  <c r="M298" i="14"/>
  <c r="L298" i="14"/>
  <c r="K298" i="14"/>
  <c r="J298" i="14"/>
  <c r="I298" i="14"/>
  <c r="M297" i="14"/>
  <c r="L297" i="14"/>
  <c r="K297" i="14"/>
  <c r="J297" i="14"/>
  <c r="I297" i="14"/>
  <c r="M296" i="14"/>
  <c r="L296" i="14"/>
  <c r="K296" i="14"/>
  <c r="J296" i="14"/>
  <c r="I296" i="14"/>
  <c r="M295" i="14"/>
  <c r="L295" i="14"/>
  <c r="K295" i="14"/>
  <c r="J295" i="14"/>
  <c r="I295" i="14"/>
  <c r="M294" i="14"/>
  <c r="L294" i="14"/>
  <c r="K294" i="14"/>
  <c r="J294" i="14"/>
  <c r="I294" i="14"/>
  <c r="M293" i="14"/>
  <c r="L293" i="14"/>
  <c r="K293" i="14"/>
  <c r="J293" i="14"/>
  <c r="I293" i="14"/>
  <c r="M292" i="14"/>
  <c r="L292" i="14"/>
  <c r="K292" i="14"/>
  <c r="J292" i="14"/>
  <c r="I292" i="14"/>
  <c r="M291" i="14"/>
  <c r="L291" i="14"/>
  <c r="K291" i="14"/>
  <c r="J291" i="14"/>
  <c r="I291" i="14"/>
  <c r="M290" i="14"/>
  <c r="L290" i="14"/>
  <c r="K290" i="14"/>
  <c r="J290" i="14"/>
  <c r="I290" i="14"/>
  <c r="M289" i="14"/>
  <c r="L289" i="14"/>
  <c r="K289" i="14"/>
  <c r="J289" i="14"/>
  <c r="I289" i="14"/>
  <c r="M288" i="14"/>
  <c r="L288" i="14"/>
  <c r="K288" i="14"/>
  <c r="J288" i="14"/>
  <c r="I288" i="14"/>
  <c r="M287" i="14"/>
  <c r="L287" i="14"/>
  <c r="K287" i="14"/>
  <c r="J287" i="14"/>
  <c r="I287" i="14"/>
  <c r="M286" i="14"/>
  <c r="L286" i="14"/>
  <c r="K286" i="14"/>
  <c r="J286" i="14"/>
  <c r="I286" i="14"/>
  <c r="M285" i="14"/>
  <c r="L285" i="14"/>
  <c r="K285" i="14"/>
  <c r="J285" i="14"/>
  <c r="I285" i="14"/>
  <c r="M284" i="14"/>
  <c r="L284" i="14"/>
  <c r="K284" i="14"/>
  <c r="J284" i="14"/>
  <c r="I284" i="14"/>
  <c r="M283" i="14"/>
  <c r="L283" i="14"/>
  <c r="K283" i="14"/>
  <c r="J283" i="14"/>
  <c r="I283" i="14"/>
  <c r="M282" i="14"/>
  <c r="L282" i="14"/>
  <c r="K282" i="14"/>
  <c r="J282" i="14"/>
  <c r="I282" i="14"/>
  <c r="M281" i="14"/>
  <c r="L281" i="14"/>
  <c r="K281" i="14"/>
  <c r="J281" i="14"/>
  <c r="I281" i="14"/>
  <c r="M280" i="14"/>
  <c r="L280" i="14"/>
  <c r="K280" i="14"/>
  <c r="J280" i="14"/>
  <c r="I280" i="14"/>
  <c r="M279" i="14"/>
  <c r="L279" i="14"/>
  <c r="K279" i="14"/>
  <c r="J279" i="14"/>
  <c r="I279" i="14"/>
  <c r="M278" i="14"/>
  <c r="L278" i="14"/>
  <c r="K278" i="14"/>
  <c r="J278" i="14"/>
  <c r="I278" i="14"/>
  <c r="M277" i="14"/>
  <c r="L277" i="14"/>
  <c r="K277" i="14"/>
  <c r="J277" i="14"/>
  <c r="I277" i="14"/>
  <c r="M276" i="14"/>
  <c r="L276" i="14"/>
  <c r="K276" i="14"/>
  <c r="J276" i="14"/>
  <c r="I276" i="14"/>
  <c r="M275" i="14"/>
  <c r="L275" i="14"/>
  <c r="K275" i="14"/>
  <c r="J275" i="14"/>
  <c r="I275" i="14"/>
  <c r="M274" i="14"/>
  <c r="L274" i="14"/>
  <c r="K274" i="14"/>
  <c r="J274" i="14"/>
  <c r="I274" i="14"/>
  <c r="M273" i="14"/>
  <c r="L273" i="14"/>
  <c r="K273" i="14"/>
  <c r="J273" i="14"/>
  <c r="I273" i="14"/>
  <c r="M272" i="14"/>
  <c r="L272" i="14"/>
  <c r="K272" i="14"/>
  <c r="J272" i="14"/>
  <c r="I272" i="14"/>
  <c r="M271" i="14"/>
  <c r="L271" i="14"/>
  <c r="K271" i="14"/>
  <c r="J271" i="14"/>
  <c r="I271" i="14"/>
  <c r="M270" i="14"/>
  <c r="L270" i="14"/>
  <c r="K270" i="14"/>
  <c r="J270" i="14"/>
  <c r="I270" i="14"/>
  <c r="M269" i="14"/>
  <c r="L269" i="14"/>
  <c r="K269" i="14"/>
  <c r="J269" i="14"/>
  <c r="I269" i="14"/>
  <c r="M268" i="14"/>
  <c r="L268" i="14"/>
  <c r="K268" i="14"/>
  <c r="J268" i="14"/>
  <c r="I268" i="14"/>
  <c r="M267" i="14"/>
  <c r="L267" i="14"/>
  <c r="K267" i="14"/>
  <c r="J267" i="14"/>
  <c r="I267" i="14"/>
  <c r="M266" i="14"/>
  <c r="L266" i="14"/>
  <c r="K266" i="14"/>
  <c r="J266" i="14"/>
  <c r="I266" i="14"/>
  <c r="M265" i="14"/>
  <c r="L265" i="14"/>
  <c r="K265" i="14"/>
  <c r="J265" i="14"/>
  <c r="I265" i="14"/>
  <c r="M264" i="14"/>
  <c r="L264" i="14"/>
  <c r="K264" i="14"/>
  <c r="J264" i="14"/>
  <c r="I264" i="14"/>
  <c r="M263" i="14"/>
  <c r="L263" i="14"/>
  <c r="K263" i="14"/>
  <c r="J263" i="14"/>
  <c r="I263" i="14"/>
  <c r="M262" i="14"/>
  <c r="L262" i="14"/>
  <c r="K262" i="14"/>
  <c r="J262" i="14"/>
  <c r="I262" i="14"/>
  <c r="M261" i="14"/>
  <c r="L261" i="14"/>
  <c r="K261" i="14"/>
  <c r="J261" i="14"/>
  <c r="I261" i="14"/>
  <c r="M260" i="14"/>
  <c r="L260" i="14"/>
  <c r="K260" i="14"/>
  <c r="J260" i="14"/>
  <c r="I260" i="14"/>
  <c r="M259" i="14"/>
  <c r="L259" i="14"/>
  <c r="K259" i="14"/>
  <c r="J259" i="14"/>
  <c r="I259" i="14"/>
  <c r="M258" i="14"/>
  <c r="L258" i="14"/>
  <c r="K258" i="14"/>
  <c r="J258" i="14"/>
  <c r="I258" i="14"/>
  <c r="M257" i="14"/>
  <c r="L257" i="14"/>
  <c r="K257" i="14"/>
  <c r="J257" i="14"/>
  <c r="I257" i="14"/>
  <c r="M256" i="14"/>
  <c r="L256" i="14"/>
  <c r="K256" i="14"/>
  <c r="J256" i="14"/>
  <c r="I256" i="14"/>
  <c r="M255" i="14"/>
  <c r="L255" i="14"/>
  <c r="K255" i="14"/>
  <c r="J255" i="14"/>
  <c r="I255" i="14"/>
  <c r="M254" i="14"/>
  <c r="L254" i="14"/>
  <c r="K254" i="14"/>
  <c r="J254" i="14"/>
  <c r="I254" i="14"/>
  <c r="M253" i="14"/>
  <c r="L253" i="14"/>
  <c r="K253" i="14"/>
  <c r="J253" i="14"/>
  <c r="I253" i="14"/>
  <c r="M252" i="14"/>
  <c r="L252" i="14"/>
  <c r="K252" i="14"/>
  <c r="J252" i="14"/>
  <c r="I252" i="14"/>
  <c r="M251" i="14"/>
  <c r="L251" i="14"/>
  <c r="K251" i="14"/>
  <c r="J251" i="14"/>
  <c r="I251" i="14"/>
  <c r="M250" i="14"/>
  <c r="L250" i="14"/>
  <c r="K250" i="14"/>
  <c r="J250" i="14"/>
  <c r="I250" i="14"/>
  <c r="M249" i="14"/>
  <c r="L249" i="14"/>
  <c r="K249" i="14"/>
  <c r="J249" i="14"/>
  <c r="I249" i="14"/>
  <c r="M248" i="14"/>
  <c r="L248" i="14"/>
  <c r="K248" i="14"/>
  <c r="J248" i="14"/>
  <c r="I248" i="14"/>
  <c r="M247" i="14"/>
  <c r="L247" i="14"/>
  <c r="K247" i="14"/>
  <c r="J247" i="14"/>
  <c r="I247" i="14"/>
  <c r="M246" i="14"/>
  <c r="L246" i="14"/>
  <c r="K246" i="14"/>
  <c r="J246" i="14"/>
  <c r="I246" i="14"/>
  <c r="M245" i="14"/>
  <c r="L245" i="14"/>
  <c r="K245" i="14"/>
  <c r="J245" i="14"/>
  <c r="I245" i="14"/>
  <c r="M244" i="14"/>
  <c r="L244" i="14"/>
  <c r="K244" i="14"/>
  <c r="J244" i="14"/>
  <c r="I244" i="14"/>
  <c r="M243" i="14"/>
  <c r="L243" i="14"/>
  <c r="K243" i="14"/>
  <c r="J243" i="14"/>
  <c r="I243" i="14"/>
  <c r="M242" i="14"/>
  <c r="L242" i="14"/>
  <c r="K242" i="14"/>
  <c r="J242" i="14"/>
  <c r="I242" i="14"/>
  <c r="M241" i="14"/>
  <c r="L241" i="14"/>
  <c r="K241" i="14"/>
  <c r="J241" i="14"/>
  <c r="I241" i="14"/>
  <c r="M240" i="14"/>
  <c r="L240" i="14"/>
  <c r="K240" i="14"/>
  <c r="J240" i="14"/>
  <c r="I240" i="14"/>
  <c r="M239" i="14"/>
  <c r="L239" i="14"/>
  <c r="K239" i="14"/>
  <c r="J239" i="14"/>
  <c r="I239" i="14"/>
  <c r="M238" i="14"/>
  <c r="L238" i="14"/>
  <c r="K238" i="14"/>
  <c r="J238" i="14"/>
  <c r="I238" i="14"/>
  <c r="M237" i="14"/>
  <c r="L237" i="14"/>
  <c r="K237" i="14"/>
  <c r="J237" i="14"/>
  <c r="I237" i="14"/>
  <c r="M236" i="14"/>
  <c r="L236" i="14"/>
  <c r="K236" i="14"/>
  <c r="J236" i="14"/>
  <c r="I236" i="14"/>
  <c r="M235" i="14"/>
  <c r="L235" i="14"/>
  <c r="K235" i="14"/>
  <c r="J235" i="14"/>
  <c r="I235" i="14"/>
  <c r="M234" i="14"/>
  <c r="L234" i="14"/>
  <c r="K234" i="14"/>
  <c r="J234" i="14"/>
  <c r="I234" i="14"/>
  <c r="M233" i="14"/>
  <c r="L233" i="14"/>
  <c r="K233" i="14"/>
  <c r="J233" i="14"/>
  <c r="I233" i="14"/>
  <c r="M232" i="14"/>
  <c r="L232" i="14"/>
  <c r="K232" i="14"/>
  <c r="J232" i="14"/>
  <c r="I232" i="14"/>
  <c r="M231" i="14"/>
  <c r="L231" i="14"/>
  <c r="K231" i="14"/>
  <c r="J231" i="14"/>
  <c r="I231" i="14"/>
  <c r="M230" i="14"/>
  <c r="L230" i="14"/>
  <c r="K230" i="14"/>
  <c r="J230" i="14"/>
  <c r="I230" i="14"/>
  <c r="M229" i="14"/>
  <c r="L229" i="14"/>
  <c r="K229" i="14"/>
  <c r="J229" i="14"/>
  <c r="I229" i="14"/>
  <c r="M228" i="14"/>
  <c r="L228" i="14"/>
  <c r="K228" i="14"/>
  <c r="J228" i="14"/>
  <c r="I228" i="14"/>
  <c r="M227" i="14"/>
  <c r="L227" i="14"/>
  <c r="K227" i="14"/>
  <c r="J227" i="14"/>
  <c r="I227" i="14"/>
  <c r="M226" i="14"/>
  <c r="L226" i="14"/>
  <c r="K226" i="14"/>
  <c r="J226" i="14"/>
  <c r="I226" i="14"/>
  <c r="M225" i="14"/>
  <c r="L225" i="14"/>
  <c r="K225" i="14"/>
  <c r="J225" i="14"/>
  <c r="I225" i="14"/>
  <c r="M224" i="14"/>
  <c r="L224" i="14"/>
  <c r="K224" i="14"/>
  <c r="J224" i="14"/>
  <c r="I224" i="14"/>
  <c r="M223" i="14"/>
  <c r="L223" i="14"/>
  <c r="K223" i="14"/>
  <c r="J223" i="14"/>
  <c r="I223" i="14"/>
  <c r="M222" i="14"/>
  <c r="L222" i="14"/>
  <c r="K222" i="14"/>
  <c r="J222" i="14"/>
  <c r="I222" i="14"/>
  <c r="M221" i="14"/>
  <c r="L221" i="14"/>
  <c r="K221" i="14"/>
  <c r="J221" i="14"/>
  <c r="I221" i="14"/>
  <c r="M220" i="14"/>
  <c r="L220" i="14"/>
  <c r="K220" i="14"/>
  <c r="J220" i="14"/>
  <c r="I220" i="14"/>
  <c r="M219" i="14"/>
  <c r="L219" i="14"/>
  <c r="K219" i="14"/>
  <c r="J219" i="14"/>
  <c r="I219" i="14"/>
  <c r="M218" i="14"/>
  <c r="L218" i="14"/>
  <c r="K218" i="14"/>
  <c r="J218" i="14"/>
  <c r="I218" i="14"/>
  <c r="M217" i="14"/>
  <c r="L217" i="14"/>
  <c r="K217" i="14"/>
  <c r="J217" i="14"/>
  <c r="I217" i="14"/>
  <c r="M216" i="14"/>
  <c r="L216" i="14"/>
  <c r="K216" i="14"/>
  <c r="J216" i="14"/>
  <c r="I216" i="14"/>
  <c r="M215" i="14"/>
  <c r="L215" i="14"/>
  <c r="K215" i="14"/>
  <c r="J215" i="14"/>
  <c r="I215" i="14"/>
  <c r="M214" i="14"/>
  <c r="L214" i="14"/>
  <c r="K214" i="14"/>
  <c r="J214" i="14"/>
  <c r="I214" i="14"/>
  <c r="M213" i="14"/>
  <c r="L213" i="14"/>
  <c r="K213" i="14"/>
  <c r="J213" i="14"/>
  <c r="I213" i="14"/>
  <c r="M212" i="14"/>
  <c r="L212" i="14"/>
  <c r="K212" i="14"/>
  <c r="J212" i="14"/>
  <c r="I212" i="14"/>
  <c r="M211" i="14"/>
  <c r="L211" i="14"/>
  <c r="K211" i="14"/>
  <c r="J211" i="14"/>
  <c r="I211" i="14"/>
  <c r="M210" i="14"/>
  <c r="L210" i="14"/>
  <c r="K210" i="14"/>
  <c r="J210" i="14"/>
  <c r="I210" i="14"/>
  <c r="M209" i="14"/>
  <c r="L209" i="14"/>
  <c r="K209" i="14"/>
  <c r="J209" i="14"/>
  <c r="I209" i="14"/>
  <c r="M208" i="14"/>
  <c r="L208" i="14"/>
  <c r="K208" i="14"/>
  <c r="J208" i="14"/>
  <c r="I208" i="14"/>
  <c r="M207" i="14"/>
  <c r="L207" i="14"/>
  <c r="K207" i="14"/>
  <c r="J207" i="14"/>
  <c r="I207" i="14"/>
  <c r="M206" i="14"/>
  <c r="L206" i="14"/>
  <c r="K206" i="14"/>
  <c r="J206" i="14"/>
  <c r="I206" i="14"/>
  <c r="M205" i="14"/>
  <c r="L205" i="14"/>
  <c r="K205" i="14"/>
  <c r="J205" i="14"/>
  <c r="I205" i="14"/>
  <c r="M204" i="14"/>
  <c r="L204" i="14"/>
  <c r="K204" i="14"/>
  <c r="J204" i="14"/>
  <c r="I204" i="14"/>
  <c r="M203" i="14"/>
  <c r="L203" i="14"/>
  <c r="K203" i="14"/>
  <c r="J203" i="14"/>
  <c r="I203" i="14"/>
  <c r="M202" i="14"/>
  <c r="L202" i="14"/>
  <c r="K202" i="14"/>
  <c r="J202" i="14"/>
  <c r="I202" i="14"/>
  <c r="M201" i="14"/>
  <c r="L201" i="14"/>
  <c r="K201" i="14"/>
  <c r="J201" i="14"/>
  <c r="I201" i="14"/>
  <c r="M200" i="14"/>
  <c r="L200" i="14"/>
  <c r="K200" i="14"/>
  <c r="J200" i="14"/>
  <c r="I200" i="14"/>
  <c r="M199" i="14"/>
  <c r="L199" i="14"/>
  <c r="K199" i="14"/>
  <c r="J199" i="14"/>
  <c r="I199" i="14"/>
  <c r="M198" i="14"/>
  <c r="L198" i="14"/>
  <c r="K198" i="14"/>
  <c r="J198" i="14"/>
  <c r="I198" i="14"/>
  <c r="M197" i="14"/>
  <c r="L197" i="14"/>
  <c r="K197" i="14"/>
  <c r="J197" i="14"/>
  <c r="I197" i="14"/>
  <c r="M196" i="14"/>
  <c r="L196" i="14"/>
  <c r="K196" i="14"/>
  <c r="J196" i="14"/>
  <c r="I196" i="14"/>
  <c r="M195" i="14"/>
  <c r="L195" i="14"/>
  <c r="K195" i="14"/>
  <c r="J195" i="14"/>
  <c r="I195" i="14"/>
  <c r="M194" i="14"/>
  <c r="L194" i="14"/>
  <c r="K194" i="14"/>
  <c r="J194" i="14"/>
  <c r="I194" i="14"/>
  <c r="M193" i="14"/>
  <c r="L193" i="14"/>
  <c r="K193" i="14"/>
  <c r="J193" i="14"/>
  <c r="I193" i="14"/>
  <c r="M192" i="14"/>
  <c r="L192" i="14"/>
  <c r="K192" i="14"/>
  <c r="J192" i="14"/>
  <c r="I192" i="14"/>
  <c r="M191" i="14"/>
  <c r="L191" i="14"/>
  <c r="K191" i="14"/>
  <c r="J191" i="14"/>
  <c r="I191" i="14"/>
  <c r="M190" i="14"/>
  <c r="L190" i="14"/>
  <c r="K190" i="14"/>
  <c r="J190" i="14"/>
  <c r="I190" i="14"/>
  <c r="M189" i="14"/>
  <c r="L189" i="14"/>
  <c r="K189" i="14"/>
  <c r="J189" i="14"/>
  <c r="I189" i="14"/>
  <c r="M188" i="14"/>
  <c r="L188" i="14"/>
  <c r="K188" i="14"/>
  <c r="J188" i="14"/>
  <c r="I188" i="14"/>
  <c r="M187" i="14"/>
  <c r="L187" i="14"/>
  <c r="K187" i="14"/>
  <c r="J187" i="14"/>
  <c r="I187" i="14"/>
  <c r="M186" i="14"/>
  <c r="L186" i="14"/>
  <c r="K186" i="14"/>
  <c r="J186" i="14"/>
  <c r="I186" i="14"/>
  <c r="M185" i="14"/>
  <c r="L185" i="14"/>
  <c r="K185" i="14"/>
  <c r="J185" i="14"/>
  <c r="I185" i="14"/>
  <c r="M184" i="14"/>
  <c r="L184" i="14"/>
  <c r="K184" i="14"/>
  <c r="J184" i="14"/>
  <c r="I184" i="14"/>
  <c r="M183" i="14"/>
  <c r="L183" i="14"/>
  <c r="K183" i="14"/>
  <c r="J183" i="14"/>
  <c r="I183" i="14"/>
  <c r="M182" i="14"/>
  <c r="L182" i="14"/>
  <c r="K182" i="14"/>
  <c r="J182" i="14"/>
  <c r="I182" i="14"/>
  <c r="M181" i="14"/>
  <c r="L181" i="14"/>
  <c r="K181" i="14"/>
  <c r="J181" i="14"/>
  <c r="I181" i="14"/>
  <c r="M180" i="14"/>
  <c r="L180" i="14"/>
  <c r="K180" i="14"/>
  <c r="J180" i="14"/>
  <c r="I180" i="14"/>
  <c r="M179" i="14"/>
  <c r="L179" i="14"/>
  <c r="K179" i="14"/>
  <c r="J179" i="14"/>
  <c r="I179" i="14"/>
  <c r="M178" i="14"/>
  <c r="L178" i="14"/>
  <c r="K178" i="14"/>
  <c r="J178" i="14"/>
  <c r="I178" i="14"/>
  <c r="M177" i="14"/>
  <c r="L177" i="14"/>
  <c r="K177" i="14"/>
  <c r="J177" i="14"/>
  <c r="I177" i="14"/>
  <c r="M176" i="14"/>
  <c r="L176" i="14"/>
  <c r="K176" i="14"/>
  <c r="J176" i="14"/>
  <c r="I176" i="14"/>
  <c r="M175" i="14"/>
  <c r="L175" i="14"/>
  <c r="K175" i="14"/>
  <c r="J175" i="14"/>
  <c r="I175" i="14"/>
  <c r="M174" i="14"/>
  <c r="L174" i="14"/>
  <c r="K174" i="14"/>
  <c r="J174" i="14"/>
  <c r="I174" i="14"/>
  <c r="M173" i="14"/>
  <c r="L173" i="14"/>
  <c r="K173" i="14"/>
  <c r="J173" i="14"/>
  <c r="I173" i="14"/>
  <c r="M172" i="14"/>
  <c r="L172" i="14"/>
  <c r="K172" i="14"/>
  <c r="J172" i="14"/>
  <c r="I172" i="14"/>
  <c r="M171" i="14"/>
  <c r="L171" i="14"/>
  <c r="K171" i="14"/>
  <c r="J171" i="14"/>
  <c r="I171" i="14"/>
  <c r="M170" i="14"/>
  <c r="L170" i="14"/>
  <c r="K170" i="14"/>
  <c r="J170" i="14"/>
  <c r="I170" i="14"/>
  <c r="M169" i="14"/>
  <c r="L169" i="14"/>
  <c r="K169" i="14"/>
  <c r="J169" i="14"/>
  <c r="I169" i="14"/>
  <c r="M168" i="14"/>
  <c r="L168" i="14"/>
  <c r="K168" i="14"/>
  <c r="J168" i="14"/>
  <c r="I168" i="14"/>
  <c r="M167" i="14"/>
  <c r="L167" i="14"/>
  <c r="K167" i="14"/>
  <c r="J167" i="14"/>
  <c r="I167" i="14"/>
  <c r="M166" i="14"/>
  <c r="L166" i="14"/>
  <c r="K166" i="14"/>
  <c r="J166" i="14"/>
  <c r="I166" i="14"/>
  <c r="M165" i="14"/>
  <c r="L165" i="14"/>
  <c r="K165" i="14"/>
  <c r="J165" i="14"/>
  <c r="I165" i="14"/>
  <c r="M164" i="14"/>
  <c r="L164" i="14"/>
  <c r="K164" i="14"/>
  <c r="J164" i="14"/>
  <c r="I164" i="14"/>
  <c r="M163" i="14"/>
  <c r="L163" i="14"/>
  <c r="K163" i="14"/>
  <c r="J163" i="14"/>
  <c r="I163" i="14"/>
  <c r="M162" i="14"/>
  <c r="L162" i="14"/>
  <c r="K162" i="14"/>
  <c r="J162" i="14"/>
  <c r="I162" i="14"/>
  <c r="M161" i="14"/>
  <c r="L161" i="14"/>
  <c r="K161" i="14"/>
  <c r="J161" i="14"/>
  <c r="I161" i="14"/>
  <c r="M160" i="14"/>
  <c r="L160" i="14"/>
  <c r="K160" i="14"/>
  <c r="J160" i="14"/>
  <c r="I160" i="14"/>
  <c r="M159" i="14"/>
  <c r="L159" i="14"/>
  <c r="K159" i="14"/>
  <c r="J159" i="14"/>
  <c r="I159" i="14"/>
  <c r="M158" i="14"/>
  <c r="L158" i="14"/>
  <c r="K158" i="14"/>
  <c r="J158" i="14"/>
  <c r="I158" i="14"/>
  <c r="M157" i="14"/>
  <c r="L157" i="14"/>
  <c r="K157" i="14"/>
  <c r="J157" i="14"/>
  <c r="I157" i="14"/>
  <c r="M156" i="14"/>
  <c r="L156" i="14"/>
  <c r="K156" i="14"/>
  <c r="J156" i="14"/>
  <c r="I156" i="14"/>
  <c r="M155" i="14"/>
  <c r="L155" i="14"/>
  <c r="K155" i="14"/>
  <c r="J155" i="14"/>
  <c r="I155" i="14"/>
  <c r="M154" i="14"/>
  <c r="L154" i="14"/>
  <c r="K154" i="14"/>
  <c r="J154" i="14"/>
  <c r="I154" i="14"/>
  <c r="M153" i="14"/>
  <c r="L153" i="14"/>
  <c r="K153" i="14"/>
  <c r="J153" i="14"/>
  <c r="I153" i="14"/>
  <c r="M152" i="14"/>
  <c r="L152" i="14"/>
  <c r="K152" i="14"/>
  <c r="J152" i="14"/>
  <c r="I152" i="14"/>
  <c r="M151" i="14"/>
  <c r="L151" i="14"/>
  <c r="K151" i="14"/>
  <c r="J151" i="14"/>
  <c r="I151" i="14"/>
  <c r="M150" i="14"/>
  <c r="L150" i="14"/>
  <c r="K150" i="14"/>
  <c r="J150" i="14"/>
  <c r="I150" i="14"/>
  <c r="M149" i="14"/>
  <c r="L149" i="14"/>
  <c r="K149" i="14"/>
  <c r="J149" i="14"/>
  <c r="I149" i="14"/>
  <c r="M148" i="14"/>
  <c r="L148" i="14"/>
  <c r="K148" i="14"/>
  <c r="J148" i="14"/>
  <c r="I148" i="14"/>
  <c r="M147" i="14"/>
  <c r="L147" i="14"/>
  <c r="K147" i="14"/>
  <c r="J147" i="14"/>
  <c r="I147" i="14"/>
  <c r="M146" i="14"/>
  <c r="L146" i="14"/>
  <c r="K146" i="14"/>
  <c r="J146" i="14"/>
  <c r="I146" i="14"/>
  <c r="M145" i="14"/>
  <c r="L145" i="14"/>
  <c r="K145" i="14"/>
  <c r="J145" i="14"/>
  <c r="I145" i="14"/>
  <c r="M144" i="14"/>
  <c r="L144" i="14"/>
  <c r="K144" i="14"/>
  <c r="J144" i="14"/>
  <c r="I144" i="14"/>
  <c r="M143" i="14"/>
  <c r="L143" i="14"/>
  <c r="K143" i="14"/>
  <c r="J143" i="14"/>
  <c r="I143" i="14"/>
  <c r="M142" i="14"/>
  <c r="L142" i="14"/>
  <c r="K142" i="14"/>
  <c r="J142" i="14"/>
  <c r="I142" i="14"/>
  <c r="M141" i="14"/>
  <c r="L141" i="14"/>
  <c r="K141" i="14"/>
  <c r="J141" i="14"/>
  <c r="I141" i="14"/>
  <c r="M140" i="14"/>
  <c r="L140" i="14"/>
  <c r="K140" i="14"/>
  <c r="J140" i="14"/>
  <c r="I140" i="14"/>
  <c r="M139" i="14"/>
  <c r="L139" i="14"/>
  <c r="K139" i="14"/>
  <c r="J139" i="14"/>
  <c r="I139" i="14"/>
  <c r="M138" i="14"/>
  <c r="L138" i="14"/>
  <c r="K138" i="14"/>
  <c r="J138" i="14"/>
  <c r="I138" i="14"/>
  <c r="M137" i="14"/>
  <c r="L137" i="14"/>
  <c r="K137" i="14"/>
  <c r="J137" i="14"/>
  <c r="I137" i="14"/>
  <c r="M136" i="14"/>
  <c r="L136" i="14"/>
  <c r="K136" i="14"/>
  <c r="J136" i="14"/>
  <c r="I136" i="14"/>
  <c r="M135" i="14"/>
  <c r="L135" i="14"/>
  <c r="K135" i="14"/>
  <c r="J135" i="14"/>
  <c r="I135" i="14"/>
  <c r="M134" i="14"/>
  <c r="L134" i="14"/>
  <c r="K134" i="14"/>
  <c r="J134" i="14"/>
  <c r="I134" i="14"/>
  <c r="M133" i="14"/>
  <c r="L133" i="14"/>
  <c r="K133" i="14"/>
  <c r="J133" i="14"/>
  <c r="I133" i="14"/>
  <c r="M132" i="14"/>
  <c r="L132" i="14"/>
  <c r="K132" i="14"/>
  <c r="J132" i="14"/>
  <c r="I132" i="14"/>
  <c r="M131" i="14"/>
  <c r="L131" i="14"/>
  <c r="K131" i="14"/>
  <c r="J131" i="14"/>
  <c r="I131" i="14"/>
  <c r="M130" i="14"/>
  <c r="L130" i="14"/>
  <c r="K130" i="14"/>
  <c r="J130" i="14"/>
  <c r="I130" i="14"/>
  <c r="M129" i="14"/>
  <c r="L129" i="14"/>
  <c r="K129" i="14"/>
  <c r="J129" i="14"/>
  <c r="I129" i="14"/>
  <c r="M128" i="14"/>
  <c r="L128" i="14"/>
  <c r="K128" i="14"/>
  <c r="J128" i="14"/>
  <c r="I128" i="14"/>
  <c r="M127" i="14"/>
  <c r="L127" i="14"/>
  <c r="K127" i="14"/>
  <c r="J127" i="14"/>
  <c r="I127" i="14"/>
  <c r="M126" i="14"/>
  <c r="L126" i="14"/>
  <c r="K126" i="14"/>
  <c r="J126" i="14"/>
  <c r="I126" i="14"/>
  <c r="M125" i="14"/>
  <c r="L125" i="14"/>
  <c r="K125" i="14"/>
  <c r="J125" i="14"/>
  <c r="I125" i="14"/>
  <c r="M124" i="14"/>
  <c r="L124" i="14"/>
  <c r="K124" i="14"/>
  <c r="J124" i="14"/>
  <c r="I124" i="14"/>
  <c r="M123" i="14"/>
  <c r="L123" i="14"/>
  <c r="K123" i="14"/>
  <c r="J123" i="14"/>
  <c r="I123" i="14"/>
  <c r="M122" i="14"/>
  <c r="L122" i="14"/>
  <c r="K122" i="14"/>
  <c r="J122" i="14"/>
  <c r="I122" i="14"/>
  <c r="M121" i="14"/>
  <c r="L121" i="14"/>
  <c r="K121" i="14"/>
  <c r="J121" i="14"/>
  <c r="I121" i="14"/>
  <c r="M120" i="14"/>
  <c r="L120" i="14"/>
  <c r="K120" i="14"/>
  <c r="J120" i="14"/>
  <c r="I120" i="14"/>
  <c r="M119" i="14"/>
  <c r="L119" i="14"/>
  <c r="K119" i="14"/>
  <c r="J119" i="14"/>
  <c r="I119" i="14"/>
  <c r="M118" i="14"/>
  <c r="L118" i="14"/>
  <c r="K118" i="14"/>
  <c r="J118" i="14"/>
  <c r="I118" i="14"/>
  <c r="M117" i="14"/>
  <c r="L117" i="14"/>
  <c r="K117" i="14"/>
  <c r="J117" i="14"/>
  <c r="I117" i="14"/>
  <c r="M116" i="14"/>
  <c r="L116" i="14"/>
  <c r="K116" i="14"/>
  <c r="J116" i="14"/>
  <c r="I116" i="14"/>
  <c r="M115" i="14"/>
  <c r="L115" i="14"/>
  <c r="K115" i="14"/>
  <c r="J115" i="14"/>
  <c r="I115" i="14"/>
  <c r="M114" i="14"/>
  <c r="L114" i="14"/>
  <c r="K114" i="14"/>
  <c r="J114" i="14"/>
  <c r="I114" i="14"/>
  <c r="M113" i="14"/>
  <c r="L113" i="14"/>
  <c r="K113" i="14"/>
  <c r="J113" i="14"/>
  <c r="I113" i="14"/>
  <c r="M112" i="14"/>
  <c r="L112" i="14"/>
  <c r="K112" i="14"/>
  <c r="J112" i="14"/>
  <c r="I112" i="14"/>
  <c r="M111" i="14"/>
  <c r="L111" i="14"/>
  <c r="K111" i="14"/>
  <c r="J111" i="14"/>
  <c r="I111" i="14"/>
  <c r="M110" i="14"/>
  <c r="L110" i="14"/>
  <c r="K110" i="14"/>
  <c r="J110" i="14"/>
  <c r="I110" i="14"/>
  <c r="M109" i="14"/>
  <c r="L109" i="14"/>
  <c r="K109" i="14"/>
  <c r="J109" i="14"/>
  <c r="I109" i="14"/>
  <c r="M108" i="14"/>
  <c r="L108" i="14"/>
  <c r="K108" i="14"/>
  <c r="J108" i="14"/>
  <c r="I108" i="14"/>
  <c r="M107" i="14"/>
  <c r="L107" i="14"/>
  <c r="K107" i="14"/>
  <c r="J107" i="14"/>
  <c r="I107" i="14"/>
  <c r="M106" i="14"/>
  <c r="L106" i="14"/>
  <c r="K106" i="14"/>
  <c r="J106" i="14"/>
  <c r="I106" i="14"/>
  <c r="M105" i="14"/>
  <c r="L105" i="14"/>
  <c r="K105" i="14"/>
  <c r="J105" i="14"/>
  <c r="I105" i="14"/>
  <c r="M104" i="14"/>
  <c r="L104" i="14"/>
  <c r="K104" i="14"/>
  <c r="J104" i="14"/>
  <c r="I104" i="14"/>
  <c r="M103" i="14"/>
  <c r="L103" i="14"/>
  <c r="K103" i="14"/>
  <c r="J103" i="14"/>
  <c r="I103" i="14"/>
  <c r="M102" i="14"/>
  <c r="L102" i="14"/>
  <c r="K102" i="14"/>
  <c r="J102" i="14"/>
  <c r="I102" i="14"/>
  <c r="M101" i="14"/>
  <c r="L101" i="14"/>
  <c r="K101" i="14"/>
  <c r="J101" i="14"/>
  <c r="I101" i="14"/>
  <c r="M100" i="14"/>
  <c r="L100" i="14"/>
  <c r="K100" i="14"/>
  <c r="J100" i="14"/>
  <c r="I100" i="14"/>
  <c r="M99" i="14"/>
  <c r="L99" i="14"/>
  <c r="K99" i="14"/>
  <c r="J99" i="14"/>
  <c r="I99" i="14"/>
  <c r="M98" i="14"/>
  <c r="L98" i="14"/>
  <c r="K98" i="14"/>
  <c r="J98" i="14"/>
  <c r="I98" i="14"/>
  <c r="M97" i="14"/>
  <c r="L97" i="14"/>
  <c r="K97" i="14"/>
  <c r="J97" i="14"/>
  <c r="I97" i="14"/>
  <c r="M96" i="14"/>
  <c r="L96" i="14"/>
  <c r="K96" i="14"/>
  <c r="J96" i="14"/>
  <c r="I96" i="14"/>
  <c r="M95" i="14"/>
  <c r="L95" i="14"/>
  <c r="K95" i="14"/>
  <c r="J95" i="14"/>
  <c r="I95" i="14"/>
  <c r="M94" i="14"/>
  <c r="L94" i="14"/>
  <c r="K94" i="14"/>
  <c r="J94" i="14"/>
  <c r="I94" i="14"/>
  <c r="M93" i="14"/>
  <c r="L93" i="14"/>
  <c r="K93" i="14"/>
  <c r="J93" i="14"/>
  <c r="I93" i="14"/>
  <c r="M92" i="14"/>
  <c r="L92" i="14"/>
  <c r="K92" i="14"/>
  <c r="J92" i="14"/>
  <c r="I92" i="14"/>
  <c r="M91" i="14"/>
  <c r="L91" i="14"/>
  <c r="K91" i="14"/>
  <c r="J91" i="14"/>
  <c r="I91" i="14"/>
  <c r="M90" i="14"/>
  <c r="L90" i="14"/>
  <c r="K90" i="14"/>
  <c r="J90" i="14"/>
  <c r="I90" i="14"/>
  <c r="M89" i="14"/>
  <c r="L89" i="14"/>
  <c r="K89" i="14"/>
  <c r="J89" i="14"/>
  <c r="I89" i="14"/>
  <c r="M88" i="14"/>
  <c r="L88" i="14"/>
  <c r="K88" i="14"/>
  <c r="J88" i="14"/>
  <c r="I88" i="14"/>
  <c r="M87" i="14"/>
  <c r="L87" i="14"/>
  <c r="K87" i="14"/>
  <c r="J87" i="14"/>
  <c r="I87" i="14"/>
  <c r="M86" i="14"/>
  <c r="L86" i="14"/>
  <c r="K86" i="14"/>
  <c r="J86" i="14"/>
  <c r="I86" i="14"/>
  <c r="M85" i="14"/>
  <c r="L85" i="14"/>
  <c r="K85" i="14"/>
  <c r="J85" i="14"/>
  <c r="I85" i="14"/>
  <c r="M84" i="14"/>
  <c r="L84" i="14"/>
  <c r="K84" i="14"/>
  <c r="J84" i="14"/>
  <c r="I84" i="14"/>
  <c r="M83" i="14"/>
  <c r="L83" i="14"/>
  <c r="K83" i="14"/>
  <c r="J83" i="14"/>
  <c r="I83" i="14"/>
  <c r="M82" i="14"/>
  <c r="L82" i="14"/>
  <c r="K82" i="14"/>
  <c r="J82" i="14"/>
  <c r="I82" i="14"/>
  <c r="M81" i="14"/>
  <c r="L81" i="14"/>
  <c r="K81" i="14"/>
  <c r="J81" i="14"/>
  <c r="I81" i="14"/>
  <c r="M80" i="14"/>
  <c r="L80" i="14"/>
  <c r="K80" i="14"/>
  <c r="J80" i="14"/>
  <c r="I80" i="14"/>
  <c r="M79" i="14"/>
  <c r="L79" i="14"/>
  <c r="K79" i="14"/>
  <c r="J79" i="14"/>
  <c r="I79" i="14"/>
  <c r="M78" i="14"/>
  <c r="L78" i="14"/>
  <c r="K78" i="14"/>
  <c r="J78" i="14"/>
  <c r="I78" i="14"/>
  <c r="M77" i="14"/>
  <c r="L77" i="14"/>
  <c r="K77" i="14"/>
  <c r="J77" i="14"/>
  <c r="I77" i="14"/>
  <c r="M76" i="14"/>
  <c r="L76" i="14"/>
  <c r="K76" i="14"/>
  <c r="J76" i="14"/>
  <c r="I76" i="14"/>
  <c r="M75" i="14"/>
  <c r="L75" i="14"/>
  <c r="K75" i="14"/>
  <c r="J75" i="14"/>
  <c r="I75" i="14"/>
  <c r="M74" i="14"/>
  <c r="L74" i="14"/>
  <c r="K74" i="14"/>
  <c r="J74" i="14"/>
  <c r="I74" i="14"/>
  <c r="M73" i="14"/>
  <c r="L73" i="14"/>
  <c r="K73" i="14"/>
  <c r="J73" i="14"/>
  <c r="I73" i="14"/>
  <c r="M72" i="14"/>
  <c r="L72" i="14"/>
  <c r="K72" i="14"/>
  <c r="J72" i="14"/>
  <c r="I72" i="14"/>
  <c r="M71" i="14"/>
  <c r="L71" i="14"/>
  <c r="K71" i="14"/>
  <c r="J71" i="14"/>
  <c r="I71" i="14"/>
  <c r="M70" i="14"/>
  <c r="L70" i="14"/>
  <c r="K70" i="14"/>
  <c r="J70" i="14"/>
  <c r="I70" i="14"/>
  <c r="M69" i="14"/>
  <c r="L69" i="14"/>
  <c r="K69" i="14"/>
  <c r="J69" i="14"/>
  <c r="I69" i="14"/>
  <c r="M68" i="14"/>
  <c r="L68" i="14"/>
  <c r="K68" i="14"/>
  <c r="J68" i="14"/>
  <c r="I68" i="14"/>
  <c r="M67" i="14"/>
  <c r="L67" i="14"/>
  <c r="K67" i="14"/>
  <c r="J67" i="14"/>
  <c r="I67" i="14"/>
  <c r="M66" i="14"/>
  <c r="L66" i="14"/>
  <c r="K66" i="14"/>
  <c r="J66" i="14"/>
  <c r="I66" i="14"/>
  <c r="M65" i="14"/>
  <c r="L65" i="14"/>
  <c r="K65" i="14"/>
  <c r="J65" i="14"/>
  <c r="I65" i="14"/>
  <c r="M64" i="14"/>
  <c r="L64" i="14"/>
  <c r="K64" i="14"/>
  <c r="J64" i="14"/>
  <c r="I64" i="14"/>
  <c r="M63" i="14"/>
  <c r="L63" i="14"/>
  <c r="K63" i="14"/>
  <c r="J63" i="14"/>
  <c r="I63" i="14"/>
  <c r="M62" i="14"/>
  <c r="L62" i="14"/>
  <c r="K62" i="14"/>
  <c r="J62" i="14"/>
  <c r="I62" i="14"/>
  <c r="M61" i="14"/>
  <c r="L61" i="14"/>
  <c r="K61" i="14"/>
  <c r="J61" i="14"/>
  <c r="I61" i="14"/>
  <c r="M60" i="14"/>
  <c r="L60" i="14"/>
  <c r="K60" i="14"/>
  <c r="J60" i="14"/>
  <c r="I60" i="14"/>
  <c r="M59" i="14"/>
  <c r="L59" i="14"/>
  <c r="K59" i="14"/>
  <c r="J59" i="14"/>
  <c r="I59" i="14"/>
  <c r="M58" i="14"/>
  <c r="L58" i="14"/>
  <c r="K58" i="14"/>
  <c r="J58" i="14"/>
  <c r="I58" i="14"/>
  <c r="M57" i="14"/>
  <c r="L57" i="14"/>
  <c r="K57" i="14"/>
  <c r="J57" i="14"/>
  <c r="I57" i="14"/>
  <c r="M56" i="14"/>
  <c r="L56" i="14"/>
  <c r="K56" i="14"/>
  <c r="J56" i="14"/>
  <c r="I56" i="14"/>
  <c r="M55" i="14"/>
  <c r="L55" i="14"/>
  <c r="K55" i="14"/>
  <c r="J55" i="14"/>
  <c r="I55" i="14"/>
  <c r="M54" i="14"/>
  <c r="L54" i="14"/>
  <c r="K54" i="14"/>
  <c r="J54" i="14"/>
  <c r="I54" i="14"/>
  <c r="M53" i="14"/>
  <c r="L53" i="14"/>
  <c r="K53" i="14"/>
  <c r="J53" i="14"/>
  <c r="I53" i="14"/>
  <c r="M52" i="14"/>
  <c r="L52" i="14"/>
  <c r="K52" i="14"/>
  <c r="J52" i="14"/>
  <c r="I52" i="14"/>
  <c r="M51" i="14"/>
  <c r="L51" i="14"/>
  <c r="K51" i="14"/>
  <c r="J51" i="14"/>
  <c r="I51" i="14"/>
  <c r="M50" i="14"/>
  <c r="L50" i="14"/>
  <c r="K50" i="14"/>
  <c r="J50" i="14"/>
  <c r="I50" i="14"/>
  <c r="M49" i="14"/>
  <c r="L49" i="14"/>
  <c r="K49" i="14"/>
  <c r="J49" i="14"/>
  <c r="I49" i="14"/>
  <c r="M48" i="14"/>
  <c r="L48" i="14"/>
  <c r="K48" i="14"/>
  <c r="J48" i="14"/>
  <c r="I48" i="14"/>
  <c r="M47" i="14"/>
  <c r="L47" i="14"/>
  <c r="K47" i="14"/>
  <c r="J47" i="14"/>
  <c r="I47" i="14"/>
  <c r="M46" i="14"/>
  <c r="L46" i="14"/>
  <c r="K46" i="14"/>
  <c r="J46" i="14"/>
  <c r="I46" i="14"/>
  <c r="M45" i="14"/>
  <c r="L45" i="14"/>
  <c r="K45" i="14"/>
  <c r="J45" i="14"/>
  <c r="I45" i="14"/>
  <c r="M44" i="14"/>
  <c r="L44" i="14"/>
  <c r="K44" i="14"/>
  <c r="J44" i="14"/>
  <c r="I44" i="14"/>
  <c r="M43" i="14"/>
  <c r="L43" i="14"/>
  <c r="K43" i="14"/>
  <c r="J43" i="14"/>
  <c r="I43" i="14"/>
  <c r="M42" i="14"/>
  <c r="L42" i="14"/>
  <c r="K42" i="14"/>
  <c r="J42" i="14"/>
  <c r="I42" i="14"/>
  <c r="M41" i="14"/>
  <c r="L41" i="14"/>
  <c r="K41" i="14"/>
  <c r="J41" i="14"/>
  <c r="I41" i="14"/>
  <c r="M40" i="14"/>
  <c r="L40" i="14"/>
  <c r="K40" i="14"/>
  <c r="J40" i="14"/>
  <c r="I40" i="14"/>
  <c r="M39" i="14"/>
  <c r="L39" i="14"/>
  <c r="K39" i="14"/>
  <c r="J39" i="14"/>
  <c r="I39" i="14"/>
  <c r="M38" i="14"/>
  <c r="L38" i="14"/>
  <c r="K38" i="14"/>
  <c r="J38" i="14"/>
  <c r="I38" i="14"/>
  <c r="M37" i="14"/>
  <c r="L37" i="14"/>
  <c r="K37" i="14"/>
  <c r="J37" i="14"/>
  <c r="I37" i="14"/>
  <c r="M36" i="14"/>
  <c r="L36" i="14"/>
  <c r="K36" i="14"/>
  <c r="J36" i="14"/>
  <c r="I36" i="14"/>
  <c r="M35" i="14"/>
  <c r="L35" i="14"/>
  <c r="K35" i="14"/>
  <c r="J35" i="14"/>
  <c r="I35" i="14"/>
  <c r="M34" i="14"/>
  <c r="L34" i="14"/>
  <c r="K34" i="14"/>
  <c r="J34" i="14"/>
  <c r="I34" i="14"/>
  <c r="M33" i="14"/>
  <c r="L33" i="14"/>
  <c r="K33" i="14"/>
  <c r="J33" i="14"/>
  <c r="I33" i="14"/>
  <c r="M32" i="14"/>
  <c r="L32" i="14"/>
  <c r="K32" i="14"/>
  <c r="J32" i="14"/>
  <c r="I32" i="14"/>
  <c r="M31" i="14"/>
  <c r="L31" i="14"/>
  <c r="K31" i="14"/>
  <c r="J31" i="14"/>
  <c r="I31" i="14"/>
  <c r="M30" i="14"/>
  <c r="L30" i="14"/>
  <c r="K30" i="14"/>
  <c r="J30" i="14"/>
  <c r="I30" i="14"/>
  <c r="M29" i="14"/>
  <c r="L29" i="14"/>
  <c r="K29" i="14"/>
  <c r="J29" i="14"/>
  <c r="I29" i="14"/>
  <c r="M28" i="14"/>
  <c r="L28" i="14"/>
  <c r="K28" i="14"/>
  <c r="J28" i="14"/>
  <c r="I28" i="14"/>
  <c r="M27" i="14"/>
  <c r="L27" i="14"/>
  <c r="K27" i="14"/>
  <c r="J27" i="14"/>
  <c r="I27" i="14"/>
  <c r="M26" i="14"/>
  <c r="L26" i="14"/>
  <c r="K26" i="14"/>
  <c r="J26" i="14"/>
  <c r="I26" i="14"/>
  <c r="M25" i="14"/>
  <c r="L25" i="14"/>
  <c r="K25" i="14"/>
  <c r="J25" i="14"/>
  <c r="I25" i="14"/>
  <c r="M24" i="14"/>
  <c r="L24" i="14"/>
  <c r="K24" i="14"/>
  <c r="J24" i="14"/>
  <c r="I24" i="14"/>
  <c r="M23" i="14"/>
  <c r="L23" i="14"/>
  <c r="K23" i="14"/>
  <c r="J23" i="14"/>
  <c r="I23" i="14"/>
  <c r="M22" i="14"/>
  <c r="L22" i="14"/>
  <c r="K22" i="14"/>
  <c r="J22" i="14"/>
  <c r="I22" i="14"/>
  <c r="M21" i="14"/>
  <c r="L21" i="14"/>
  <c r="K21" i="14"/>
  <c r="J21" i="14"/>
  <c r="I21" i="14"/>
  <c r="M20" i="14"/>
  <c r="L20" i="14"/>
  <c r="K20" i="14"/>
  <c r="J20" i="14"/>
  <c r="I20" i="14"/>
  <c r="M19" i="14"/>
  <c r="L19" i="14"/>
  <c r="K19" i="14"/>
  <c r="J19" i="14"/>
  <c r="I19" i="14"/>
  <c r="M18" i="14"/>
  <c r="L18" i="14"/>
  <c r="K18" i="14"/>
  <c r="J18" i="14"/>
  <c r="I18" i="14"/>
  <c r="M17" i="14"/>
  <c r="L17" i="14"/>
  <c r="K17" i="14"/>
  <c r="J17" i="14"/>
  <c r="I17" i="14"/>
  <c r="M16" i="14"/>
  <c r="L16" i="14"/>
  <c r="K16" i="14"/>
  <c r="J16" i="14"/>
  <c r="I16" i="14"/>
  <c r="M15" i="14"/>
  <c r="L15" i="14"/>
  <c r="K15" i="14"/>
  <c r="J15" i="14"/>
  <c r="I15" i="14"/>
  <c r="M14" i="14"/>
  <c r="L14" i="14"/>
  <c r="K14" i="14"/>
  <c r="J14" i="14"/>
  <c r="I14" i="14"/>
  <c r="M13" i="14"/>
  <c r="L13" i="14"/>
  <c r="K13" i="14"/>
  <c r="J13" i="14"/>
  <c r="I13" i="14"/>
  <c r="M12" i="14"/>
  <c r="L12" i="14"/>
  <c r="K12" i="14"/>
  <c r="J12" i="14"/>
  <c r="I12" i="14"/>
  <c r="M11" i="14"/>
  <c r="L11" i="14"/>
  <c r="K11" i="14"/>
  <c r="J11" i="14"/>
  <c r="I11" i="14"/>
  <c r="M10" i="14"/>
  <c r="L10" i="14"/>
  <c r="K10" i="14"/>
  <c r="J10" i="14"/>
  <c r="I10" i="14"/>
  <c r="M9" i="14"/>
  <c r="L9" i="14"/>
  <c r="K9" i="14"/>
  <c r="J9" i="14"/>
  <c r="I9" i="14"/>
  <c r="M8" i="14"/>
  <c r="L8" i="14"/>
  <c r="K8" i="14"/>
  <c r="J8" i="14"/>
  <c r="I8" i="14"/>
  <c r="M7" i="14"/>
  <c r="L7" i="14"/>
  <c r="K7" i="14"/>
  <c r="J7" i="14"/>
  <c r="I7" i="14"/>
  <c r="M6" i="14"/>
  <c r="L6" i="14"/>
  <c r="K6" i="14"/>
  <c r="J6" i="14"/>
  <c r="I6" i="14"/>
  <c r="G682" i="13"/>
  <c r="F682" i="13"/>
  <c r="E682" i="13"/>
  <c r="D682" i="13"/>
  <c r="C682" i="13"/>
  <c r="M681" i="13"/>
  <c r="L681" i="13"/>
  <c r="K681" i="13"/>
  <c r="J681" i="13"/>
  <c r="I681" i="13"/>
  <c r="M680" i="13"/>
  <c r="L680" i="13"/>
  <c r="K680" i="13"/>
  <c r="J680" i="13"/>
  <c r="I680" i="13"/>
  <c r="M679" i="13"/>
  <c r="L679" i="13"/>
  <c r="K679" i="13"/>
  <c r="J679" i="13"/>
  <c r="I679" i="13"/>
  <c r="M678" i="13"/>
  <c r="L678" i="13"/>
  <c r="K678" i="13"/>
  <c r="J678" i="13"/>
  <c r="I678" i="13"/>
  <c r="M677" i="13"/>
  <c r="L677" i="13"/>
  <c r="K677" i="13"/>
  <c r="J677" i="13"/>
  <c r="I677" i="13"/>
  <c r="M676" i="13"/>
  <c r="L676" i="13"/>
  <c r="K676" i="13"/>
  <c r="J676" i="13"/>
  <c r="I676" i="13"/>
  <c r="M675" i="13"/>
  <c r="L675" i="13"/>
  <c r="K675" i="13"/>
  <c r="J675" i="13"/>
  <c r="I675" i="13"/>
  <c r="M674" i="13"/>
  <c r="L674" i="13"/>
  <c r="K674" i="13"/>
  <c r="J674" i="13"/>
  <c r="I674" i="13"/>
  <c r="M673" i="13"/>
  <c r="L673" i="13"/>
  <c r="K673" i="13"/>
  <c r="J673" i="13"/>
  <c r="I673" i="13"/>
  <c r="M672" i="13"/>
  <c r="L672" i="13"/>
  <c r="K672" i="13"/>
  <c r="J672" i="13"/>
  <c r="I672" i="13"/>
  <c r="M671" i="13"/>
  <c r="L671" i="13"/>
  <c r="K671" i="13"/>
  <c r="J671" i="13"/>
  <c r="I671" i="13"/>
  <c r="M670" i="13"/>
  <c r="L670" i="13"/>
  <c r="K670" i="13"/>
  <c r="J670" i="13"/>
  <c r="I670" i="13"/>
  <c r="M669" i="13"/>
  <c r="L669" i="13"/>
  <c r="K669" i="13"/>
  <c r="J669" i="13"/>
  <c r="I669" i="13"/>
  <c r="M668" i="13"/>
  <c r="L668" i="13"/>
  <c r="K668" i="13"/>
  <c r="J668" i="13"/>
  <c r="I668" i="13"/>
  <c r="M667" i="13"/>
  <c r="L667" i="13"/>
  <c r="K667" i="13"/>
  <c r="J667" i="13"/>
  <c r="I667" i="13"/>
  <c r="M666" i="13"/>
  <c r="L666" i="13"/>
  <c r="K666" i="13"/>
  <c r="J666" i="13"/>
  <c r="I666" i="13"/>
  <c r="M665" i="13"/>
  <c r="L665" i="13"/>
  <c r="K665" i="13"/>
  <c r="J665" i="13"/>
  <c r="I665" i="13"/>
  <c r="M664" i="13"/>
  <c r="L664" i="13"/>
  <c r="K664" i="13"/>
  <c r="J664" i="13"/>
  <c r="I664" i="13"/>
  <c r="M663" i="13"/>
  <c r="L663" i="13"/>
  <c r="K663" i="13"/>
  <c r="J663" i="13"/>
  <c r="I663" i="13"/>
  <c r="M662" i="13"/>
  <c r="L662" i="13"/>
  <c r="K662" i="13"/>
  <c r="J662" i="13"/>
  <c r="I662" i="13"/>
  <c r="M661" i="13"/>
  <c r="L661" i="13"/>
  <c r="K661" i="13"/>
  <c r="J661" i="13"/>
  <c r="I661" i="13"/>
  <c r="M660" i="13"/>
  <c r="L660" i="13"/>
  <c r="K660" i="13"/>
  <c r="J660" i="13"/>
  <c r="I660" i="13"/>
  <c r="M659" i="13"/>
  <c r="L659" i="13"/>
  <c r="K659" i="13"/>
  <c r="J659" i="13"/>
  <c r="I659" i="13"/>
  <c r="M658" i="13"/>
  <c r="L658" i="13"/>
  <c r="K658" i="13"/>
  <c r="J658" i="13"/>
  <c r="I658" i="13"/>
  <c r="M657" i="13"/>
  <c r="L657" i="13"/>
  <c r="K657" i="13"/>
  <c r="J657" i="13"/>
  <c r="I657" i="13"/>
  <c r="M656" i="13"/>
  <c r="L656" i="13"/>
  <c r="K656" i="13"/>
  <c r="J656" i="13"/>
  <c r="I656" i="13"/>
  <c r="M655" i="13"/>
  <c r="L655" i="13"/>
  <c r="K655" i="13"/>
  <c r="J655" i="13"/>
  <c r="I655" i="13"/>
  <c r="M654" i="13"/>
  <c r="L654" i="13"/>
  <c r="K654" i="13"/>
  <c r="J654" i="13"/>
  <c r="I654" i="13"/>
  <c r="M653" i="13"/>
  <c r="L653" i="13"/>
  <c r="K653" i="13"/>
  <c r="J653" i="13"/>
  <c r="I653" i="13"/>
  <c r="M652" i="13"/>
  <c r="L652" i="13"/>
  <c r="K652" i="13"/>
  <c r="J652" i="13"/>
  <c r="I652" i="13"/>
  <c r="M651" i="13"/>
  <c r="L651" i="13"/>
  <c r="K651" i="13"/>
  <c r="J651" i="13"/>
  <c r="I651" i="13"/>
  <c r="M650" i="13"/>
  <c r="L650" i="13"/>
  <c r="K650" i="13"/>
  <c r="J650" i="13"/>
  <c r="I650" i="13"/>
  <c r="M649" i="13"/>
  <c r="L649" i="13"/>
  <c r="K649" i="13"/>
  <c r="J649" i="13"/>
  <c r="I649" i="13"/>
  <c r="M648" i="13"/>
  <c r="L648" i="13"/>
  <c r="K648" i="13"/>
  <c r="J648" i="13"/>
  <c r="I648" i="13"/>
  <c r="M647" i="13"/>
  <c r="L647" i="13"/>
  <c r="K647" i="13"/>
  <c r="J647" i="13"/>
  <c r="I647" i="13"/>
  <c r="M646" i="13"/>
  <c r="L646" i="13"/>
  <c r="K646" i="13"/>
  <c r="J646" i="13"/>
  <c r="I646" i="13"/>
  <c r="M645" i="13"/>
  <c r="L645" i="13"/>
  <c r="K645" i="13"/>
  <c r="J645" i="13"/>
  <c r="I645" i="13"/>
  <c r="M644" i="13"/>
  <c r="L644" i="13"/>
  <c r="K644" i="13"/>
  <c r="J644" i="13"/>
  <c r="I644" i="13"/>
  <c r="M643" i="13"/>
  <c r="L643" i="13"/>
  <c r="K643" i="13"/>
  <c r="J643" i="13"/>
  <c r="I643" i="13"/>
  <c r="M642" i="13"/>
  <c r="L642" i="13"/>
  <c r="K642" i="13"/>
  <c r="J642" i="13"/>
  <c r="I642" i="13"/>
  <c r="M641" i="13"/>
  <c r="L641" i="13"/>
  <c r="K641" i="13"/>
  <c r="J641" i="13"/>
  <c r="I641" i="13"/>
  <c r="M640" i="13"/>
  <c r="L640" i="13"/>
  <c r="K640" i="13"/>
  <c r="J640" i="13"/>
  <c r="I640" i="13"/>
  <c r="M639" i="13"/>
  <c r="L639" i="13"/>
  <c r="K639" i="13"/>
  <c r="J639" i="13"/>
  <c r="I639" i="13"/>
  <c r="M638" i="13"/>
  <c r="L638" i="13"/>
  <c r="K638" i="13"/>
  <c r="J638" i="13"/>
  <c r="I638" i="13"/>
  <c r="M637" i="13"/>
  <c r="L637" i="13"/>
  <c r="K637" i="13"/>
  <c r="J637" i="13"/>
  <c r="I637" i="13"/>
  <c r="M636" i="13"/>
  <c r="L636" i="13"/>
  <c r="K636" i="13"/>
  <c r="J636" i="13"/>
  <c r="I636" i="13"/>
  <c r="M635" i="13"/>
  <c r="L635" i="13"/>
  <c r="K635" i="13"/>
  <c r="J635" i="13"/>
  <c r="I635" i="13"/>
  <c r="M634" i="13"/>
  <c r="L634" i="13"/>
  <c r="K634" i="13"/>
  <c r="J634" i="13"/>
  <c r="I634" i="13"/>
  <c r="M633" i="13"/>
  <c r="L633" i="13"/>
  <c r="K633" i="13"/>
  <c r="J633" i="13"/>
  <c r="I633" i="13"/>
  <c r="M632" i="13"/>
  <c r="L632" i="13"/>
  <c r="K632" i="13"/>
  <c r="J632" i="13"/>
  <c r="I632" i="13"/>
  <c r="M631" i="13"/>
  <c r="L631" i="13"/>
  <c r="K631" i="13"/>
  <c r="J631" i="13"/>
  <c r="I631" i="13"/>
  <c r="M630" i="13"/>
  <c r="L630" i="13"/>
  <c r="K630" i="13"/>
  <c r="J630" i="13"/>
  <c r="I630" i="13"/>
  <c r="M629" i="13"/>
  <c r="L629" i="13"/>
  <c r="K629" i="13"/>
  <c r="J629" i="13"/>
  <c r="I629" i="13"/>
  <c r="M628" i="13"/>
  <c r="L628" i="13"/>
  <c r="K628" i="13"/>
  <c r="J628" i="13"/>
  <c r="I628" i="13"/>
  <c r="M627" i="13"/>
  <c r="L627" i="13"/>
  <c r="K627" i="13"/>
  <c r="J627" i="13"/>
  <c r="I627" i="13"/>
  <c r="M626" i="13"/>
  <c r="L626" i="13"/>
  <c r="K626" i="13"/>
  <c r="J626" i="13"/>
  <c r="I626" i="13"/>
  <c r="M625" i="13"/>
  <c r="L625" i="13"/>
  <c r="K625" i="13"/>
  <c r="J625" i="13"/>
  <c r="I625" i="13"/>
  <c r="M624" i="13"/>
  <c r="L624" i="13"/>
  <c r="K624" i="13"/>
  <c r="J624" i="13"/>
  <c r="I624" i="13"/>
  <c r="M623" i="13"/>
  <c r="L623" i="13"/>
  <c r="K623" i="13"/>
  <c r="J623" i="13"/>
  <c r="I623" i="13"/>
  <c r="M622" i="13"/>
  <c r="L622" i="13"/>
  <c r="K622" i="13"/>
  <c r="J622" i="13"/>
  <c r="I622" i="13"/>
  <c r="M621" i="13"/>
  <c r="L621" i="13"/>
  <c r="K621" i="13"/>
  <c r="J621" i="13"/>
  <c r="I621" i="13"/>
  <c r="M620" i="13"/>
  <c r="L620" i="13"/>
  <c r="K620" i="13"/>
  <c r="J620" i="13"/>
  <c r="I620" i="13"/>
  <c r="M619" i="13"/>
  <c r="L619" i="13"/>
  <c r="K619" i="13"/>
  <c r="J619" i="13"/>
  <c r="I619" i="13"/>
  <c r="M618" i="13"/>
  <c r="L618" i="13"/>
  <c r="K618" i="13"/>
  <c r="J618" i="13"/>
  <c r="I618" i="13"/>
  <c r="M617" i="13"/>
  <c r="L617" i="13"/>
  <c r="K617" i="13"/>
  <c r="J617" i="13"/>
  <c r="I617" i="13"/>
  <c r="M616" i="13"/>
  <c r="L616" i="13"/>
  <c r="K616" i="13"/>
  <c r="J616" i="13"/>
  <c r="I616" i="13"/>
  <c r="M615" i="13"/>
  <c r="L615" i="13"/>
  <c r="K615" i="13"/>
  <c r="J615" i="13"/>
  <c r="I615" i="13"/>
  <c r="M614" i="13"/>
  <c r="L614" i="13"/>
  <c r="K614" i="13"/>
  <c r="J614" i="13"/>
  <c r="I614" i="13"/>
  <c r="M613" i="13"/>
  <c r="L613" i="13"/>
  <c r="K613" i="13"/>
  <c r="J613" i="13"/>
  <c r="I613" i="13"/>
  <c r="M612" i="13"/>
  <c r="L612" i="13"/>
  <c r="K612" i="13"/>
  <c r="J612" i="13"/>
  <c r="I612" i="13"/>
  <c r="M611" i="13"/>
  <c r="L611" i="13"/>
  <c r="K611" i="13"/>
  <c r="J611" i="13"/>
  <c r="I611" i="13"/>
  <c r="M610" i="13"/>
  <c r="L610" i="13"/>
  <c r="K610" i="13"/>
  <c r="J610" i="13"/>
  <c r="I610" i="13"/>
  <c r="M609" i="13"/>
  <c r="L609" i="13"/>
  <c r="K609" i="13"/>
  <c r="J609" i="13"/>
  <c r="I609" i="13"/>
  <c r="M608" i="13"/>
  <c r="L608" i="13"/>
  <c r="K608" i="13"/>
  <c r="J608" i="13"/>
  <c r="I608" i="13"/>
  <c r="M607" i="13"/>
  <c r="L607" i="13"/>
  <c r="K607" i="13"/>
  <c r="J607" i="13"/>
  <c r="I607" i="13"/>
  <c r="M606" i="13"/>
  <c r="L606" i="13"/>
  <c r="K606" i="13"/>
  <c r="J606" i="13"/>
  <c r="I606" i="13"/>
  <c r="M605" i="13"/>
  <c r="L605" i="13"/>
  <c r="K605" i="13"/>
  <c r="J605" i="13"/>
  <c r="I605" i="13"/>
  <c r="M604" i="13"/>
  <c r="L604" i="13"/>
  <c r="K604" i="13"/>
  <c r="J604" i="13"/>
  <c r="I604" i="13"/>
  <c r="M603" i="13"/>
  <c r="L603" i="13"/>
  <c r="K603" i="13"/>
  <c r="J603" i="13"/>
  <c r="I603" i="13"/>
  <c r="M602" i="13"/>
  <c r="L602" i="13"/>
  <c r="K602" i="13"/>
  <c r="J602" i="13"/>
  <c r="I602" i="13"/>
  <c r="M601" i="13"/>
  <c r="L601" i="13"/>
  <c r="K601" i="13"/>
  <c r="J601" i="13"/>
  <c r="I601" i="13"/>
  <c r="M600" i="13"/>
  <c r="L600" i="13"/>
  <c r="K600" i="13"/>
  <c r="J600" i="13"/>
  <c r="I600" i="13"/>
  <c r="M599" i="13"/>
  <c r="L599" i="13"/>
  <c r="K599" i="13"/>
  <c r="J599" i="13"/>
  <c r="I599" i="13"/>
  <c r="M598" i="13"/>
  <c r="L598" i="13"/>
  <c r="K598" i="13"/>
  <c r="J598" i="13"/>
  <c r="I598" i="13"/>
  <c r="M597" i="13"/>
  <c r="L597" i="13"/>
  <c r="K597" i="13"/>
  <c r="J597" i="13"/>
  <c r="I597" i="13"/>
  <c r="M596" i="13"/>
  <c r="L596" i="13"/>
  <c r="K596" i="13"/>
  <c r="J596" i="13"/>
  <c r="I596" i="13"/>
  <c r="M595" i="13"/>
  <c r="L595" i="13"/>
  <c r="K595" i="13"/>
  <c r="J595" i="13"/>
  <c r="I595" i="13"/>
  <c r="M594" i="13"/>
  <c r="L594" i="13"/>
  <c r="K594" i="13"/>
  <c r="J594" i="13"/>
  <c r="I594" i="13"/>
  <c r="M593" i="13"/>
  <c r="L593" i="13"/>
  <c r="K593" i="13"/>
  <c r="J593" i="13"/>
  <c r="I593" i="13"/>
  <c r="M592" i="13"/>
  <c r="L592" i="13"/>
  <c r="K592" i="13"/>
  <c r="J592" i="13"/>
  <c r="I592" i="13"/>
  <c r="M591" i="13"/>
  <c r="L591" i="13"/>
  <c r="K591" i="13"/>
  <c r="J591" i="13"/>
  <c r="I591" i="13"/>
  <c r="M590" i="13"/>
  <c r="L590" i="13"/>
  <c r="K590" i="13"/>
  <c r="J590" i="13"/>
  <c r="I590" i="13"/>
  <c r="M589" i="13"/>
  <c r="L589" i="13"/>
  <c r="K589" i="13"/>
  <c r="J589" i="13"/>
  <c r="I589" i="13"/>
  <c r="M588" i="13"/>
  <c r="L588" i="13"/>
  <c r="K588" i="13"/>
  <c r="J588" i="13"/>
  <c r="I588" i="13"/>
  <c r="M587" i="13"/>
  <c r="L587" i="13"/>
  <c r="K587" i="13"/>
  <c r="J587" i="13"/>
  <c r="I587" i="13"/>
  <c r="M586" i="13"/>
  <c r="L586" i="13"/>
  <c r="K586" i="13"/>
  <c r="J586" i="13"/>
  <c r="I586" i="13"/>
  <c r="M585" i="13"/>
  <c r="L585" i="13"/>
  <c r="K585" i="13"/>
  <c r="J585" i="13"/>
  <c r="I585" i="13"/>
  <c r="M584" i="13"/>
  <c r="L584" i="13"/>
  <c r="K584" i="13"/>
  <c r="J584" i="13"/>
  <c r="I584" i="13"/>
  <c r="M583" i="13"/>
  <c r="L583" i="13"/>
  <c r="K583" i="13"/>
  <c r="J583" i="13"/>
  <c r="I583" i="13"/>
  <c r="M582" i="13"/>
  <c r="L582" i="13"/>
  <c r="K582" i="13"/>
  <c r="J582" i="13"/>
  <c r="I582" i="13"/>
  <c r="M581" i="13"/>
  <c r="L581" i="13"/>
  <c r="K581" i="13"/>
  <c r="J581" i="13"/>
  <c r="I581" i="13"/>
  <c r="M580" i="13"/>
  <c r="L580" i="13"/>
  <c r="K580" i="13"/>
  <c r="J580" i="13"/>
  <c r="I580" i="13"/>
  <c r="M579" i="13"/>
  <c r="L579" i="13"/>
  <c r="K579" i="13"/>
  <c r="J579" i="13"/>
  <c r="I579" i="13"/>
  <c r="M578" i="13"/>
  <c r="L578" i="13"/>
  <c r="K578" i="13"/>
  <c r="J578" i="13"/>
  <c r="I578" i="13"/>
  <c r="M577" i="13"/>
  <c r="L577" i="13"/>
  <c r="K577" i="13"/>
  <c r="J577" i="13"/>
  <c r="I577" i="13"/>
  <c r="M576" i="13"/>
  <c r="L576" i="13"/>
  <c r="K576" i="13"/>
  <c r="J576" i="13"/>
  <c r="I576" i="13"/>
  <c r="M575" i="13"/>
  <c r="L575" i="13"/>
  <c r="K575" i="13"/>
  <c r="J575" i="13"/>
  <c r="I575" i="13"/>
  <c r="M574" i="13"/>
  <c r="L574" i="13"/>
  <c r="K574" i="13"/>
  <c r="J574" i="13"/>
  <c r="I574" i="13"/>
  <c r="M573" i="13"/>
  <c r="L573" i="13"/>
  <c r="K573" i="13"/>
  <c r="J573" i="13"/>
  <c r="I573" i="13"/>
  <c r="M572" i="13"/>
  <c r="L572" i="13"/>
  <c r="K572" i="13"/>
  <c r="J572" i="13"/>
  <c r="I572" i="13"/>
  <c r="M571" i="13"/>
  <c r="L571" i="13"/>
  <c r="K571" i="13"/>
  <c r="J571" i="13"/>
  <c r="I571" i="13"/>
  <c r="M570" i="13"/>
  <c r="L570" i="13"/>
  <c r="K570" i="13"/>
  <c r="J570" i="13"/>
  <c r="I570" i="13"/>
  <c r="M569" i="13"/>
  <c r="L569" i="13"/>
  <c r="K569" i="13"/>
  <c r="J569" i="13"/>
  <c r="I569" i="13"/>
  <c r="M568" i="13"/>
  <c r="L568" i="13"/>
  <c r="K568" i="13"/>
  <c r="J568" i="13"/>
  <c r="I568" i="13"/>
  <c r="M567" i="13"/>
  <c r="L567" i="13"/>
  <c r="K567" i="13"/>
  <c r="J567" i="13"/>
  <c r="I567" i="13"/>
  <c r="M566" i="13"/>
  <c r="L566" i="13"/>
  <c r="K566" i="13"/>
  <c r="J566" i="13"/>
  <c r="I566" i="13"/>
  <c r="M565" i="13"/>
  <c r="L565" i="13"/>
  <c r="K565" i="13"/>
  <c r="J565" i="13"/>
  <c r="I565" i="13"/>
  <c r="M564" i="13"/>
  <c r="L564" i="13"/>
  <c r="K564" i="13"/>
  <c r="J564" i="13"/>
  <c r="I564" i="13"/>
  <c r="M563" i="13"/>
  <c r="L563" i="13"/>
  <c r="K563" i="13"/>
  <c r="J563" i="13"/>
  <c r="I563" i="13"/>
  <c r="M562" i="13"/>
  <c r="L562" i="13"/>
  <c r="K562" i="13"/>
  <c r="J562" i="13"/>
  <c r="I562" i="13"/>
  <c r="M561" i="13"/>
  <c r="L561" i="13"/>
  <c r="K561" i="13"/>
  <c r="J561" i="13"/>
  <c r="I561" i="13"/>
  <c r="M560" i="13"/>
  <c r="L560" i="13"/>
  <c r="K560" i="13"/>
  <c r="J560" i="13"/>
  <c r="I560" i="13"/>
  <c r="M559" i="13"/>
  <c r="L559" i="13"/>
  <c r="K559" i="13"/>
  <c r="J559" i="13"/>
  <c r="I559" i="13"/>
  <c r="M558" i="13"/>
  <c r="L558" i="13"/>
  <c r="K558" i="13"/>
  <c r="J558" i="13"/>
  <c r="I558" i="13"/>
  <c r="M557" i="13"/>
  <c r="L557" i="13"/>
  <c r="K557" i="13"/>
  <c r="J557" i="13"/>
  <c r="I557" i="13"/>
  <c r="M556" i="13"/>
  <c r="L556" i="13"/>
  <c r="K556" i="13"/>
  <c r="J556" i="13"/>
  <c r="I556" i="13"/>
  <c r="M555" i="13"/>
  <c r="L555" i="13"/>
  <c r="K555" i="13"/>
  <c r="J555" i="13"/>
  <c r="I555" i="13"/>
  <c r="M554" i="13"/>
  <c r="L554" i="13"/>
  <c r="K554" i="13"/>
  <c r="J554" i="13"/>
  <c r="I554" i="13"/>
  <c r="M553" i="13"/>
  <c r="L553" i="13"/>
  <c r="K553" i="13"/>
  <c r="J553" i="13"/>
  <c r="I553" i="13"/>
  <c r="M552" i="13"/>
  <c r="L552" i="13"/>
  <c r="K552" i="13"/>
  <c r="J552" i="13"/>
  <c r="I552" i="13"/>
  <c r="M551" i="13"/>
  <c r="L551" i="13"/>
  <c r="K551" i="13"/>
  <c r="J551" i="13"/>
  <c r="I551" i="13"/>
  <c r="M550" i="13"/>
  <c r="L550" i="13"/>
  <c r="K550" i="13"/>
  <c r="J550" i="13"/>
  <c r="I550" i="13"/>
  <c r="M549" i="13"/>
  <c r="L549" i="13"/>
  <c r="K549" i="13"/>
  <c r="J549" i="13"/>
  <c r="I549" i="13"/>
  <c r="M548" i="13"/>
  <c r="L548" i="13"/>
  <c r="K548" i="13"/>
  <c r="J548" i="13"/>
  <c r="I548" i="13"/>
  <c r="M547" i="13"/>
  <c r="L547" i="13"/>
  <c r="K547" i="13"/>
  <c r="J547" i="13"/>
  <c r="I547" i="13"/>
  <c r="M546" i="13"/>
  <c r="L546" i="13"/>
  <c r="K546" i="13"/>
  <c r="J546" i="13"/>
  <c r="I546" i="13"/>
  <c r="M545" i="13"/>
  <c r="L545" i="13"/>
  <c r="K545" i="13"/>
  <c r="J545" i="13"/>
  <c r="I545" i="13"/>
  <c r="M544" i="13"/>
  <c r="L544" i="13"/>
  <c r="K544" i="13"/>
  <c r="J544" i="13"/>
  <c r="I544" i="13"/>
  <c r="M543" i="13"/>
  <c r="L543" i="13"/>
  <c r="K543" i="13"/>
  <c r="J543" i="13"/>
  <c r="I543" i="13"/>
  <c r="M542" i="13"/>
  <c r="L542" i="13"/>
  <c r="K542" i="13"/>
  <c r="J542" i="13"/>
  <c r="I542" i="13"/>
  <c r="M541" i="13"/>
  <c r="L541" i="13"/>
  <c r="K541" i="13"/>
  <c r="J541" i="13"/>
  <c r="I541" i="13"/>
  <c r="M540" i="13"/>
  <c r="L540" i="13"/>
  <c r="K540" i="13"/>
  <c r="J540" i="13"/>
  <c r="I540" i="13"/>
  <c r="M539" i="13"/>
  <c r="L539" i="13"/>
  <c r="K539" i="13"/>
  <c r="J539" i="13"/>
  <c r="I539" i="13"/>
  <c r="M538" i="13"/>
  <c r="L538" i="13"/>
  <c r="K538" i="13"/>
  <c r="J538" i="13"/>
  <c r="I538" i="13"/>
  <c r="M537" i="13"/>
  <c r="L537" i="13"/>
  <c r="K537" i="13"/>
  <c r="J537" i="13"/>
  <c r="I537" i="13"/>
  <c r="M536" i="13"/>
  <c r="L536" i="13"/>
  <c r="K536" i="13"/>
  <c r="J536" i="13"/>
  <c r="I536" i="13"/>
  <c r="M535" i="13"/>
  <c r="L535" i="13"/>
  <c r="K535" i="13"/>
  <c r="J535" i="13"/>
  <c r="I535" i="13"/>
  <c r="M534" i="13"/>
  <c r="L534" i="13"/>
  <c r="K534" i="13"/>
  <c r="J534" i="13"/>
  <c r="I534" i="13"/>
  <c r="M533" i="13"/>
  <c r="L533" i="13"/>
  <c r="K533" i="13"/>
  <c r="J533" i="13"/>
  <c r="I533" i="13"/>
  <c r="M532" i="13"/>
  <c r="L532" i="13"/>
  <c r="K532" i="13"/>
  <c r="J532" i="13"/>
  <c r="I532" i="13"/>
  <c r="M531" i="13"/>
  <c r="L531" i="13"/>
  <c r="K531" i="13"/>
  <c r="J531" i="13"/>
  <c r="I531" i="13"/>
  <c r="M530" i="13"/>
  <c r="L530" i="13"/>
  <c r="K530" i="13"/>
  <c r="J530" i="13"/>
  <c r="I530" i="13"/>
  <c r="M529" i="13"/>
  <c r="L529" i="13"/>
  <c r="K529" i="13"/>
  <c r="J529" i="13"/>
  <c r="I529" i="13"/>
  <c r="M528" i="13"/>
  <c r="L528" i="13"/>
  <c r="K528" i="13"/>
  <c r="J528" i="13"/>
  <c r="I528" i="13"/>
  <c r="M527" i="13"/>
  <c r="L527" i="13"/>
  <c r="K527" i="13"/>
  <c r="J527" i="13"/>
  <c r="I527" i="13"/>
  <c r="M526" i="13"/>
  <c r="L526" i="13"/>
  <c r="K526" i="13"/>
  <c r="J526" i="13"/>
  <c r="I526" i="13"/>
  <c r="M525" i="13"/>
  <c r="L525" i="13"/>
  <c r="K525" i="13"/>
  <c r="J525" i="13"/>
  <c r="I525" i="13"/>
  <c r="M524" i="13"/>
  <c r="L524" i="13"/>
  <c r="K524" i="13"/>
  <c r="J524" i="13"/>
  <c r="I524" i="13"/>
  <c r="M523" i="13"/>
  <c r="L523" i="13"/>
  <c r="K523" i="13"/>
  <c r="J523" i="13"/>
  <c r="I523" i="13"/>
  <c r="M522" i="13"/>
  <c r="L522" i="13"/>
  <c r="K522" i="13"/>
  <c r="J522" i="13"/>
  <c r="I522" i="13"/>
  <c r="M521" i="13"/>
  <c r="L521" i="13"/>
  <c r="K521" i="13"/>
  <c r="J521" i="13"/>
  <c r="I521" i="13"/>
  <c r="M520" i="13"/>
  <c r="L520" i="13"/>
  <c r="K520" i="13"/>
  <c r="J520" i="13"/>
  <c r="I520" i="13"/>
  <c r="M519" i="13"/>
  <c r="L519" i="13"/>
  <c r="K519" i="13"/>
  <c r="J519" i="13"/>
  <c r="I519" i="13"/>
  <c r="M518" i="13"/>
  <c r="L518" i="13"/>
  <c r="K518" i="13"/>
  <c r="J518" i="13"/>
  <c r="I518" i="13"/>
  <c r="M517" i="13"/>
  <c r="L517" i="13"/>
  <c r="K517" i="13"/>
  <c r="J517" i="13"/>
  <c r="I517" i="13"/>
  <c r="M516" i="13"/>
  <c r="L516" i="13"/>
  <c r="K516" i="13"/>
  <c r="J516" i="13"/>
  <c r="I516" i="13"/>
  <c r="M515" i="13"/>
  <c r="L515" i="13"/>
  <c r="K515" i="13"/>
  <c r="J515" i="13"/>
  <c r="I515" i="13"/>
  <c r="M514" i="13"/>
  <c r="L514" i="13"/>
  <c r="K514" i="13"/>
  <c r="J514" i="13"/>
  <c r="I514" i="13"/>
  <c r="M513" i="13"/>
  <c r="L513" i="13"/>
  <c r="K513" i="13"/>
  <c r="J513" i="13"/>
  <c r="I513" i="13"/>
  <c r="M512" i="13"/>
  <c r="L512" i="13"/>
  <c r="K512" i="13"/>
  <c r="J512" i="13"/>
  <c r="I512" i="13"/>
  <c r="M511" i="13"/>
  <c r="L511" i="13"/>
  <c r="K511" i="13"/>
  <c r="J511" i="13"/>
  <c r="I511" i="13"/>
  <c r="M510" i="13"/>
  <c r="L510" i="13"/>
  <c r="K510" i="13"/>
  <c r="J510" i="13"/>
  <c r="I510" i="13"/>
  <c r="M509" i="13"/>
  <c r="L509" i="13"/>
  <c r="K509" i="13"/>
  <c r="J509" i="13"/>
  <c r="I509" i="13"/>
  <c r="M508" i="13"/>
  <c r="L508" i="13"/>
  <c r="K508" i="13"/>
  <c r="J508" i="13"/>
  <c r="I508" i="13"/>
  <c r="M507" i="13"/>
  <c r="L507" i="13"/>
  <c r="K507" i="13"/>
  <c r="J507" i="13"/>
  <c r="I507" i="13"/>
  <c r="M506" i="13"/>
  <c r="L506" i="13"/>
  <c r="K506" i="13"/>
  <c r="J506" i="13"/>
  <c r="I506" i="13"/>
  <c r="M505" i="13"/>
  <c r="L505" i="13"/>
  <c r="K505" i="13"/>
  <c r="J505" i="13"/>
  <c r="I505" i="13"/>
  <c r="M504" i="13"/>
  <c r="L504" i="13"/>
  <c r="K504" i="13"/>
  <c r="J504" i="13"/>
  <c r="I504" i="13"/>
  <c r="M503" i="13"/>
  <c r="L503" i="13"/>
  <c r="K503" i="13"/>
  <c r="J503" i="13"/>
  <c r="I503" i="13"/>
  <c r="M502" i="13"/>
  <c r="L502" i="13"/>
  <c r="K502" i="13"/>
  <c r="J502" i="13"/>
  <c r="I502" i="13"/>
  <c r="M501" i="13"/>
  <c r="L501" i="13"/>
  <c r="K501" i="13"/>
  <c r="J501" i="13"/>
  <c r="I501" i="13"/>
  <c r="M500" i="13"/>
  <c r="L500" i="13"/>
  <c r="K500" i="13"/>
  <c r="J500" i="13"/>
  <c r="I500" i="13"/>
  <c r="M499" i="13"/>
  <c r="L499" i="13"/>
  <c r="K499" i="13"/>
  <c r="J499" i="13"/>
  <c r="I499" i="13"/>
  <c r="M498" i="13"/>
  <c r="L498" i="13"/>
  <c r="K498" i="13"/>
  <c r="J498" i="13"/>
  <c r="I498" i="13"/>
  <c r="M497" i="13"/>
  <c r="L497" i="13"/>
  <c r="K497" i="13"/>
  <c r="J497" i="13"/>
  <c r="I497" i="13"/>
  <c r="M496" i="13"/>
  <c r="L496" i="13"/>
  <c r="K496" i="13"/>
  <c r="J496" i="13"/>
  <c r="I496" i="13"/>
  <c r="M495" i="13"/>
  <c r="L495" i="13"/>
  <c r="K495" i="13"/>
  <c r="J495" i="13"/>
  <c r="I495" i="13"/>
  <c r="M494" i="13"/>
  <c r="L494" i="13"/>
  <c r="K494" i="13"/>
  <c r="J494" i="13"/>
  <c r="I494" i="13"/>
  <c r="M493" i="13"/>
  <c r="L493" i="13"/>
  <c r="K493" i="13"/>
  <c r="J493" i="13"/>
  <c r="I493" i="13"/>
  <c r="M492" i="13"/>
  <c r="L492" i="13"/>
  <c r="K492" i="13"/>
  <c r="J492" i="13"/>
  <c r="I492" i="13"/>
  <c r="M491" i="13"/>
  <c r="L491" i="13"/>
  <c r="K491" i="13"/>
  <c r="J491" i="13"/>
  <c r="I491" i="13"/>
  <c r="M490" i="13"/>
  <c r="L490" i="13"/>
  <c r="K490" i="13"/>
  <c r="J490" i="13"/>
  <c r="I490" i="13"/>
  <c r="M489" i="13"/>
  <c r="L489" i="13"/>
  <c r="K489" i="13"/>
  <c r="J489" i="13"/>
  <c r="I489" i="13"/>
  <c r="M488" i="13"/>
  <c r="L488" i="13"/>
  <c r="K488" i="13"/>
  <c r="J488" i="13"/>
  <c r="I488" i="13"/>
  <c r="M487" i="13"/>
  <c r="L487" i="13"/>
  <c r="K487" i="13"/>
  <c r="J487" i="13"/>
  <c r="I487" i="13"/>
  <c r="M486" i="13"/>
  <c r="L486" i="13"/>
  <c r="K486" i="13"/>
  <c r="J486" i="13"/>
  <c r="I486" i="13"/>
  <c r="M485" i="13"/>
  <c r="L485" i="13"/>
  <c r="K485" i="13"/>
  <c r="J485" i="13"/>
  <c r="I485" i="13"/>
  <c r="M484" i="13"/>
  <c r="L484" i="13"/>
  <c r="K484" i="13"/>
  <c r="J484" i="13"/>
  <c r="I484" i="13"/>
  <c r="M483" i="13"/>
  <c r="L483" i="13"/>
  <c r="K483" i="13"/>
  <c r="J483" i="13"/>
  <c r="I483" i="13"/>
  <c r="M482" i="13"/>
  <c r="L482" i="13"/>
  <c r="K482" i="13"/>
  <c r="J482" i="13"/>
  <c r="I482" i="13"/>
  <c r="M481" i="13"/>
  <c r="L481" i="13"/>
  <c r="K481" i="13"/>
  <c r="J481" i="13"/>
  <c r="I481" i="13"/>
  <c r="M480" i="13"/>
  <c r="L480" i="13"/>
  <c r="K480" i="13"/>
  <c r="J480" i="13"/>
  <c r="I480" i="13"/>
  <c r="M479" i="13"/>
  <c r="L479" i="13"/>
  <c r="K479" i="13"/>
  <c r="J479" i="13"/>
  <c r="I479" i="13"/>
  <c r="M478" i="13"/>
  <c r="L478" i="13"/>
  <c r="K478" i="13"/>
  <c r="J478" i="13"/>
  <c r="I478" i="13"/>
  <c r="M477" i="13"/>
  <c r="L477" i="13"/>
  <c r="K477" i="13"/>
  <c r="J477" i="13"/>
  <c r="I477" i="13"/>
  <c r="M476" i="13"/>
  <c r="L476" i="13"/>
  <c r="K476" i="13"/>
  <c r="J476" i="13"/>
  <c r="I476" i="13"/>
  <c r="M475" i="13"/>
  <c r="L475" i="13"/>
  <c r="K475" i="13"/>
  <c r="J475" i="13"/>
  <c r="I475" i="13"/>
  <c r="M474" i="13"/>
  <c r="L474" i="13"/>
  <c r="K474" i="13"/>
  <c r="J474" i="13"/>
  <c r="I474" i="13"/>
  <c r="M473" i="13"/>
  <c r="L473" i="13"/>
  <c r="K473" i="13"/>
  <c r="J473" i="13"/>
  <c r="I473" i="13"/>
  <c r="M472" i="13"/>
  <c r="L472" i="13"/>
  <c r="K472" i="13"/>
  <c r="J472" i="13"/>
  <c r="I472" i="13"/>
  <c r="M471" i="13"/>
  <c r="L471" i="13"/>
  <c r="K471" i="13"/>
  <c r="J471" i="13"/>
  <c r="I471" i="13"/>
  <c r="M470" i="13"/>
  <c r="L470" i="13"/>
  <c r="K470" i="13"/>
  <c r="J470" i="13"/>
  <c r="I470" i="13"/>
  <c r="M469" i="13"/>
  <c r="L469" i="13"/>
  <c r="K469" i="13"/>
  <c r="J469" i="13"/>
  <c r="I469" i="13"/>
  <c r="M468" i="13"/>
  <c r="L468" i="13"/>
  <c r="K468" i="13"/>
  <c r="J468" i="13"/>
  <c r="I468" i="13"/>
  <c r="M467" i="13"/>
  <c r="L467" i="13"/>
  <c r="K467" i="13"/>
  <c r="J467" i="13"/>
  <c r="I467" i="13"/>
  <c r="M466" i="13"/>
  <c r="L466" i="13"/>
  <c r="K466" i="13"/>
  <c r="J466" i="13"/>
  <c r="I466" i="13"/>
  <c r="M465" i="13"/>
  <c r="L465" i="13"/>
  <c r="K465" i="13"/>
  <c r="J465" i="13"/>
  <c r="I465" i="13"/>
  <c r="M464" i="13"/>
  <c r="L464" i="13"/>
  <c r="K464" i="13"/>
  <c r="J464" i="13"/>
  <c r="I464" i="13"/>
  <c r="M463" i="13"/>
  <c r="L463" i="13"/>
  <c r="K463" i="13"/>
  <c r="J463" i="13"/>
  <c r="I463" i="13"/>
  <c r="M462" i="13"/>
  <c r="L462" i="13"/>
  <c r="K462" i="13"/>
  <c r="J462" i="13"/>
  <c r="I462" i="13"/>
  <c r="M461" i="13"/>
  <c r="L461" i="13"/>
  <c r="K461" i="13"/>
  <c r="J461" i="13"/>
  <c r="I461" i="13"/>
  <c r="M460" i="13"/>
  <c r="L460" i="13"/>
  <c r="K460" i="13"/>
  <c r="J460" i="13"/>
  <c r="I460" i="13"/>
  <c r="M459" i="13"/>
  <c r="L459" i="13"/>
  <c r="K459" i="13"/>
  <c r="J459" i="13"/>
  <c r="I459" i="13"/>
  <c r="M458" i="13"/>
  <c r="L458" i="13"/>
  <c r="K458" i="13"/>
  <c r="J458" i="13"/>
  <c r="I458" i="13"/>
  <c r="M457" i="13"/>
  <c r="L457" i="13"/>
  <c r="K457" i="13"/>
  <c r="J457" i="13"/>
  <c r="I457" i="13"/>
  <c r="M456" i="13"/>
  <c r="L456" i="13"/>
  <c r="K456" i="13"/>
  <c r="J456" i="13"/>
  <c r="I456" i="13"/>
  <c r="M455" i="13"/>
  <c r="L455" i="13"/>
  <c r="K455" i="13"/>
  <c r="J455" i="13"/>
  <c r="I455" i="13"/>
  <c r="M454" i="13"/>
  <c r="L454" i="13"/>
  <c r="K454" i="13"/>
  <c r="J454" i="13"/>
  <c r="I454" i="13"/>
  <c r="M453" i="13"/>
  <c r="L453" i="13"/>
  <c r="K453" i="13"/>
  <c r="J453" i="13"/>
  <c r="I453" i="13"/>
  <c r="M452" i="13"/>
  <c r="L452" i="13"/>
  <c r="K452" i="13"/>
  <c r="J452" i="13"/>
  <c r="I452" i="13"/>
  <c r="M451" i="13"/>
  <c r="L451" i="13"/>
  <c r="K451" i="13"/>
  <c r="J451" i="13"/>
  <c r="I451" i="13"/>
  <c r="M450" i="13"/>
  <c r="L450" i="13"/>
  <c r="K450" i="13"/>
  <c r="J450" i="13"/>
  <c r="I450" i="13"/>
  <c r="M449" i="13"/>
  <c r="L449" i="13"/>
  <c r="K449" i="13"/>
  <c r="J449" i="13"/>
  <c r="I449" i="13"/>
  <c r="M448" i="13"/>
  <c r="L448" i="13"/>
  <c r="K448" i="13"/>
  <c r="J448" i="13"/>
  <c r="I448" i="13"/>
  <c r="M447" i="13"/>
  <c r="L447" i="13"/>
  <c r="K447" i="13"/>
  <c r="J447" i="13"/>
  <c r="I447" i="13"/>
  <c r="M446" i="13"/>
  <c r="L446" i="13"/>
  <c r="K446" i="13"/>
  <c r="J446" i="13"/>
  <c r="I446" i="13"/>
  <c r="M445" i="13"/>
  <c r="L445" i="13"/>
  <c r="K445" i="13"/>
  <c r="J445" i="13"/>
  <c r="I445" i="13"/>
  <c r="M444" i="13"/>
  <c r="L444" i="13"/>
  <c r="K444" i="13"/>
  <c r="J444" i="13"/>
  <c r="I444" i="13"/>
  <c r="M443" i="13"/>
  <c r="L443" i="13"/>
  <c r="K443" i="13"/>
  <c r="J443" i="13"/>
  <c r="I443" i="13"/>
  <c r="M442" i="13"/>
  <c r="L442" i="13"/>
  <c r="K442" i="13"/>
  <c r="J442" i="13"/>
  <c r="I442" i="13"/>
  <c r="M441" i="13"/>
  <c r="L441" i="13"/>
  <c r="K441" i="13"/>
  <c r="J441" i="13"/>
  <c r="I441" i="13"/>
  <c r="M440" i="13"/>
  <c r="L440" i="13"/>
  <c r="K440" i="13"/>
  <c r="J440" i="13"/>
  <c r="I440" i="13"/>
  <c r="M439" i="13"/>
  <c r="L439" i="13"/>
  <c r="K439" i="13"/>
  <c r="J439" i="13"/>
  <c r="I439" i="13"/>
  <c r="M438" i="13"/>
  <c r="L438" i="13"/>
  <c r="K438" i="13"/>
  <c r="J438" i="13"/>
  <c r="I438" i="13"/>
  <c r="M437" i="13"/>
  <c r="L437" i="13"/>
  <c r="K437" i="13"/>
  <c r="J437" i="13"/>
  <c r="I437" i="13"/>
  <c r="M436" i="13"/>
  <c r="L436" i="13"/>
  <c r="K436" i="13"/>
  <c r="J436" i="13"/>
  <c r="I436" i="13"/>
  <c r="M435" i="13"/>
  <c r="L435" i="13"/>
  <c r="K435" i="13"/>
  <c r="J435" i="13"/>
  <c r="I435" i="13"/>
  <c r="M434" i="13"/>
  <c r="L434" i="13"/>
  <c r="K434" i="13"/>
  <c r="J434" i="13"/>
  <c r="I434" i="13"/>
  <c r="M433" i="13"/>
  <c r="L433" i="13"/>
  <c r="K433" i="13"/>
  <c r="J433" i="13"/>
  <c r="I433" i="13"/>
  <c r="M432" i="13"/>
  <c r="L432" i="13"/>
  <c r="K432" i="13"/>
  <c r="J432" i="13"/>
  <c r="I432" i="13"/>
  <c r="M431" i="13"/>
  <c r="L431" i="13"/>
  <c r="K431" i="13"/>
  <c r="J431" i="13"/>
  <c r="I431" i="13"/>
  <c r="M430" i="13"/>
  <c r="L430" i="13"/>
  <c r="K430" i="13"/>
  <c r="J430" i="13"/>
  <c r="I430" i="13"/>
  <c r="M429" i="13"/>
  <c r="L429" i="13"/>
  <c r="K429" i="13"/>
  <c r="J429" i="13"/>
  <c r="I429" i="13"/>
  <c r="M428" i="13"/>
  <c r="L428" i="13"/>
  <c r="K428" i="13"/>
  <c r="J428" i="13"/>
  <c r="I428" i="13"/>
  <c r="M427" i="13"/>
  <c r="L427" i="13"/>
  <c r="K427" i="13"/>
  <c r="J427" i="13"/>
  <c r="I427" i="13"/>
  <c r="M426" i="13"/>
  <c r="L426" i="13"/>
  <c r="K426" i="13"/>
  <c r="J426" i="13"/>
  <c r="I426" i="13"/>
  <c r="M425" i="13"/>
  <c r="L425" i="13"/>
  <c r="K425" i="13"/>
  <c r="J425" i="13"/>
  <c r="I425" i="13"/>
  <c r="M424" i="13"/>
  <c r="L424" i="13"/>
  <c r="K424" i="13"/>
  <c r="J424" i="13"/>
  <c r="I424" i="13"/>
  <c r="M423" i="13"/>
  <c r="L423" i="13"/>
  <c r="K423" i="13"/>
  <c r="J423" i="13"/>
  <c r="I423" i="13"/>
  <c r="M422" i="13"/>
  <c r="L422" i="13"/>
  <c r="K422" i="13"/>
  <c r="J422" i="13"/>
  <c r="I422" i="13"/>
  <c r="M421" i="13"/>
  <c r="L421" i="13"/>
  <c r="K421" i="13"/>
  <c r="J421" i="13"/>
  <c r="I421" i="13"/>
  <c r="M420" i="13"/>
  <c r="L420" i="13"/>
  <c r="K420" i="13"/>
  <c r="J420" i="13"/>
  <c r="I420" i="13"/>
  <c r="M419" i="13"/>
  <c r="L419" i="13"/>
  <c r="K419" i="13"/>
  <c r="J419" i="13"/>
  <c r="I419" i="13"/>
  <c r="M418" i="13"/>
  <c r="L418" i="13"/>
  <c r="K418" i="13"/>
  <c r="J418" i="13"/>
  <c r="I418" i="13"/>
  <c r="M417" i="13"/>
  <c r="L417" i="13"/>
  <c r="K417" i="13"/>
  <c r="J417" i="13"/>
  <c r="I417" i="13"/>
  <c r="M416" i="13"/>
  <c r="L416" i="13"/>
  <c r="K416" i="13"/>
  <c r="J416" i="13"/>
  <c r="I416" i="13"/>
  <c r="M415" i="13"/>
  <c r="L415" i="13"/>
  <c r="K415" i="13"/>
  <c r="J415" i="13"/>
  <c r="I415" i="13"/>
  <c r="M414" i="13"/>
  <c r="L414" i="13"/>
  <c r="K414" i="13"/>
  <c r="J414" i="13"/>
  <c r="I414" i="13"/>
  <c r="M413" i="13"/>
  <c r="L413" i="13"/>
  <c r="K413" i="13"/>
  <c r="J413" i="13"/>
  <c r="I413" i="13"/>
  <c r="M412" i="13"/>
  <c r="L412" i="13"/>
  <c r="K412" i="13"/>
  <c r="J412" i="13"/>
  <c r="I412" i="13"/>
  <c r="M411" i="13"/>
  <c r="L411" i="13"/>
  <c r="K411" i="13"/>
  <c r="J411" i="13"/>
  <c r="I411" i="13"/>
  <c r="M410" i="13"/>
  <c r="L410" i="13"/>
  <c r="K410" i="13"/>
  <c r="J410" i="13"/>
  <c r="I410" i="13"/>
  <c r="M409" i="13"/>
  <c r="L409" i="13"/>
  <c r="K409" i="13"/>
  <c r="J409" i="13"/>
  <c r="I409" i="13"/>
  <c r="M408" i="13"/>
  <c r="L408" i="13"/>
  <c r="K408" i="13"/>
  <c r="J408" i="13"/>
  <c r="I408" i="13"/>
  <c r="M407" i="13"/>
  <c r="L407" i="13"/>
  <c r="K407" i="13"/>
  <c r="J407" i="13"/>
  <c r="I407" i="13"/>
  <c r="M406" i="13"/>
  <c r="L406" i="13"/>
  <c r="K406" i="13"/>
  <c r="J406" i="13"/>
  <c r="I406" i="13"/>
  <c r="M405" i="13"/>
  <c r="L405" i="13"/>
  <c r="K405" i="13"/>
  <c r="J405" i="13"/>
  <c r="I405" i="13"/>
  <c r="M404" i="13"/>
  <c r="L404" i="13"/>
  <c r="K404" i="13"/>
  <c r="J404" i="13"/>
  <c r="I404" i="13"/>
  <c r="M403" i="13"/>
  <c r="L403" i="13"/>
  <c r="K403" i="13"/>
  <c r="J403" i="13"/>
  <c r="I403" i="13"/>
  <c r="M402" i="13"/>
  <c r="L402" i="13"/>
  <c r="K402" i="13"/>
  <c r="J402" i="13"/>
  <c r="I402" i="13"/>
  <c r="M401" i="13"/>
  <c r="L401" i="13"/>
  <c r="K401" i="13"/>
  <c r="J401" i="13"/>
  <c r="I401" i="13"/>
  <c r="M400" i="13"/>
  <c r="L400" i="13"/>
  <c r="K400" i="13"/>
  <c r="J400" i="13"/>
  <c r="I400" i="13"/>
  <c r="M399" i="13"/>
  <c r="L399" i="13"/>
  <c r="K399" i="13"/>
  <c r="J399" i="13"/>
  <c r="I399" i="13"/>
  <c r="M398" i="13"/>
  <c r="L398" i="13"/>
  <c r="K398" i="13"/>
  <c r="J398" i="13"/>
  <c r="I398" i="13"/>
  <c r="M397" i="13"/>
  <c r="L397" i="13"/>
  <c r="K397" i="13"/>
  <c r="J397" i="13"/>
  <c r="I397" i="13"/>
  <c r="M396" i="13"/>
  <c r="L396" i="13"/>
  <c r="K396" i="13"/>
  <c r="J396" i="13"/>
  <c r="I396" i="13"/>
  <c r="M395" i="13"/>
  <c r="L395" i="13"/>
  <c r="K395" i="13"/>
  <c r="J395" i="13"/>
  <c r="I395" i="13"/>
  <c r="M394" i="13"/>
  <c r="L394" i="13"/>
  <c r="K394" i="13"/>
  <c r="J394" i="13"/>
  <c r="I394" i="13"/>
  <c r="M393" i="13"/>
  <c r="L393" i="13"/>
  <c r="K393" i="13"/>
  <c r="J393" i="13"/>
  <c r="I393" i="13"/>
  <c r="M392" i="13"/>
  <c r="L392" i="13"/>
  <c r="K392" i="13"/>
  <c r="J392" i="13"/>
  <c r="I392" i="13"/>
  <c r="M391" i="13"/>
  <c r="L391" i="13"/>
  <c r="K391" i="13"/>
  <c r="J391" i="13"/>
  <c r="I391" i="13"/>
  <c r="M390" i="13"/>
  <c r="L390" i="13"/>
  <c r="K390" i="13"/>
  <c r="J390" i="13"/>
  <c r="I390" i="13"/>
  <c r="M389" i="13"/>
  <c r="L389" i="13"/>
  <c r="K389" i="13"/>
  <c r="J389" i="13"/>
  <c r="I389" i="13"/>
  <c r="M388" i="13"/>
  <c r="L388" i="13"/>
  <c r="K388" i="13"/>
  <c r="J388" i="13"/>
  <c r="I388" i="13"/>
  <c r="M387" i="13"/>
  <c r="L387" i="13"/>
  <c r="K387" i="13"/>
  <c r="J387" i="13"/>
  <c r="I387" i="13"/>
  <c r="M386" i="13"/>
  <c r="L386" i="13"/>
  <c r="K386" i="13"/>
  <c r="J386" i="13"/>
  <c r="I386" i="13"/>
  <c r="M385" i="13"/>
  <c r="L385" i="13"/>
  <c r="K385" i="13"/>
  <c r="J385" i="13"/>
  <c r="I385" i="13"/>
  <c r="M384" i="13"/>
  <c r="L384" i="13"/>
  <c r="K384" i="13"/>
  <c r="J384" i="13"/>
  <c r="I384" i="13"/>
  <c r="M383" i="13"/>
  <c r="L383" i="13"/>
  <c r="K383" i="13"/>
  <c r="J383" i="13"/>
  <c r="I383" i="13"/>
  <c r="M382" i="13"/>
  <c r="L382" i="13"/>
  <c r="K382" i="13"/>
  <c r="J382" i="13"/>
  <c r="I382" i="13"/>
  <c r="M381" i="13"/>
  <c r="L381" i="13"/>
  <c r="K381" i="13"/>
  <c r="J381" i="13"/>
  <c r="I381" i="13"/>
  <c r="M380" i="13"/>
  <c r="L380" i="13"/>
  <c r="K380" i="13"/>
  <c r="J380" i="13"/>
  <c r="I380" i="13"/>
  <c r="M379" i="13"/>
  <c r="L379" i="13"/>
  <c r="K379" i="13"/>
  <c r="J379" i="13"/>
  <c r="I379" i="13"/>
  <c r="M378" i="13"/>
  <c r="L378" i="13"/>
  <c r="K378" i="13"/>
  <c r="J378" i="13"/>
  <c r="I378" i="13"/>
  <c r="M377" i="13"/>
  <c r="L377" i="13"/>
  <c r="K377" i="13"/>
  <c r="J377" i="13"/>
  <c r="I377" i="13"/>
  <c r="M376" i="13"/>
  <c r="L376" i="13"/>
  <c r="K376" i="13"/>
  <c r="J376" i="13"/>
  <c r="I376" i="13"/>
  <c r="M375" i="13"/>
  <c r="L375" i="13"/>
  <c r="K375" i="13"/>
  <c r="J375" i="13"/>
  <c r="I375" i="13"/>
  <c r="M374" i="13"/>
  <c r="L374" i="13"/>
  <c r="K374" i="13"/>
  <c r="J374" i="13"/>
  <c r="I374" i="13"/>
  <c r="M373" i="13"/>
  <c r="L373" i="13"/>
  <c r="K373" i="13"/>
  <c r="J373" i="13"/>
  <c r="I373" i="13"/>
  <c r="M372" i="13"/>
  <c r="L372" i="13"/>
  <c r="K372" i="13"/>
  <c r="J372" i="13"/>
  <c r="I372" i="13"/>
  <c r="M371" i="13"/>
  <c r="L371" i="13"/>
  <c r="K371" i="13"/>
  <c r="J371" i="13"/>
  <c r="I371" i="13"/>
  <c r="M370" i="13"/>
  <c r="L370" i="13"/>
  <c r="K370" i="13"/>
  <c r="J370" i="13"/>
  <c r="I370" i="13"/>
  <c r="M369" i="13"/>
  <c r="L369" i="13"/>
  <c r="K369" i="13"/>
  <c r="J369" i="13"/>
  <c r="I369" i="13"/>
  <c r="M368" i="13"/>
  <c r="L368" i="13"/>
  <c r="K368" i="13"/>
  <c r="J368" i="13"/>
  <c r="I368" i="13"/>
  <c r="M367" i="13"/>
  <c r="L367" i="13"/>
  <c r="K367" i="13"/>
  <c r="J367" i="13"/>
  <c r="I367" i="13"/>
  <c r="M366" i="13"/>
  <c r="L366" i="13"/>
  <c r="K366" i="13"/>
  <c r="J366" i="13"/>
  <c r="I366" i="13"/>
  <c r="M365" i="13"/>
  <c r="L365" i="13"/>
  <c r="K365" i="13"/>
  <c r="J365" i="13"/>
  <c r="I365" i="13"/>
  <c r="M364" i="13"/>
  <c r="L364" i="13"/>
  <c r="K364" i="13"/>
  <c r="J364" i="13"/>
  <c r="I364" i="13"/>
  <c r="M363" i="13"/>
  <c r="L363" i="13"/>
  <c r="K363" i="13"/>
  <c r="J363" i="13"/>
  <c r="I363" i="13"/>
  <c r="M362" i="13"/>
  <c r="L362" i="13"/>
  <c r="K362" i="13"/>
  <c r="J362" i="13"/>
  <c r="I362" i="13"/>
  <c r="M361" i="13"/>
  <c r="L361" i="13"/>
  <c r="K361" i="13"/>
  <c r="J361" i="13"/>
  <c r="I361" i="13"/>
  <c r="M360" i="13"/>
  <c r="L360" i="13"/>
  <c r="K360" i="13"/>
  <c r="J360" i="13"/>
  <c r="I360" i="13"/>
  <c r="M359" i="13"/>
  <c r="L359" i="13"/>
  <c r="K359" i="13"/>
  <c r="J359" i="13"/>
  <c r="I359" i="13"/>
  <c r="M358" i="13"/>
  <c r="L358" i="13"/>
  <c r="K358" i="13"/>
  <c r="J358" i="13"/>
  <c r="I358" i="13"/>
  <c r="M357" i="13"/>
  <c r="L357" i="13"/>
  <c r="K357" i="13"/>
  <c r="J357" i="13"/>
  <c r="I357" i="13"/>
  <c r="M356" i="13"/>
  <c r="L356" i="13"/>
  <c r="K356" i="13"/>
  <c r="J356" i="13"/>
  <c r="I356" i="13"/>
  <c r="M355" i="13"/>
  <c r="L355" i="13"/>
  <c r="K355" i="13"/>
  <c r="J355" i="13"/>
  <c r="I355" i="13"/>
  <c r="M354" i="13"/>
  <c r="L354" i="13"/>
  <c r="K354" i="13"/>
  <c r="J354" i="13"/>
  <c r="I354" i="13"/>
  <c r="M353" i="13"/>
  <c r="L353" i="13"/>
  <c r="K353" i="13"/>
  <c r="J353" i="13"/>
  <c r="I353" i="13"/>
  <c r="M352" i="13"/>
  <c r="L352" i="13"/>
  <c r="K352" i="13"/>
  <c r="J352" i="13"/>
  <c r="I352" i="13"/>
  <c r="M351" i="13"/>
  <c r="L351" i="13"/>
  <c r="K351" i="13"/>
  <c r="J351" i="13"/>
  <c r="I351" i="13"/>
  <c r="M350" i="13"/>
  <c r="L350" i="13"/>
  <c r="K350" i="13"/>
  <c r="J350" i="13"/>
  <c r="I350" i="13"/>
  <c r="M349" i="13"/>
  <c r="L349" i="13"/>
  <c r="K349" i="13"/>
  <c r="J349" i="13"/>
  <c r="I349" i="13"/>
  <c r="M348" i="13"/>
  <c r="L348" i="13"/>
  <c r="K348" i="13"/>
  <c r="J348" i="13"/>
  <c r="I348" i="13"/>
  <c r="M347" i="13"/>
  <c r="L347" i="13"/>
  <c r="K347" i="13"/>
  <c r="J347" i="13"/>
  <c r="I347" i="13"/>
  <c r="M346" i="13"/>
  <c r="L346" i="13"/>
  <c r="K346" i="13"/>
  <c r="J346" i="13"/>
  <c r="I346" i="13"/>
  <c r="M345" i="13"/>
  <c r="L345" i="13"/>
  <c r="K345" i="13"/>
  <c r="J345" i="13"/>
  <c r="I345" i="13"/>
  <c r="M344" i="13"/>
  <c r="L344" i="13"/>
  <c r="K344" i="13"/>
  <c r="J344" i="13"/>
  <c r="I344" i="13"/>
  <c r="M343" i="13"/>
  <c r="L343" i="13"/>
  <c r="K343" i="13"/>
  <c r="J343" i="13"/>
  <c r="I343" i="13"/>
  <c r="M342" i="13"/>
  <c r="L342" i="13"/>
  <c r="K342" i="13"/>
  <c r="J342" i="13"/>
  <c r="I342" i="13"/>
  <c r="M341" i="13"/>
  <c r="L341" i="13"/>
  <c r="K341" i="13"/>
  <c r="J341" i="13"/>
  <c r="I341" i="13"/>
  <c r="M340" i="13"/>
  <c r="L340" i="13"/>
  <c r="K340" i="13"/>
  <c r="J340" i="13"/>
  <c r="I340" i="13"/>
  <c r="M339" i="13"/>
  <c r="L339" i="13"/>
  <c r="K339" i="13"/>
  <c r="J339" i="13"/>
  <c r="I339" i="13"/>
  <c r="M338" i="13"/>
  <c r="L338" i="13"/>
  <c r="K338" i="13"/>
  <c r="J338" i="13"/>
  <c r="I338" i="13"/>
  <c r="M337" i="13"/>
  <c r="L337" i="13"/>
  <c r="K337" i="13"/>
  <c r="J337" i="13"/>
  <c r="I337" i="13"/>
  <c r="M336" i="13"/>
  <c r="L336" i="13"/>
  <c r="K336" i="13"/>
  <c r="J336" i="13"/>
  <c r="I336" i="13"/>
  <c r="M335" i="13"/>
  <c r="L335" i="13"/>
  <c r="K335" i="13"/>
  <c r="J335" i="13"/>
  <c r="I335" i="13"/>
  <c r="M334" i="13"/>
  <c r="L334" i="13"/>
  <c r="K334" i="13"/>
  <c r="J334" i="13"/>
  <c r="I334" i="13"/>
  <c r="M333" i="13"/>
  <c r="L333" i="13"/>
  <c r="K333" i="13"/>
  <c r="J333" i="13"/>
  <c r="I333" i="13"/>
  <c r="M332" i="13"/>
  <c r="L332" i="13"/>
  <c r="K332" i="13"/>
  <c r="J332" i="13"/>
  <c r="I332" i="13"/>
  <c r="M331" i="13"/>
  <c r="L331" i="13"/>
  <c r="K331" i="13"/>
  <c r="J331" i="13"/>
  <c r="I331" i="13"/>
  <c r="M330" i="13"/>
  <c r="L330" i="13"/>
  <c r="K330" i="13"/>
  <c r="J330" i="13"/>
  <c r="I330" i="13"/>
  <c r="M329" i="13"/>
  <c r="L329" i="13"/>
  <c r="K329" i="13"/>
  <c r="J329" i="13"/>
  <c r="I329" i="13"/>
  <c r="M328" i="13"/>
  <c r="L328" i="13"/>
  <c r="K328" i="13"/>
  <c r="J328" i="13"/>
  <c r="I328" i="13"/>
  <c r="M327" i="13"/>
  <c r="L327" i="13"/>
  <c r="K327" i="13"/>
  <c r="J327" i="13"/>
  <c r="I327" i="13"/>
  <c r="M326" i="13"/>
  <c r="L326" i="13"/>
  <c r="K326" i="13"/>
  <c r="J326" i="13"/>
  <c r="I326" i="13"/>
  <c r="M325" i="13"/>
  <c r="L325" i="13"/>
  <c r="K325" i="13"/>
  <c r="J325" i="13"/>
  <c r="I325" i="13"/>
  <c r="M324" i="13"/>
  <c r="L324" i="13"/>
  <c r="K324" i="13"/>
  <c r="J324" i="13"/>
  <c r="I324" i="13"/>
  <c r="M323" i="13"/>
  <c r="L323" i="13"/>
  <c r="K323" i="13"/>
  <c r="J323" i="13"/>
  <c r="I323" i="13"/>
  <c r="M322" i="13"/>
  <c r="L322" i="13"/>
  <c r="K322" i="13"/>
  <c r="J322" i="13"/>
  <c r="I322" i="13"/>
  <c r="M321" i="13"/>
  <c r="L321" i="13"/>
  <c r="K321" i="13"/>
  <c r="J321" i="13"/>
  <c r="I321" i="13"/>
  <c r="M320" i="13"/>
  <c r="L320" i="13"/>
  <c r="K320" i="13"/>
  <c r="J320" i="13"/>
  <c r="I320" i="13"/>
  <c r="M319" i="13"/>
  <c r="L319" i="13"/>
  <c r="K319" i="13"/>
  <c r="J319" i="13"/>
  <c r="I319" i="13"/>
  <c r="M318" i="13"/>
  <c r="L318" i="13"/>
  <c r="K318" i="13"/>
  <c r="J318" i="13"/>
  <c r="I318" i="13"/>
  <c r="M317" i="13"/>
  <c r="L317" i="13"/>
  <c r="K317" i="13"/>
  <c r="J317" i="13"/>
  <c r="I317" i="13"/>
  <c r="M316" i="13"/>
  <c r="L316" i="13"/>
  <c r="K316" i="13"/>
  <c r="J316" i="13"/>
  <c r="I316" i="13"/>
  <c r="M315" i="13"/>
  <c r="L315" i="13"/>
  <c r="K315" i="13"/>
  <c r="J315" i="13"/>
  <c r="I315" i="13"/>
  <c r="M314" i="13"/>
  <c r="L314" i="13"/>
  <c r="K314" i="13"/>
  <c r="J314" i="13"/>
  <c r="I314" i="13"/>
  <c r="M313" i="13"/>
  <c r="L313" i="13"/>
  <c r="K313" i="13"/>
  <c r="J313" i="13"/>
  <c r="I313" i="13"/>
  <c r="M312" i="13"/>
  <c r="L312" i="13"/>
  <c r="K312" i="13"/>
  <c r="J312" i="13"/>
  <c r="I312" i="13"/>
  <c r="M311" i="13"/>
  <c r="L311" i="13"/>
  <c r="K311" i="13"/>
  <c r="J311" i="13"/>
  <c r="I311" i="13"/>
  <c r="M310" i="13"/>
  <c r="L310" i="13"/>
  <c r="K310" i="13"/>
  <c r="J310" i="13"/>
  <c r="I310" i="13"/>
  <c r="M309" i="13"/>
  <c r="L309" i="13"/>
  <c r="K309" i="13"/>
  <c r="J309" i="13"/>
  <c r="I309" i="13"/>
  <c r="M308" i="13"/>
  <c r="L308" i="13"/>
  <c r="K308" i="13"/>
  <c r="J308" i="13"/>
  <c r="I308" i="13"/>
  <c r="M307" i="13"/>
  <c r="L307" i="13"/>
  <c r="K307" i="13"/>
  <c r="J307" i="13"/>
  <c r="I307" i="13"/>
  <c r="M306" i="13"/>
  <c r="L306" i="13"/>
  <c r="K306" i="13"/>
  <c r="J306" i="13"/>
  <c r="I306" i="13"/>
  <c r="M305" i="13"/>
  <c r="L305" i="13"/>
  <c r="K305" i="13"/>
  <c r="J305" i="13"/>
  <c r="I305" i="13"/>
  <c r="M304" i="13"/>
  <c r="L304" i="13"/>
  <c r="K304" i="13"/>
  <c r="J304" i="13"/>
  <c r="I304" i="13"/>
  <c r="M303" i="13"/>
  <c r="L303" i="13"/>
  <c r="K303" i="13"/>
  <c r="J303" i="13"/>
  <c r="I303" i="13"/>
  <c r="M302" i="13"/>
  <c r="L302" i="13"/>
  <c r="K302" i="13"/>
  <c r="J302" i="13"/>
  <c r="I302" i="13"/>
  <c r="M301" i="13"/>
  <c r="L301" i="13"/>
  <c r="K301" i="13"/>
  <c r="J301" i="13"/>
  <c r="I301" i="13"/>
  <c r="M300" i="13"/>
  <c r="L300" i="13"/>
  <c r="K300" i="13"/>
  <c r="J300" i="13"/>
  <c r="I300" i="13"/>
  <c r="M299" i="13"/>
  <c r="L299" i="13"/>
  <c r="K299" i="13"/>
  <c r="J299" i="13"/>
  <c r="I299" i="13"/>
  <c r="M298" i="13"/>
  <c r="L298" i="13"/>
  <c r="K298" i="13"/>
  <c r="J298" i="13"/>
  <c r="I298" i="13"/>
  <c r="M297" i="13"/>
  <c r="L297" i="13"/>
  <c r="K297" i="13"/>
  <c r="J297" i="13"/>
  <c r="I297" i="13"/>
  <c r="M296" i="13"/>
  <c r="L296" i="13"/>
  <c r="K296" i="13"/>
  <c r="J296" i="13"/>
  <c r="I296" i="13"/>
  <c r="M295" i="13"/>
  <c r="L295" i="13"/>
  <c r="K295" i="13"/>
  <c r="J295" i="13"/>
  <c r="I295" i="13"/>
  <c r="M294" i="13"/>
  <c r="L294" i="13"/>
  <c r="K294" i="13"/>
  <c r="J294" i="13"/>
  <c r="I294" i="13"/>
  <c r="M293" i="13"/>
  <c r="L293" i="13"/>
  <c r="K293" i="13"/>
  <c r="J293" i="13"/>
  <c r="I293" i="13"/>
  <c r="M292" i="13"/>
  <c r="L292" i="13"/>
  <c r="K292" i="13"/>
  <c r="J292" i="13"/>
  <c r="I292" i="13"/>
  <c r="M291" i="13"/>
  <c r="L291" i="13"/>
  <c r="K291" i="13"/>
  <c r="J291" i="13"/>
  <c r="I291" i="13"/>
  <c r="M290" i="13"/>
  <c r="L290" i="13"/>
  <c r="K290" i="13"/>
  <c r="J290" i="13"/>
  <c r="I290" i="13"/>
  <c r="M289" i="13"/>
  <c r="L289" i="13"/>
  <c r="K289" i="13"/>
  <c r="J289" i="13"/>
  <c r="I289" i="13"/>
  <c r="M288" i="13"/>
  <c r="L288" i="13"/>
  <c r="K288" i="13"/>
  <c r="J288" i="13"/>
  <c r="I288" i="13"/>
  <c r="M287" i="13"/>
  <c r="L287" i="13"/>
  <c r="K287" i="13"/>
  <c r="J287" i="13"/>
  <c r="I287" i="13"/>
  <c r="M286" i="13"/>
  <c r="L286" i="13"/>
  <c r="K286" i="13"/>
  <c r="J286" i="13"/>
  <c r="I286" i="13"/>
  <c r="M285" i="13"/>
  <c r="L285" i="13"/>
  <c r="K285" i="13"/>
  <c r="J285" i="13"/>
  <c r="I285" i="13"/>
  <c r="M284" i="13"/>
  <c r="L284" i="13"/>
  <c r="K284" i="13"/>
  <c r="J284" i="13"/>
  <c r="I284" i="13"/>
  <c r="M283" i="13"/>
  <c r="L283" i="13"/>
  <c r="K283" i="13"/>
  <c r="J283" i="13"/>
  <c r="I283" i="13"/>
  <c r="M282" i="13"/>
  <c r="L282" i="13"/>
  <c r="K282" i="13"/>
  <c r="J282" i="13"/>
  <c r="I282" i="13"/>
  <c r="M281" i="13"/>
  <c r="L281" i="13"/>
  <c r="K281" i="13"/>
  <c r="J281" i="13"/>
  <c r="I281" i="13"/>
  <c r="M280" i="13"/>
  <c r="L280" i="13"/>
  <c r="K280" i="13"/>
  <c r="J280" i="13"/>
  <c r="I280" i="13"/>
  <c r="M279" i="13"/>
  <c r="L279" i="13"/>
  <c r="K279" i="13"/>
  <c r="J279" i="13"/>
  <c r="I279" i="13"/>
  <c r="M278" i="13"/>
  <c r="L278" i="13"/>
  <c r="K278" i="13"/>
  <c r="J278" i="13"/>
  <c r="I278" i="13"/>
  <c r="M277" i="13"/>
  <c r="L277" i="13"/>
  <c r="K277" i="13"/>
  <c r="J277" i="13"/>
  <c r="I277" i="13"/>
  <c r="M276" i="13"/>
  <c r="L276" i="13"/>
  <c r="K276" i="13"/>
  <c r="J276" i="13"/>
  <c r="I276" i="13"/>
  <c r="M275" i="13"/>
  <c r="L275" i="13"/>
  <c r="K275" i="13"/>
  <c r="J275" i="13"/>
  <c r="I275" i="13"/>
  <c r="M274" i="13"/>
  <c r="L274" i="13"/>
  <c r="K274" i="13"/>
  <c r="J274" i="13"/>
  <c r="I274" i="13"/>
  <c r="M273" i="13"/>
  <c r="L273" i="13"/>
  <c r="K273" i="13"/>
  <c r="J273" i="13"/>
  <c r="I273" i="13"/>
  <c r="M272" i="13"/>
  <c r="L272" i="13"/>
  <c r="K272" i="13"/>
  <c r="J272" i="13"/>
  <c r="I272" i="13"/>
  <c r="M271" i="13"/>
  <c r="L271" i="13"/>
  <c r="K271" i="13"/>
  <c r="J271" i="13"/>
  <c r="I271" i="13"/>
  <c r="M270" i="13"/>
  <c r="L270" i="13"/>
  <c r="K270" i="13"/>
  <c r="J270" i="13"/>
  <c r="I270" i="13"/>
  <c r="M269" i="13"/>
  <c r="L269" i="13"/>
  <c r="K269" i="13"/>
  <c r="J269" i="13"/>
  <c r="I269" i="13"/>
  <c r="M268" i="13"/>
  <c r="L268" i="13"/>
  <c r="K268" i="13"/>
  <c r="J268" i="13"/>
  <c r="I268" i="13"/>
  <c r="M267" i="13"/>
  <c r="L267" i="13"/>
  <c r="K267" i="13"/>
  <c r="J267" i="13"/>
  <c r="I267" i="13"/>
  <c r="M266" i="13"/>
  <c r="L266" i="13"/>
  <c r="K266" i="13"/>
  <c r="J266" i="13"/>
  <c r="I266" i="13"/>
  <c r="M265" i="13"/>
  <c r="L265" i="13"/>
  <c r="K265" i="13"/>
  <c r="J265" i="13"/>
  <c r="I265" i="13"/>
  <c r="M264" i="13"/>
  <c r="L264" i="13"/>
  <c r="K264" i="13"/>
  <c r="J264" i="13"/>
  <c r="I264" i="13"/>
  <c r="M263" i="13"/>
  <c r="L263" i="13"/>
  <c r="K263" i="13"/>
  <c r="J263" i="13"/>
  <c r="I263" i="13"/>
  <c r="M262" i="13"/>
  <c r="L262" i="13"/>
  <c r="K262" i="13"/>
  <c r="J262" i="13"/>
  <c r="I262" i="13"/>
  <c r="M261" i="13"/>
  <c r="L261" i="13"/>
  <c r="K261" i="13"/>
  <c r="J261" i="13"/>
  <c r="I261" i="13"/>
  <c r="M260" i="13"/>
  <c r="L260" i="13"/>
  <c r="K260" i="13"/>
  <c r="J260" i="13"/>
  <c r="I260" i="13"/>
  <c r="M259" i="13"/>
  <c r="L259" i="13"/>
  <c r="K259" i="13"/>
  <c r="J259" i="13"/>
  <c r="I259" i="13"/>
  <c r="M258" i="13"/>
  <c r="L258" i="13"/>
  <c r="K258" i="13"/>
  <c r="J258" i="13"/>
  <c r="I258" i="13"/>
  <c r="M257" i="13"/>
  <c r="L257" i="13"/>
  <c r="K257" i="13"/>
  <c r="J257" i="13"/>
  <c r="I257" i="13"/>
  <c r="M256" i="13"/>
  <c r="L256" i="13"/>
  <c r="K256" i="13"/>
  <c r="J256" i="13"/>
  <c r="I256" i="13"/>
  <c r="M255" i="13"/>
  <c r="L255" i="13"/>
  <c r="K255" i="13"/>
  <c r="J255" i="13"/>
  <c r="I255" i="13"/>
  <c r="M254" i="13"/>
  <c r="L254" i="13"/>
  <c r="K254" i="13"/>
  <c r="J254" i="13"/>
  <c r="I254" i="13"/>
  <c r="M253" i="13"/>
  <c r="L253" i="13"/>
  <c r="K253" i="13"/>
  <c r="J253" i="13"/>
  <c r="I253" i="13"/>
  <c r="M252" i="13"/>
  <c r="L252" i="13"/>
  <c r="K252" i="13"/>
  <c r="J252" i="13"/>
  <c r="I252" i="13"/>
  <c r="M251" i="13"/>
  <c r="L251" i="13"/>
  <c r="K251" i="13"/>
  <c r="J251" i="13"/>
  <c r="I251" i="13"/>
  <c r="M250" i="13"/>
  <c r="L250" i="13"/>
  <c r="K250" i="13"/>
  <c r="J250" i="13"/>
  <c r="I250" i="13"/>
  <c r="M249" i="13"/>
  <c r="L249" i="13"/>
  <c r="K249" i="13"/>
  <c r="J249" i="13"/>
  <c r="I249" i="13"/>
  <c r="M248" i="13"/>
  <c r="L248" i="13"/>
  <c r="K248" i="13"/>
  <c r="J248" i="13"/>
  <c r="I248" i="13"/>
  <c r="M247" i="13"/>
  <c r="L247" i="13"/>
  <c r="K247" i="13"/>
  <c r="J247" i="13"/>
  <c r="I247" i="13"/>
  <c r="M246" i="13"/>
  <c r="L246" i="13"/>
  <c r="K246" i="13"/>
  <c r="J246" i="13"/>
  <c r="I246" i="13"/>
  <c r="M245" i="13"/>
  <c r="L245" i="13"/>
  <c r="K245" i="13"/>
  <c r="J245" i="13"/>
  <c r="I245" i="13"/>
  <c r="M244" i="13"/>
  <c r="L244" i="13"/>
  <c r="K244" i="13"/>
  <c r="J244" i="13"/>
  <c r="I244" i="13"/>
  <c r="M243" i="13"/>
  <c r="L243" i="13"/>
  <c r="K243" i="13"/>
  <c r="J243" i="13"/>
  <c r="I243" i="13"/>
  <c r="M242" i="13"/>
  <c r="L242" i="13"/>
  <c r="K242" i="13"/>
  <c r="J242" i="13"/>
  <c r="I242" i="13"/>
  <c r="M241" i="13"/>
  <c r="L241" i="13"/>
  <c r="K241" i="13"/>
  <c r="J241" i="13"/>
  <c r="I241" i="13"/>
  <c r="M240" i="13"/>
  <c r="L240" i="13"/>
  <c r="K240" i="13"/>
  <c r="J240" i="13"/>
  <c r="I240" i="13"/>
  <c r="M239" i="13"/>
  <c r="L239" i="13"/>
  <c r="K239" i="13"/>
  <c r="J239" i="13"/>
  <c r="I239" i="13"/>
  <c r="M238" i="13"/>
  <c r="L238" i="13"/>
  <c r="K238" i="13"/>
  <c r="J238" i="13"/>
  <c r="I238" i="13"/>
  <c r="M237" i="13"/>
  <c r="L237" i="13"/>
  <c r="K237" i="13"/>
  <c r="J237" i="13"/>
  <c r="I237" i="13"/>
  <c r="M236" i="13"/>
  <c r="L236" i="13"/>
  <c r="K236" i="13"/>
  <c r="J236" i="13"/>
  <c r="I236" i="13"/>
  <c r="M235" i="13"/>
  <c r="L235" i="13"/>
  <c r="K235" i="13"/>
  <c r="J235" i="13"/>
  <c r="I235" i="13"/>
  <c r="M234" i="13"/>
  <c r="L234" i="13"/>
  <c r="K234" i="13"/>
  <c r="J234" i="13"/>
  <c r="I234" i="13"/>
  <c r="M233" i="13"/>
  <c r="L233" i="13"/>
  <c r="K233" i="13"/>
  <c r="J233" i="13"/>
  <c r="I233" i="13"/>
  <c r="M232" i="13"/>
  <c r="L232" i="13"/>
  <c r="K232" i="13"/>
  <c r="J232" i="13"/>
  <c r="I232" i="13"/>
  <c r="M231" i="13"/>
  <c r="L231" i="13"/>
  <c r="K231" i="13"/>
  <c r="J231" i="13"/>
  <c r="I231" i="13"/>
  <c r="M230" i="13"/>
  <c r="L230" i="13"/>
  <c r="K230" i="13"/>
  <c r="J230" i="13"/>
  <c r="I230" i="13"/>
  <c r="M229" i="13"/>
  <c r="L229" i="13"/>
  <c r="K229" i="13"/>
  <c r="J229" i="13"/>
  <c r="I229" i="13"/>
  <c r="M228" i="13"/>
  <c r="L228" i="13"/>
  <c r="K228" i="13"/>
  <c r="J228" i="13"/>
  <c r="I228" i="13"/>
  <c r="M227" i="13"/>
  <c r="L227" i="13"/>
  <c r="K227" i="13"/>
  <c r="J227" i="13"/>
  <c r="I227" i="13"/>
  <c r="M226" i="13"/>
  <c r="L226" i="13"/>
  <c r="K226" i="13"/>
  <c r="J226" i="13"/>
  <c r="I226" i="13"/>
  <c r="M225" i="13"/>
  <c r="L225" i="13"/>
  <c r="K225" i="13"/>
  <c r="J225" i="13"/>
  <c r="I225" i="13"/>
  <c r="M224" i="13"/>
  <c r="L224" i="13"/>
  <c r="K224" i="13"/>
  <c r="J224" i="13"/>
  <c r="I224" i="13"/>
  <c r="M223" i="13"/>
  <c r="L223" i="13"/>
  <c r="K223" i="13"/>
  <c r="J223" i="13"/>
  <c r="I223" i="13"/>
  <c r="M222" i="13"/>
  <c r="L222" i="13"/>
  <c r="K222" i="13"/>
  <c r="J222" i="13"/>
  <c r="I222" i="13"/>
  <c r="M221" i="13"/>
  <c r="L221" i="13"/>
  <c r="K221" i="13"/>
  <c r="J221" i="13"/>
  <c r="I221" i="13"/>
  <c r="M220" i="13"/>
  <c r="L220" i="13"/>
  <c r="K220" i="13"/>
  <c r="J220" i="13"/>
  <c r="I220" i="13"/>
  <c r="M219" i="13"/>
  <c r="L219" i="13"/>
  <c r="K219" i="13"/>
  <c r="J219" i="13"/>
  <c r="I219" i="13"/>
  <c r="M218" i="13"/>
  <c r="L218" i="13"/>
  <c r="K218" i="13"/>
  <c r="J218" i="13"/>
  <c r="I218" i="13"/>
  <c r="M217" i="13"/>
  <c r="L217" i="13"/>
  <c r="K217" i="13"/>
  <c r="J217" i="13"/>
  <c r="I217" i="13"/>
  <c r="M216" i="13"/>
  <c r="L216" i="13"/>
  <c r="K216" i="13"/>
  <c r="J216" i="13"/>
  <c r="I216" i="13"/>
  <c r="M215" i="13"/>
  <c r="L215" i="13"/>
  <c r="K215" i="13"/>
  <c r="J215" i="13"/>
  <c r="I215" i="13"/>
  <c r="M214" i="13"/>
  <c r="L214" i="13"/>
  <c r="K214" i="13"/>
  <c r="J214" i="13"/>
  <c r="I214" i="13"/>
  <c r="M213" i="13"/>
  <c r="L213" i="13"/>
  <c r="K213" i="13"/>
  <c r="J213" i="13"/>
  <c r="I213" i="13"/>
  <c r="M212" i="13"/>
  <c r="L212" i="13"/>
  <c r="K212" i="13"/>
  <c r="J212" i="13"/>
  <c r="I212" i="13"/>
  <c r="M211" i="13"/>
  <c r="L211" i="13"/>
  <c r="K211" i="13"/>
  <c r="J211" i="13"/>
  <c r="I211" i="13"/>
  <c r="M210" i="13"/>
  <c r="L210" i="13"/>
  <c r="K210" i="13"/>
  <c r="J210" i="13"/>
  <c r="I210" i="13"/>
  <c r="M209" i="13"/>
  <c r="L209" i="13"/>
  <c r="K209" i="13"/>
  <c r="J209" i="13"/>
  <c r="I209" i="13"/>
  <c r="M208" i="13"/>
  <c r="L208" i="13"/>
  <c r="K208" i="13"/>
  <c r="J208" i="13"/>
  <c r="I208" i="13"/>
  <c r="M207" i="13"/>
  <c r="L207" i="13"/>
  <c r="K207" i="13"/>
  <c r="J207" i="13"/>
  <c r="I207" i="13"/>
  <c r="M206" i="13"/>
  <c r="L206" i="13"/>
  <c r="K206" i="13"/>
  <c r="J206" i="13"/>
  <c r="I206" i="13"/>
  <c r="M205" i="13"/>
  <c r="L205" i="13"/>
  <c r="K205" i="13"/>
  <c r="J205" i="13"/>
  <c r="I205" i="13"/>
  <c r="M204" i="13"/>
  <c r="L204" i="13"/>
  <c r="K204" i="13"/>
  <c r="J204" i="13"/>
  <c r="I204" i="13"/>
  <c r="M203" i="13"/>
  <c r="L203" i="13"/>
  <c r="K203" i="13"/>
  <c r="J203" i="13"/>
  <c r="I203" i="13"/>
  <c r="M202" i="13"/>
  <c r="L202" i="13"/>
  <c r="K202" i="13"/>
  <c r="J202" i="13"/>
  <c r="I202" i="13"/>
  <c r="M201" i="13"/>
  <c r="L201" i="13"/>
  <c r="K201" i="13"/>
  <c r="J201" i="13"/>
  <c r="I201" i="13"/>
  <c r="M200" i="13"/>
  <c r="L200" i="13"/>
  <c r="K200" i="13"/>
  <c r="J200" i="13"/>
  <c r="I200" i="13"/>
  <c r="M199" i="13"/>
  <c r="L199" i="13"/>
  <c r="K199" i="13"/>
  <c r="J199" i="13"/>
  <c r="I199" i="13"/>
  <c r="M198" i="13"/>
  <c r="L198" i="13"/>
  <c r="K198" i="13"/>
  <c r="J198" i="13"/>
  <c r="I198" i="13"/>
  <c r="M197" i="13"/>
  <c r="L197" i="13"/>
  <c r="K197" i="13"/>
  <c r="J197" i="13"/>
  <c r="I197" i="13"/>
  <c r="M196" i="13"/>
  <c r="L196" i="13"/>
  <c r="K196" i="13"/>
  <c r="J196" i="13"/>
  <c r="I196" i="13"/>
  <c r="M195" i="13"/>
  <c r="L195" i="13"/>
  <c r="K195" i="13"/>
  <c r="J195" i="13"/>
  <c r="I195" i="13"/>
  <c r="M194" i="13"/>
  <c r="L194" i="13"/>
  <c r="K194" i="13"/>
  <c r="J194" i="13"/>
  <c r="I194" i="13"/>
  <c r="M193" i="13"/>
  <c r="L193" i="13"/>
  <c r="K193" i="13"/>
  <c r="J193" i="13"/>
  <c r="I193" i="13"/>
  <c r="M192" i="13"/>
  <c r="L192" i="13"/>
  <c r="K192" i="13"/>
  <c r="J192" i="13"/>
  <c r="I192" i="13"/>
  <c r="M191" i="13"/>
  <c r="L191" i="13"/>
  <c r="K191" i="13"/>
  <c r="J191" i="13"/>
  <c r="I191" i="13"/>
  <c r="M190" i="13"/>
  <c r="L190" i="13"/>
  <c r="K190" i="13"/>
  <c r="J190" i="13"/>
  <c r="I190" i="13"/>
  <c r="M189" i="13"/>
  <c r="L189" i="13"/>
  <c r="K189" i="13"/>
  <c r="J189" i="13"/>
  <c r="I189" i="13"/>
  <c r="M188" i="13"/>
  <c r="L188" i="13"/>
  <c r="K188" i="13"/>
  <c r="J188" i="13"/>
  <c r="I188" i="13"/>
  <c r="M187" i="13"/>
  <c r="L187" i="13"/>
  <c r="K187" i="13"/>
  <c r="J187" i="13"/>
  <c r="I187" i="13"/>
  <c r="M186" i="13"/>
  <c r="L186" i="13"/>
  <c r="K186" i="13"/>
  <c r="J186" i="13"/>
  <c r="I186" i="13"/>
  <c r="M185" i="13"/>
  <c r="L185" i="13"/>
  <c r="K185" i="13"/>
  <c r="J185" i="13"/>
  <c r="I185" i="13"/>
  <c r="M184" i="13"/>
  <c r="L184" i="13"/>
  <c r="K184" i="13"/>
  <c r="J184" i="13"/>
  <c r="I184" i="13"/>
  <c r="M183" i="13"/>
  <c r="L183" i="13"/>
  <c r="K183" i="13"/>
  <c r="J183" i="13"/>
  <c r="I183" i="13"/>
  <c r="M182" i="13"/>
  <c r="L182" i="13"/>
  <c r="K182" i="13"/>
  <c r="J182" i="13"/>
  <c r="I182" i="13"/>
  <c r="M181" i="13"/>
  <c r="L181" i="13"/>
  <c r="K181" i="13"/>
  <c r="J181" i="13"/>
  <c r="I181" i="13"/>
  <c r="M180" i="13"/>
  <c r="L180" i="13"/>
  <c r="K180" i="13"/>
  <c r="J180" i="13"/>
  <c r="I180" i="13"/>
  <c r="M179" i="13"/>
  <c r="L179" i="13"/>
  <c r="K179" i="13"/>
  <c r="J179" i="13"/>
  <c r="I179" i="13"/>
  <c r="M178" i="13"/>
  <c r="L178" i="13"/>
  <c r="K178" i="13"/>
  <c r="J178" i="13"/>
  <c r="I178" i="13"/>
  <c r="M177" i="13"/>
  <c r="L177" i="13"/>
  <c r="K177" i="13"/>
  <c r="J177" i="13"/>
  <c r="I177" i="13"/>
  <c r="M176" i="13"/>
  <c r="L176" i="13"/>
  <c r="K176" i="13"/>
  <c r="J176" i="13"/>
  <c r="I176" i="13"/>
  <c r="M175" i="13"/>
  <c r="L175" i="13"/>
  <c r="K175" i="13"/>
  <c r="J175" i="13"/>
  <c r="I175" i="13"/>
  <c r="M174" i="13"/>
  <c r="L174" i="13"/>
  <c r="K174" i="13"/>
  <c r="J174" i="13"/>
  <c r="I174" i="13"/>
  <c r="M173" i="13"/>
  <c r="L173" i="13"/>
  <c r="K173" i="13"/>
  <c r="J173" i="13"/>
  <c r="I173" i="13"/>
  <c r="M172" i="13"/>
  <c r="L172" i="13"/>
  <c r="K172" i="13"/>
  <c r="J172" i="13"/>
  <c r="I172" i="13"/>
  <c r="M171" i="13"/>
  <c r="L171" i="13"/>
  <c r="K171" i="13"/>
  <c r="J171" i="13"/>
  <c r="I171" i="13"/>
  <c r="M170" i="13"/>
  <c r="L170" i="13"/>
  <c r="K170" i="13"/>
  <c r="J170" i="13"/>
  <c r="I170" i="13"/>
  <c r="M169" i="13"/>
  <c r="L169" i="13"/>
  <c r="K169" i="13"/>
  <c r="J169" i="13"/>
  <c r="I169" i="13"/>
  <c r="M168" i="13"/>
  <c r="L168" i="13"/>
  <c r="K168" i="13"/>
  <c r="J168" i="13"/>
  <c r="I168" i="13"/>
  <c r="M167" i="13"/>
  <c r="L167" i="13"/>
  <c r="K167" i="13"/>
  <c r="J167" i="13"/>
  <c r="I167" i="13"/>
  <c r="M166" i="13"/>
  <c r="L166" i="13"/>
  <c r="K166" i="13"/>
  <c r="J166" i="13"/>
  <c r="I166" i="13"/>
  <c r="M165" i="13"/>
  <c r="L165" i="13"/>
  <c r="K165" i="13"/>
  <c r="J165" i="13"/>
  <c r="I165" i="13"/>
  <c r="M164" i="13"/>
  <c r="L164" i="13"/>
  <c r="K164" i="13"/>
  <c r="J164" i="13"/>
  <c r="I164" i="13"/>
  <c r="M163" i="13"/>
  <c r="L163" i="13"/>
  <c r="K163" i="13"/>
  <c r="J163" i="13"/>
  <c r="I163" i="13"/>
  <c r="M162" i="13"/>
  <c r="L162" i="13"/>
  <c r="K162" i="13"/>
  <c r="J162" i="13"/>
  <c r="I162" i="13"/>
  <c r="M161" i="13"/>
  <c r="L161" i="13"/>
  <c r="K161" i="13"/>
  <c r="J161" i="13"/>
  <c r="I161" i="13"/>
  <c r="M160" i="13"/>
  <c r="L160" i="13"/>
  <c r="K160" i="13"/>
  <c r="J160" i="13"/>
  <c r="I160" i="13"/>
  <c r="M159" i="13"/>
  <c r="L159" i="13"/>
  <c r="K159" i="13"/>
  <c r="J159" i="13"/>
  <c r="I159" i="13"/>
  <c r="M158" i="13"/>
  <c r="L158" i="13"/>
  <c r="K158" i="13"/>
  <c r="J158" i="13"/>
  <c r="I158" i="13"/>
  <c r="M157" i="13"/>
  <c r="L157" i="13"/>
  <c r="K157" i="13"/>
  <c r="J157" i="13"/>
  <c r="I157" i="13"/>
  <c r="M156" i="13"/>
  <c r="L156" i="13"/>
  <c r="K156" i="13"/>
  <c r="J156" i="13"/>
  <c r="I156" i="13"/>
  <c r="M155" i="13"/>
  <c r="L155" i="13"/>
  <c r="K155" i="13"/>
  <c r="J155" i="13"/>
  <c r="I155" i="13"/>
  <c r="M154" i="13"/>
  <c r="L154" i="13"/>
  <c r="K154" i="13"/>
  <c r="J154" i="13"/>
  <c r="I154" i="13"/>
  <c r="M153" i="13"/>
  <c r="L153" i="13"/>
  <c r="K153" i="13"/>
  <c r="J153" i="13"/>
  <c r="I153" i="13"/>
  <c r="M152" i="13"/>
  <c r="L152" i="13"/>
  <c r="K152" i="13"/>
  <c r="J152" i="13"/>
  <c r="I152" i="13"/>
  <c r="M151" i="13"/>
  <c r="L151" i="13"/>
  <c r="K151" i="13"/>
  <c r="J151" i="13"/>
  <c r="I151" i="13"/>
  <c r="M150" i="13"/>
  <c r="L150" i="13"/>
  <c r="K150" i="13"/>
  <c r="J150" i="13"/>
  <c r="I150" i="13"/>
  <c r="M149" i="13"/>
  <c r="L149" i="13"/>
  <c r="K149" i="13"/>
  <c r="J149" i="13"/>
  <c r="I149" i="13"/>
  <c r="M148" i="13"/>
  <c r="L148" i="13"/>
  <c r="K148" i="13"/>
  <c r="J148" i="13"/>
  <c r="I148" i="13"/>
  <c r="M147" i="13"/>
  <c r="L147" i="13"/>
  <c r="K147" i="13"/>
  <c r="J147" i="13"/>
  <c r="I147" i="13"/>
  <c r="M146" i="13"/>
  <c r="L146" i="13"/>
  <c r="K146" i="13"/>
  <c r="J146" i="13"/>
  <c r="I146" i="13"/>
  <c r="M145" i="13"/>
  <c r="L145" i="13"/>
  <c r="K145" i="13"/>
  <c r="J145" i="13"/>
  <c r="I145" i="13"/>
  <c r="M144" i="13"/>
  <c r="L144" i="13"/>
  <c r="K144" i="13"/>
  <c r="J144" i="13"/>
  <c r="I144" i="13"/>
  <c r="M143" i="13"/>
  <c r="L143" i="13"/>
  <c r="K143" i="13"/>
  <c r="J143" i="13"/>
  <c r="I143" i="13"/>
  <c r="M142" i="13"/>
  <c r="L142" i="13"/>
  <c r="K142" i="13"/>
  <c r="J142" i="13"/>
  <c r="I142" i="13"/>
  <c r="M141" i="13"/>
  <c r="L141" i="13"/>
  <c r="K141" i="13"/>
  <c r="J141" i="13"/>
  <c r="I141" i="13"/>
  <c r="M140" i="13"/>
  <c r="L140" i="13"/>
  <c r="K140" i="13"/>
  <c r="J140" i="13"/>
  <c r="I140" i="13"/>
  <c r="M139" i="13"/>
  <c r="L139" i="13"/>
  <c r="K139" i="13"/>
  <c r="J139" i="13"/>
  <c r="I139" i="13"/>
  <c r="M138" i="13"/>
  <c r="L138" i="13"/>
  <c r="K138" i="13"/>
  <c r="J138" i="13"/>
  <c r="I138" i="13"/>
  <c r="M137" i="13"/>
  <c r="L137" i="13"/>
  <c r="K137" i="13"/>
  <c r="J137" i="13"/>
  <c r="I137" i="13"/>
  <c r="M136" i="13"/>
  <c r="L136" i="13"/>
  <c r="K136" i="13"/>
  <c r="J136" i="13"/>
  <c r="I136" i="13"/>
  <c r="M135" i="13"/>
  <c r="L135" i="13"/>
  <c r="K135" i="13"/>
  <c r="J135" i="13"/>
  <c r="I135" i="13"/>
  <c r="M134" i="13"/>
  <c r="L134" i="13"/>
  <c r="K134" i="13"/>
  <c r="J134" i="13"/>
  <c r="I134" i="13"/>
  <c r="M133" i="13"/>
  <c r="L133" i="13"/>
  <c r="K133" i="13"/>
  <c r="J133" i="13"/>
  <c r="I133" i="13"/>
  <c r="M132" i="13"/>
  <c r="L132" i="13"/>
  <c r="K132" i="13"/>
  <c r="J132" i="13"/>
  <c r="I132" i="13"/>
  <c r="M131" i="13"/>
  <c r="L131" i="13"/>
  <c r="K131" i="13"/>
  <c r="J131" i="13"/>
  <c r="I131" i="13"/>
  <c r="M130" i="13"/>
  <c r="L130" i="13"/>
  <c r="K130" i="13"/>
  <c r="J130" i="13"/>
  <c r="I130" i="13"/>
  <c r="M129" i="13"/>
  <c r="L129" i="13"/>
  <c r="K129" i="13"/>
  <c r="J129" i="13"/>
  <c r="I129" i="13"/>
  <c r="M128" i="13"/>
  <c r="L128" i="13"/>
  <c r="K128" i="13"/>
  <c r="J128" i="13"/>
  <c r="I128" i="13"/>
  <c r="M127" i="13"/>
  <c r="L127" i="13"/>
  <c r="K127" i="13"/>
  <c r="J127" i="13"/>
  <c r="I127" i="13"/>
  <c r="M126" i="13"/>
  <c r="L126" i="13"/>
  <c r="K126" i="13"/>
  <c r="J126" i="13"/>
  <c r="I126" i="13"/>
  <c r="M125" i="13"/>
  <c r="L125" i="13"/>
  <c r="K125" i="13"/>
  <c r="J125" i="13"/>
  <c r="I125" i="13"/>
  <c r="M124" i="13"/>
  <c r="L124" i="13"/>
  <c r="K124" i="13"/>
  <c r="J124" i="13"/>
  <c r="I124" i="13"/>
  <c r="M123" i="13"/>
  <c r="L123" i="13"/>
  <c r="K123" i="13"/>
  <c r="J123" i="13"/>
  <c r="I123" i="13"/>
  <c r="M122" i="13"/>
  <c r="L122" i="13"/>
  <c r="K122" i="13"/>
  <c r="J122" i="13"/>
  <c r="I122" i="13"/>
  <c r="M121" i="13"/>
  <c r="L121" i="13"/>
  <c r="K121" i="13"/>
  <c r="J121" i="13"/>
  <c r="I121" i="13"/>
  <c r="M120" i="13"/>
  <c r="L120" i="13"/>
  <c r="K120" i="13"/>
  <c r="J120" i="13"/>
  <c r="I120" i="13"/>
  <c r="M119" i="13"/>
  <c r="L119" i="13"/>
  <c r="K119" i="13"/>
  <c r="J119" i="13"/>
  <c r="I119" i="13"/>
  <c r="M118" i="13"/>
  <c r="L118" i="13"/>
  <c r="K118" i="13"/>
  <c r="J118" i="13"/>
  <c r="I118" i="13"/>
  <c r="M117" i="13"/>
  <c r="L117" i="13"/>
  <c r="K117" i="13"/>
  <c r="J117" i="13"/>
  <c r="I117" i="13"/>
  <c r="M116" i="13"/>
  <c r="L116" i="13"/>
  <c r="K116" i="13"/>
  <c r="J116" i="13"/>
  <c r="I116" i="13"/>
  <c r="M115" i="13"/>
  <c r="L115" i="13"/>
  <c r="K115" i="13"/>
  <c r="J115" i="13"/>
  <c r="I115" i="13"/>
  <c r="M114" i="13"/>
  <c r="L114" i="13"/>
  <c r="K114" i="13"/>
  <c r="J114" i="13"/>
  <c r="I114" i="13"/>
  <c r="M113" i="13"/>
  <c r="L113" i="13"/>
  <c r="K113" i="13"/>
  <c r="J113" i="13"/>
  <c r="I113" i="13"/>
  <c r="M112" i="13"/>
  <c r="L112" i="13"/>
  <c r="K112" i="13"/>
  <c r="J112" i="13"/>
  <c r="I112" i="13"/>
  <c r="M111" i="13"/>
  <c r="L111" i="13"/>
  <c r="K111" i="13"/>
  <c r="J111" i="13"/>
  <c r="I111" i="13"/>
  <c r="M110" i="13"/>
  <c r="L110" i="13"/>
  <c r="K110" i="13"/>
  <c r="J110" i="13"/>
  <c r="I110" i="13"/>
  <c r="M109" i="13"/>
  <c r="L109" i="13"/>
  <c r="K109" i="13"/>
  <c r="J109" i="13"/>
  <c r="I109" i="13"/>
  <c r="M108" i="13"/>
  <c r="L108" i="13"/>
  <c r="K108" i="13"/>
  <c r="J108" i="13"/>
  <c r="I108" i="13"/>
  <c r="M107" i="13"/>
  <c r="L107" i="13"/>
  <c r="K107" i="13"/>
  <c r="J107" i="13"/>
  <c r="I107" i="13"/>
  <c r="M106" i="13"/>
  <c r="L106" i="13"/>
  <c r="K106" i="13"/>
  <c r="J106" i="13"/>
  <c r="I106" i="13"/>
  <c r="M105" i="13"/>
  <c r="L105" i="13"/>
  <c r="K105" i="13"/>
  <c r="J105" i="13"/>
  <c r="I105" i="13"/>
  <c r="M104" i="13"/>
  <c r="L104" i="13"/>
  <c r="K104" i="13"/>
  <c r="J104" i="13"/>
  <c r="I104" i="13"/>
  <c r="M103" i="13"/>
  <c r="L103" i="13"/>
  <c r="K103" i="13"/>
  <c r="J103" i="13"/>
  <c r="I103" i="13"/>
  <c r="M102" i="13"/>
  <c r="L102" i="13"/>
  <c r="K102" i="13"/>
  <c r="J102" i="13"/>
  <c r="I102" i="13"/>
  <c r="M101" i="13"/>
  <c r="L101" i="13"/>
  <c r="K101" i="13"/>
  <c r="J101" i="13"/>
  <c r="I101" i="13"/>
  <c r="M100" i="13"/>
  <c r="L100" i="13"/>
  <c r="K100" i="13"/>
  <c r="J100" i="13"/>
  <c r="I100" i="13"/>
  <c r="M99" i="13"/>
  <c r="L99" i="13"/>
  <c r="K99" i="13"/>
  <c r="J99" i="13"/>
  <c r="I99" i="13"/>
  <c r="M98" i="13"/>
  <c r="L98" i="13"/>
  <c r="K98" i="13"/>
  <c r="J98" i="13"/>
  <c r="I98" i="13"/>
  <c r="M97" i="13"/>
  <c r="L97" i="13"/>
  <c r="K97" i="13"/>
  <c r="J97" i="13"/>
  <c r="I97" i="13"/>
  <c r="M96" i="13"/>
  <c r="L96" i="13"/>
  <c r="K96" i="13"/>
  <c r="J96" i="13"/>
  <c r="I96" i="13"/>
  <c r="M95" i="13"/>
  <c r="L95" i="13"/>
  <c r="K95" i="13"/>
  <c r="J95" i="13"/>
  <c r="I95" i="13"/>
  <c r="M94" i="13"/>
  <c r="L94" i="13"/>
  <c r="K94" i="13"/>
  <c r="J94" i="13"/>
  <c r="I94" i="13"/>
  <c r="M93" i="13"/>
  <c r="L93" i="13"/>
  <c r="K93" i="13"/>
  <c r="J93" i="13"/>
  <c r="I93" i="13"/>
  <c r="M92" i="13"/>
  <c r="L92" i="13"/>
  <c r="K92" i="13"/>
  <c r="J92" i="13"/>
  <c r="I92" i="13"/>
  <c r="M91" i="13"/>
  <c r="L91" i="13"/>
  <c r="K91" i="13"/>
  <c r="J91" i="13"/>
  <c r="I91" i="13"/>
  <c r="M90" i="13"/>
  <c r="L90" i="13"/>
  <c r="K90" i="13"/>
  <c r="J90" i="13"/>
  <c r="I90" i="13"/>
  <c r="M89" i="13"/>
  <c r="L89" i="13"/>
  <c r="K89" i="13"/>
  <c r="J89" i="13"/>
  <c r="I89" i="13"/>
  <c r="M88" i="13"/>
  <c r="L88" i="13"/>
  <c r="K88" i="13"/>
  <c r="J88" i="13"/>
  <c r="I88" i="13"/>
  <c r="M87" i="13"/>
  <c r="L87" i="13"/>
  <c r="K87" i="13"/>
  <c r="J87" i="13"/>
  <c r="I87" i="13"/>
  <c r="M86" i="13"/>
  <c r="L86" i="13"/>
  <c r="K86" i="13"/>
  <c r="J86" i="13"/>
  <c r="I86" i="13"/>
  <c r="M85" i="13"/>
  <c r="L85" i="13"/>
  <c r="K85" i="13"/>
  <c r="J85" i="13"/>
  <c r="I85" i="13"/>
  <c r="M84" i="13"/>
  <c r="L84" i="13"/>
  <c r="K84" i="13"/>
  <c r="J84" i="13"/>
  <c r="I84" i="13"/>
  <c r="M83" i="13"/>
  <c r="L83" i="13"/>
  <c r="K83" i="13"/>
  <c r="J83" i="13"/>
  <c r="I83" i="13"/>
  <c r="M82" i="13"/>
  <c r="L82" i="13"/>
  <c r="K82" i="13"/>
  <c r="J82" i="13"/>
  <c r="I82" i="13"/>
  <c r="M81" i="13"/>
  <c r="L81" i="13"/>
  <c r="K81" i="13"/>
  <c r="J81" i="13"/>
  <c r="I81" i="13"/>
  <c r="M80" i="13"/>
  <c r="L80" i="13"/>
  <c r="K80" i="13"/>
  <c r="J80" i="13"/>
  <c r="I80" i="13"/>
  <c r="M79" i="13"/>
  <c r="L79" i="13"/>
  <c r="K79" i="13"/>
  <c r="J79" i="13"/>
  <c r="I79" i="13"/>
  <c r="M78" i="13"/>
  <c r="L78" i="13"/>
  <c r="K78" i="13"/>
  <c r="J78" i="13"/>
  <c r="I78" i="13"/>
  <c r="M77" i="13"/>
  <c r="L77" i="13"/>
  <c r="K77" i="13"/>
  <c r="J77" i="13"/>
  <c r="I77" i="13"/>
  <c r="M76" i="13"/>
  <c r="L76" i="13"/>
  <c r="K76" i="13"/>
  <c r="J76" i="13"/>
  <c r="I76" i="13"/>
  <c r="M75" i="13"/>
  <c r="L75" i="13"/>
  <c r="K75" i="13"/>
  <c r="J75" i="13"/>
  <c r="I75" i="13"/>
  <c r="M74" i="13"/>
  <c r="L74" i="13"/>
  <c r="K74" i="13"/>
  <c r="J74" i="13"/>
  <c r="I74" i="13"/>
  <c r="M73" i="13"/>
  <c r="L73" i="13"/>
  <c r="K73" i="13"/>
  <c r="J73" i="13"/>
  <c r="I73" i="13"/>
  <c r="M72" i="13"/>
  <c r="L72" i="13"/>
  <c r="K72" i="13"/>
  <c r="J72" i="13"/>
  <c r="I72" i="13"/>
  <c r="M71" i="13"/>
  <c r="L71" i="13"/>
  <c r="K71" i="13"/>
  <c r="J71" i="13"/>
  <c r="I71" i="13"/>
  <c r="M70" i="13"/>
  <c r="L70" i="13"/>
  <c r="K70" i="13"/>
  <c r="J70" i="13"/>
  <c r="I70" i="13"/>
  <c r="M69" i="13"/>
  <c r="L69" i="13"/>
  <c r="K69" i="13"/>
  <c r="J69" i="13"/>
  <c r="I69" i="13"/>
  <c r="M68" i="13"/>
  <c r="L68" i="13"/>
  <c r="K68" i="13"/>
  <c r="J68" i="13"/>
  <c r="I68" i="13"/>
  <c r="M67" i="13"/>
  <c r="L67" i="13"/>
  <c r="K67" i="13"/>
  <c r="J67" i="13"/>
  <c r="I67" i="13"/>
  <c r="M66" i="13"/>
  <c r="L66" i="13"/>
  <c r="K66" i="13"/>
  <c r="J66" i="13"/>
  <c r="I66" i="13"/>
  <c r="M65" i="13"/>
  <c r="L65" i="13"/>
  <c r="K65" i="13"/>
  <c r="J65" i="13"/>
  <c r="I65" i="13"/>
  <c r="M64" i="13"/>
  <c r="L64" i="13"/>
  <c r="K64" i="13"/>
  <c r="J64" i="13"/>
  <c r="I64" i="13"/>
  <c r="M63" i="13"/>
  <c r="L63" i="13"/>
  <c r="K63" i="13"/>
  <c r="J63" i="13"/>
  <c r="I63" i="13"/>
  <c r="M62" i="13"/>
  <c r="L62" i="13"/>
  <c r="K62" i="13"/>
  <c r="J62" i="13"/>
  <c r="I62" i="13"/>
  <c r="M61" i="13"/>
  <c r="L61" i="13"/>
  <c r="K61" i="13"/>
  <c r="J61" i="13"/>
  <c r="I61" i="13"/>
  <c r="M60" i="13"/>
  <c r="L60" i="13"/>
  <c r="K60" i="13"/>
  <c r="J60" i="13"/>
  <c r="I60" i="13"/>
  <c r="M59" i="13"/>
  <c r="L59" i="13"/>
  <c r="K59" i="13"/>
  <c r="J59" i="13"/>
  <c r="I59" i="13"/>
  <c r="M58" i="13"/>
  <c r="L58" i="13"/>
  <c r="K58" i="13"/>
  <c r="J58" i="13"/>
  <c r="I58" i="13"/>
  <c r="M57" i="13"/>
  <c r="L57" i="13"/>
  <c r="K57" i="13"/>
  <c r="J57" i="13"/>
  <c r="I57" i="13"/>
  <c r="M56" i="13"/>
  <c r="L56" i="13"/>
  <c r="K56" i="13"/>
  <c r="J56" i="13"/>
  <c r="I56" i="13"/>
  <c r="M55" i="13"/>
  <c r="L55" i="13"/>
  <c r="K55" i="13"/>
  <c r="J55" i="13"/>
  <c r="I55" i="13"/>
  <c r="M54" i="13"/>
  <c r="L54" i="13"/>
  <c r="K54" i="13"/>
  <c r="J54" i="13"/>
  <c r="I54" i="13"/>
  <c r="M53" i="13"/>
  <c r="L53" i="13"/>
  <c r="K53" i="13"/>
  <c r="J53" i="13"/>
  <c r="I53" i="13"/>
  <c r="M52" i="13"/>
  <c r="L52" i="13"/>
  <c r="K52" i="13"/>
  <c r="J52" i="13"/>
  <c r="I52" i="13"/>
  <c r="M51" i="13"/>
  <c r="L51" i="13"/>
  <c r="K51" i="13"/>
  <c r="J51" i="13"/>
  <c r="I51" i="13"/>
  <c r="M50" i="13"/>
  <c r="L50" i="13"/>
  <c r="K50" i="13"/>
  <c r="J50" i="13"/>
  <c r="I50" i="13"/>
  <c r="M49" i="13"/>
  <c r="L49" i="13"/>
  <c r="K49" i="13"/>
  <c r="J49" i="13"/>
  <c r="I49" i="13"/>
  <c r="M48" i="13"/>
  <c r="L48" i="13"/>
  <c r="K48" i="13"/>
  <c r="J48" i="13"/>
  <c r="I48" i="13"/>
  <c r="M47" i="13"/>
  <c r="L47" i="13"/>
  <c r="K47" i="13"/>
  <c r="J47" i="13"/>
  <c r="I47" i="13"/>
  <c r="M46" i="13"/>
  <c r="L46" i="13"/>
  <c r="K46" i="13"/>
  <c r="J46" i="13"/>
  <c r="I46" i="13"/>
  <c r="M45" i="13"/>
  <c r="L45" i="13"/>
  <c r="K45" i="13"/>
  <c r="J45" i="13"/>
  <c r="I45" i="13"/>
  <c r="M44" i="13"/>
  <c r="L44" i="13"/>
  <c r="K44" i="13"/>
  <c r="J44" i="13"/>
  <c r="I44" i="13"/>
  <c r="M43" i="13"/>
  <c r="L43" i="13"/>
  <c r="K43" i="13"/>
  <c r="J43" i="13"/>
  <c r="I43" i="13"/>
  <c r="M42" i="13"/>
  <c r="L42" i="13"/>
  <c r="K42" i="13"/>
  <c r="J42" i="13"/>
  <c r="I42" i="13"/>
  <c r="M41" i="13"/>
  <c r="L41" i="13"/>
  <c r="K41" i="13"/>
  <c r="J41" i="13"/>
  <c r="I41" i="13"/>
  <c r="M40" i="13"/>
  <c r="L40" i="13"/>
  <c r="K40" i="13"/>
  <c r="J40" i="13"/>
  <c r="I40" i="13"/>
  <c r="M39" i="13"/>
  <c r="L39" i="13"/>
  <c r="K39" i="13"/>
  <c r="J39" i="13"/>
  <c r="I39" i="13"/>
  <c r="M38" i="13"/>
  <c r="L38" i="13"/>
  <c r="K38" i="13"/>
  <c r="J38" i="13"/>
  <c r="I38" i="13"/>
  <c r="M37" i="13"/>
  <c r="L37" i="13"/>
  <c r="K37" i="13"/>
  <c r="J37" i="13"/>
  <c r="I37" i="13"/>
  <c r="M36" i="13"/>
  <c r="L36" i="13"/>
  <c r="K36" i="13"/>
  <c r="J36" i="13"/>
  <c r="I36" i="13"/>
  <c r="M35" i="13"/>
  <c r="L35" i="13"/>
  <c r="K35" i="13"/>
  <c r="J35" i="13"/>
  <c r="I35" i="13"/>
  <c r="M34" i="13"/>
  <c r="L34" i="13"/>
  <c r="K34" i="13"/>
  <c r="J34" i="13"/>
  <c r="I34" i="13"/>
  <c r="M33" i="13"/>
  <c r="L33" i="13"/>
  <c r="K33" i="13"/>
  <c r="J33" i="13"/>
  <c r="I33" i="13"/>
  <c r="M32" i="13"/>
  <c r="L32" i="13"/>
  <c r="K32" i="13"/>
  <c r="J32" i="13"/>
  <c r="I32" i="13"/>
  <c r="M31" i="13"/>
  <c r="L31" i="13"/>
  <c r="K31" i="13"/>
  <c r="J31" i="13"/>
  <c r="I31" i="13"/>
  <c r="M30" i="13"/>
  <c r="L30" i="13"/>
  <c r="K30" i="13"/>
  <c r="J30" i="13"/>
  <c r="I30" i="13"/>
  <c r="M29" i="13"/>
  <c r="L29" i="13"/>
  <c r="K29" i="13"/>
  <c r="J29" i="13"/>
  <c r="I29" i="13"/>
  <c r="M28" i="13"/>
  <c r="L28" i="13"/>
  <c r="K28" i="13"/>
  <c r="J28" i="13"/>
  <c r="I28" i="13"/>
  <c r="M27" i="13"/>
  <c r="L27" i="13"/>
  <c r="K27" i="13"/>
  <c r="J27" i="13"/>
  <c r="I27" i="13"/>
  <c r="M26" i="13"/>
  <c r="L26" i="13"/>
  <c r="K26" i="13"/>
  <c r="J26" i="13"/>
  <c r="I26" i="13"/>
  <c r="M25" i="13"/>
  <c r="L25" i="13"/>
  <c r="K25" i="13"/>
  <c r="J25" i="13"/>
  <c r="I25" i="13"/>
  <c r="M24" i="13"/>
  <c r="L24" i="13"/>
  <c r="K24" i="13"/>
  <c r="J24" i="13"/>
  <c r="I24" i="13"/>
  <c r="M23" i="13"/>
  <c r="L23" i="13"/>
  <c r="K23" i="13"/>
  <c r="J23" i="13"/>
  <c r="I23" i="13"/>
  <c r="M22" i="13"/>
  <c r="L22" i="13"/>
  <c r="K22" i="13"/>
  <c r="J22" i="13"/>
  <c r="I22" i="13"/>
  <c r="M21" i="13"/>
  <c r="L21" i="13"/>
  <c r="K21" i="13"/>
  <c r="J21" i="13"/>
  <c r="I21" i="13"/>
  <c r="M20" i="13"/>
  <c r="L20" i="13"/>
  <c r="K20" i="13"/>
  <c r="J20" i="13"/>
  <c r="I20" i="13"/>
  <c r="M19" i="13"/>
  <c r="L19" i="13"/>
  <c r="K19" i="13"/>
  <c r="J19" i="13"/>
  <c r="I19" i="13"/>
  <c r="M18" i="13"/>
  <c r="L18" i="13"/>
  <c r="K18" i="13"/>
  <c r="J18" i="13"/>
  <c r="I18" i="13"/>
  <c r="M17" i="13"/>
  <c r="L17" i="13"/>
  <c r="K17" i="13"/>
  <c r="J17" i="13"/>
  <c r="I17" i="13"/>
  <c r="M16" i="13"/>
  <c r="L16" i="13"/>
  <c r="K16" i="13"/>
  <c r="J16" i="13"/>
  <c r="I16" i="13"/>
  <c r="M15" i="13"/>
  <c r="L15" i="13"/>
  <c r="K15" i="13"/>
  <c r="J15" i="13"/>
  <c r="I15" i="13"/>
  <c r="M14" i="13"/>
  <c r="L14" i="13"/>
  <c r="K14" i="13"/>
  <c r="J14" i="13"/>
  <c r="I14" i="13"/>
  <c r="M13" i="13"/>
  <c r="L13" i="13"/>
  <c r="K13" i="13"/>
  <c r="J13" i="13"/>
  <c r="I13" i="13"/>
  <c r="M12" i="13"/>
  <c r="L12" i="13"/>
  <c r="K12" i="13"/>
  <c r="J12" i="13"/>
  <c r="I12" i="13"/>
  <c r="M11" i="13"/>
  <c r="L11" i="13"/>
  <c r="K11" i="13"/>
  <c r="J11" i="13"/>
  <c r="I11" i="13"/>
  <c r="M10" i="13"/>
  <c r="L10" i="13"/>
  <c r="K10" i="13"/>
  <c r="J10" i="13"/>
  <c r="I10" i="13"/>
  <c r="M9" i="13"/>
  <c r="L9" i="13"/>
  <c r="K9" i="13"/>
  <c r="J9" i="13"/>
  <c r="I9" i="13"/>
  <c r="M8" i="13"/>
  <c r="L8" i="13"/>
  <c r="K8" i="13"/>
  <c r="J8" i="13"/>
  <c r="I8" i="13"/>
  <c r="M7" i="13"/>
  <c r="L7" i="13"/>
  <c r="K7" i="13"/>
  <c r="J7" i="13"/>
  <c r="I7" i="13"/>
  <c r="M6" i="13"/>
  <c r="L6" i="13"/>
  <c r="K6" i="13"/>
  <c r="J6" i="13"/>
  <c r="I6" i="13"/>
  <c r="G682" i="12"/>
  <c r="F682" i="12"/>
  <c r="E682" i="12"/>
  <c r="D682" i="12"/>
  <c r="E24" i="3" s="1"/>
  <c r="C682" i="12"/>
  <c r="M681" i="12"/>
  <c r="L681" i="12"/>
  <c r="K681" i="12"/>
  <c r="J681" i="12"/>
  <c r="I681" i="12"/>
  <c r="M680" i="12"/>
  <c r="L680" i="12"/>
  <c r="K680" i="12"/>
  <c r="J680" i="12"/>
  <c r="I680" i="12"/>
  <c r="M679" i="12"/>
  <c r="L679" i="12"/>
  <c r="K679" i="12"/>
  <c r="J679" i="12"/>
  <c r="I679" i="12"/>
  <c r="M678" i="12"/>
  <c r="L678" i="12"/>
  <c r="K678" i="12"/>
  <c r="J678" i="12"/>
  <c r="I678" i="12"/>
  <c r="M677" i="12"/>
  <c r="L677" i="12"/>
  <c r="K677" i="12"/>
  <c r="J677" i="12"/>
  <c r="I677" i="12"/>
  <c r="M676" i="12"/>
  <c r="L676" i="12"/>
  <c r="K676" i="12"/>
  <c r="J676" i="12"/>
  <c r="I676" i="12"/>
  <c r="M675" i="12"/>
  <c r="L675" i="12"/>
  <c r="K675" i="12"/>
  <c r="J675" i="12"/>
  <c r="I675" i="12"/>
  <c r="M674" i="12"/>
  <c r="L674" i="12"/>
  <c r="K674" i="12"/>
  <c r="J674" i="12"/>
  <c r="I674" i="12"/>
  <c r="M673" i="12"/>
  <c r="L673" i="12"/>
  <c r="K673" i="12"/>
  <c r="J673" i="12"/>
  <c r="I673" i="12"/>
  <c r="M672" i="12"/>
  <c r="L672" i="12"/>
  <c r="K672" i="12"/>
  <c r="J672" i="12"/>
  <c r="I672" i="12"/>
  <c r="M671" i="12"/>
  <c r="L671" i="12"/>
  <c r="K671" i="12"/>
  <c r="J671" i="12"/>
  <c r="I671" i="12"/>
  <c r="M670" i="12"/>
  <c r="L670" i="12"/>
  <c r="K670" i="12"/>
  <c r="J670" i="12"/>
  <c r="I670" i="12"/>
  <c r="M669" i="12"/>
  <c r="L669" i="12"/>
  <c r="K669" i="12"/>
  <c r="J669" i="12"/>
  <c r="I669" i="12"/>
  <c r="M668" i="12"/>
  <c r="L668" i="12"/>
  <c r="K668" i="12"/>
  <c r="J668" i="12"/>
  <c r="I668" i="12"/>
  <c r="M667" i="12"/>
  <c r="L667" i="12"/>
  <c r="K667" i="12"/>
  <c r="J667" i="12"/>
  <c r="I667" i="12"/>
  <c r="M666" i="12"/>
  <c r="L666" i="12"/>
  <c r="K666" i="12"/>
  <c r="J666" i="12"/>
  <c r="I666" i="12"/>
  <c r="M665" i="12"/>
  <c r="L665" i="12"/>
  <c r="K665" i="12"/>
  <c r="J665" i="12"/>
  <c r="I665" i="12"/>
  <c r="M664" i="12"/>
  <c r="L664" i="12"/>
  <c r="K664" i="12"/>
  <c r="J664" i="12"/>
  <c r="I664" i="12"/>
  <c r="M663" i="12"/>
  <c r="L663" i="12"/>
  <c r="K663" i="12"/>
  <c r="J663" i="12"/>
  <c r="I663" i="12"/>
  <c r="M662" i="12"/>
  <c r="L662" i="12"/>
  <c r="K662" i="12"/>
  <c r="J662" i="12"/>
  <c r="I662" i="12"/>
  <c r="M661" i="12"/>
  <c r="L661" i="12"/>
  <c r="K661" i="12"/>
  <c r="J661" i="12"/>
  <c r="I661" i="12"/>
  <c r="M660" i="12"/>
  <c r="L660" i="12"/>
  <c r="K660" i="12"/>
  <c r="J660" i="12"/>
  <c r="I660" i="12"/>
  <c r="M659" i="12"/>
  <c r="L659" i="12"/>
  <c r="K659" i="12"/>
  <c r="J659" i="12"/>
  <c r="I659" i="12"/>
  <c r="M658" i="12"/>
  <c r="L658" i="12"/>
  <c r="K658" i="12"/>
  <c r="J658" i="12"/>
  <c r="I658" i="12"/>
  <c r="M657" i="12"/>
  <c r="L657" i="12"/>
  <c r="K657" i="12"/>
  <c r="J657" i="12"/>
  <c r="I657" i="12"/>
  <c r="M656" i="12"/>
  <c r="L656" i="12"/>
  <c r="K656" i="12"/>
  <c r="J656" i="12"/>
  <c r="I656" i="12"/>
  <c r="M655" i="12"/>
  <c r="L655" i="12"/>
  <c r="K655" i="12"/>
  <c r="J655" i="12"/>
  <c r="I655" i="12"/>
  <c r="M654" i="12"/>
  <c r="L654" i="12"/>
  <c r="K654" i="12"/>
  <c r="J654" i="12"/>
  <c r="I654" i="12"/>
  <c r="M653" i="12"/>
  <c r="L653" i="12"/>
  <c r="K653" i="12"/>
  <c r="J653" i="12"/>
  <c r="I653" i="12"/>
  <c r="M652" i="12"/>
  <c r="L652" i="12"/>
  <c r="K652" i="12"/>
  <c r="J652" i="12"/>
  <c r="I652" i="12"/>
  <c r="M651" i="12"/>
  <c r="L651" i="12"/>
  <c r="K651" i="12"/>
  <c r="J651" i="12"/>
  <c r="I651" i="12"/>
  <c r="M650" i="12"/>
  <c r="L650" i="12"/>
  <c r="K650" i="12"/>
  <c r="J650" i="12"/>
  <c r="I650" i="12"/>
  <c r="M649" i="12"/>
  <c r="L649" i="12"/>
  <c r="K649" i="12"/>
  <c r="J649" i="12"/>
  <c r="I649" i="12"/>
  <c r="M648" i="12"/>
  <c r="L648" i="12"/>
  <c r="K648" i="12"/>
  <c r="J648" i="12"/>
  <c r="I648" i="12"/>
  <c r="M647" i="12"/>
  <c r="L647" i="12"/>
  <c r="K647" i="12"/>
  <c r="J647" i="12"/>
  <c r="I647" i="12"/>
  <c r="M646" i="12"/>
  <c r="L646" i="12"/>
  <c r="K646" i="12"/>
  <c r="J646" i="12"/>
  <c r="I646" i="12"/>
  <c r="M645" i="12"/>
  <c r="L645" i="12"/>
  <c r="K645" i="12"/>
  <c r="J645" i="12"/>
  <c r="I645" i="12"/>
  <c r="M644" i="12"/>
  <c r="L644" i="12"/>
  <c r="K644" i="12"/>
  <c r="J644" i="12"/>
  <c r="I644" i="12"/>
  <c r="M643" i="12"/>
  <c r="L643" i="12"/>
  <c r="K643" i="12"/>
  <c r="J643" i="12"/>
  <c r="I643" i="12"/>
  <c r="M642" i="12"/>
  <c r="L642" i="12"/>
  <c r="K642" i="12"/>
  <c r="J642" i="12"/>
  <c r="I642" i="12"/>
  <c r="M641" i="12"/>
  <c r="L641" i="12"/>
  <c r="K641" i="12"/>
  <c r="J641" i="12"/>
  <c r="I641" i="12"/>
  <c r="M640" i="12"/>
  <c r="L640" i="12"/>
  <c r="K640" i="12"/>
  <c r="J640" i="12"/>
  <c r="I640" i="12"/>
  <c r="M639" i="12"/>
  <c r="L639" i="12"/>
  <c r="K639" i="12"/>
  <c r="J639" i="12"/>
  <c r="I639" i="12"/>
  <c r="M638" i="12"/>
  <c r="L638" i="12"/>
  <c r="K638" i="12"/>
  <c r="J638" i="12"/>
  <c r="I638" i="12"/>
  <c r="M637" i="12"/>
  <c r="L637" i="12"/>
  <c r="K637" i="12"/>
  <c r="J637" i="12"/>
  <c r="I637" i="12"/>
  <c r="M636" i="12"/>
  <c r="L636" i="12"/>
  <c r="K636" i="12"/>
  <c r="J636" i="12"/>
  <c r="I636" i="12"/>
  <c r="M635" i="12"/>
  <c r="L635" i="12"/>
  <c r="K635" i="12"/>
  <c r="J635" i="12"/>
  <c r="I635" i="12"/>
  <c r="M634" i="12"/>
  <c r="L634" i="12"/>
  <c r="K634" i="12"/>
  <c r="J634" i="12"/>
  <c r="I634" i="12"/>
  <c r="M633" i="12"/>
  <c r="L633" i="12"/>
  <c r="K633" i="12"/>
  <c r="J633" i="12"/>
  <c r="I633" i="12"/>
  <c r="M632" i="12"/>
  <c r="L632" i="12"/>
  <c r="K632" i="12"/>
  <c r="J632" i="12"/>
  <c r="I632" i="12"/>
  <c r="M631" i="12"/>
  <c r="L631" i="12"/>
  <c r="K631" i="12"/>
  <c r="J631" i="12"/>
  <c r="I631" i="12"/>
  <c r="M630" i="12"/>
  <c r="L630" i="12"/>
  <c r="K630" i="12"/>
  <c r="J630" i="12"/>
  <c r="I630" i="12"/>
  <c r="M629" i="12"/>
  <c r="L629" i="12"/>
  <c r="K629" i="12"/>
  <c r="J629" i="12"/>
  <c r="I629" i="12"/>
  <c r="M628" i="12"/>
  <c r="L628" i="12"/>
  <c r="K628" i="12"/>
  <c r="J628" i="12"/>
  <c r="I628" i="12"/>
  <c r="M627" i="12"/>
  <c r="L627" i="12"/>
  <c r="K627" i="12"/>
  <c r="J627" i="12"/>
  <c r="I627" i="12"/>
  <c r="M626" i="12"/>
  <c r="L626" i="12"/>
  <c r="K626" i="12"/>
  <c r="J626" i="12"/>
  <c r="I626" i="12"/>
  <c r="M625" i="12"/>
  <c r="L625" i="12"/>
  <c r="K625" i="12"/>
  <c r="J625" i="12"/>
  <c r="I625" i="12"/>
  <c r="M624" i="12"/>
  <c r="L624" i="12"/>
  <c r="K624" i="12"/>
  <c r="J624" i="12"/>
  <c r="I624" i="12"/>
  <c r="M623" i="12"/>
  <c r="L623" i="12"/>
  <c r="K623" i="12"/>
  <c r="J623" i="12"/>
  <c r="I623" i="12"/>
  <c r="M622" i="12"/>
  <c r="L622" i="12"/>
  <c r="K622" i="12"/>
  <c r="J622" i="12"/>
  <c r="I622" i="12"/>
  <c r="M621" i="12"/>
  <c r="L621" i="12"/>
  <c r="K621" i="12"/>
  <c r="J621" i="12"/>
  <c r="I621" i="12"/>
  <c r="M620" i="12"/>
  <c r="L620" i="12"/>
  <c r="K620" i="12"/>
  <c r="J620" i="12"/>
  <c r="I620" i="12"/>
  <c r="M619" i="12"/>
  <c r="L619" i="12"/>
  <c r="K619" i="12"/>
  <c r="J619" i="12"/>
  <c r="I619" i="12"/>
  <c r="M618" i="12"/>
  <c r="L618" i="12"/>
  <c r="K618" i="12"/>
  <c r="J618" i="12"/>
  <c r="I618" i="12"/>
  <c r="M617" i="12"/>
  <c r="L617" i="12"/>
  <c r="K617" i="12"/>
  <c r="J617" i="12"/>
  <c r="I617" i="12"/>
  <c r="M616" i="12"/>
  <c r="L616" i="12"/>
  <c r="K616" i="12"/>
  <c r="J616" i="12"/>
  <c r="I616" i="12"/>
  <c r="M615" i="12"/>
  <c r="L615" i="12"/>
  <c r="K615" i="12"/>
  <c r="J615" i="12"/>
  <c r="I615" i="12"/>
  <c r="M614" i="12"/>
  <c r="L614" i="12"/>
  <c r="K614" i="12"/>
  <c r="J614" i="12"/>
  <c r="I614" i="12"/>
  <c r="M613" i="12"/>
  <c r="L613" i="12"/>
  <c r="K613" i="12"/>
  <c r="J613" i="12"/>
  <c r="I613" i="12"/>
  <c r="M612" i="12"/>
  <c r="L612" i="12"/>
  <c r="K612" i="12"/>
  <c r="J612" i="12"/>
  <c r="I612" i="12"/>
  <c r="M611" i="12"/>
  <c r="L611" i="12"/>
  <c r="K611" i="12"/>
  <c r="J611" i="12"/>
  <c r="I611" i="12"/>
  <c r="M610" i="12"/>
  <c r="L610" i="12"/>
  <c r="K610" i="12"/>
  <c r="J610" i="12"/>
  <c r="I610" i="12"/>
  <c r="M609" i="12"/>
  <c r="L609" i="12"/>
  <c r="K609" i="12"/>
  <c r="J609" i="12"/>
  <c r="I609" i="12"/>
  <c r="M608" i="12"/>
  <c r="L608" i="12"/>
  <c r="K608" i="12"/>
  <c r="J608" i="12"/>
  <c r="I608" i="12"/>
  <c r="M607" i="12"/>
  <c r="L607" i="12"/>
  <c r="K607" i="12"/>
  <c r="J607" i="12"/>
  <c r="I607" i="12"/>
  <c r="M606" i="12"/>
  <c r="L606" i="12"/>
  <c r="K606" i="12"/>
  <c r="J606" i="12"/>
  <c r="I606" i="12"/>
  <c r="M605" i="12"/>
  <c r="L605" i="12"/>
  <c r="K605" i="12"/>
  <c r="J605" i="12"/>
  <c r="I605" i="12"/>
  <c r="M604" i="12"/>
  <c r="L604" i="12"/>
  <c r="K604" i="12"/>
  <c r="J604" i="12"/>
  <c r="I604" i="12"/>
  <c r="M603" i="12"/>
  <c r="L603" i="12"/>
  <c r="K603" i="12"/>
  <c r="J603" i="12"/>
  <c r="I603" i="12"/>
  <c r="M602" i="12"/>
  <c r="L602" i="12"/>
  <c r="K602" i="12"/>
  <c r="J602" i="12"/>
  <c r="I602" i="12"/>
  <c r="M601" i="12"/>
  <c r="L601" i="12"/>
  <c r="K601" i="12"/>
  <c r="J601" i="12"/>
  <c r="I601" i="12"/>
  <c r="M600" i="12"/>
  <c r="L600" i="12"/>
  <c r="K600" i="12"/>
  <c r="J600" i="12"/>
  <c r="I600" i="12"/>
  <c r="M599" i="12"/>
  <c r="L599" i="12"/>
  <c r="K599" i="12"/>
  <c r="J599" i="12"/>
  <c r="I599" i="12"/>
  <c r="M598" i="12"/>
  <c r="L598" i="12"/>
  <c r="K598" i="12"/>
  <c r="J598" i="12"/>
  <c r="I598" i="12"/>
  <c r="M597" i="12"/>
  <c r="L597" i="12"/>
  <c r="K597" i="12"/>
  <c r="J597" i="12"/>
  <c r="I597" i="12"/>
  <c r="M596" i="12"/>
  <c r="L596" i="12"/>
  <c r="K596" i="12"/>
  <c r="J596" i="12"/>
  <c r="I596" i="12"/>
  <c r="M595" i="12"/>
  <c r="L595" i="12"/>
  <c r="K595" i="12"/>
  <c r="J595" i="12"/>
  <c r="I595" i="12"/>
  <c r="M594" i="12"/>
  <c r="L594" i="12"/>
  <c r="K594" i="12"/>
  <c r="J594" i="12"/>
  <c r="I594" i="12"/>
  <c r="M593" i="12"/>
  <c r="L593" i="12"/>
  <c r="K593" i="12"/>
  <c r="J593" i="12"/>
  <c r="I593" i="12"/>
  <c r="M592" i="12"/>
  <c r="L592" i="12"/>
  <c r="K592" i="12"/>
  <c r="J592" i="12"/>
  <c r="I592" i="12"/>
  <c r="M591" i="12"/>
  <c r="L591" i="12"/>
  <c r="K591" i="12"/>
  <c r="J591" i="12"/>
  <c r="I591" i="12"/>
  <c r="M590" i="12"/>
  <c r="L590" i="12"/>
  <c r="K590" i="12"/>
  <c r="J590" i="12"/>
  <c r="I590" i="12"/>
  <c r="M589" i="12"/>
  <c r="L589" i="12"/>
  <c r="K589" i="12"/>
  <c r="J589" i="12"/>
  <c r="I589" i="12"/>
  <c r="M588" i="12"/>
  <c r="L588" i="12"/>
  <c r="K588" i="12"/>
  <c r="J588" i="12"/>
  <c r="I588" i="12"/>
  <c r="M587" i="12"/>
  <c r="L587" i="12"/>
  <c r="K587" i="12"/>
  <c r="J587" i="12"/>
  <c r="I587" i="12"/>
  <c r="M586" i="12"/>
  <c r="L586" i="12"/>
  <c r="K586" i="12"/>
  <c r="J586" i="12"/>
  <c r="I586" i="12"/>
  <c r="M585" i="12"/>
  <c r="L585" i="12"/>
  <c r="K585" i="12"/>
  <c r="J585" i="12"/>
  <c r="I585" i="12"/>
  <c r="M584" i="12"/>
  <c r="L584" i="12"/>
  <c r="K584" i="12"/>
  <c r="J584" i="12"/>
  <c r="I584" i="12"/>
  <c r="M583" i="12"/>
  <c r="L583" i="12"/>
  <c r="K583" i="12"/>
  <c r="J583" i="12"/>
  <c r="I583" i="12"/>
  <c r="M582" i="12"/>
  <c r="L582" i="12"/>
  <c r="K582" i="12"/>
  <c r="J582" i="12"/>
  <c r="I582" i="12"/>
  <c r="M581" i="12"/>
  <c r="L581" i="12"/>
  <c r="K581" i="12"/>
  <c r="J581" i="12"/>
  <c r="I581" i="12"/>
  <c r="M580" i="12"/>
  <c r="L580" i="12"/>
  <c r="K580" i="12"/>
  <c r="J580" i="12"/>
  <c r="I580" i="12"/>
  <c r="M579" i="12"/>
  <c r="L579" i="12"/>
  <c r="K579" i="12"/>
  <c r="J579" i="12"/>
  <c r="I579" i="12"/>
  <c r="M578" i="12"/>
  <c r="L578" i="12"/>
  <c r="K578" i="12"/>
  <c r="J578" i="12"/>
  <c r="I578" i="12"/>
  <c r="M577" i="12"/>
  <c r="L577" i="12"/>
  <c r="K577" i="12"/>
  <c r="J577" i="12"/>
  <c r="I577" i="12"/>
  <c r="M576" i="12"/>
  <c r="L576" i="12"/>
  <c r="K576" i="12"/>
  <c r="J576" i="12"/>
  <c r="I576" i="12"/>
  <c r="M575" i="12"/>
  <c r="L575" i="12"/>
  <c r="K575" i="12"/>
  <c r="J575" i="12"/>
  <c r="I575" i="12"/>
  <c r="M574" i="12"/>
  <c r="L574" i="12"/>
  <c r="K574" i="12"/>
  <c r="J574" i="12"/>
  <c r="I574" i="12"/>
  <c r="M573" i="12"/>
  <c r="L573" i="12"/>
  <c r="K573" i="12"/>
  <c r="J573" i="12"/>
  <c r="I573" i="12"/>
  <c r="M572" i="12"/>
  <c r="L572" i="12"/>
  <c r="K572" i="12"/>
  <c r="J572" i="12"/>
  <c r="I572" i="12"/>
  <c r="M571" i="12"/>
  <c r="L571" i="12"/>
  <c r="K571" i="12"/>
  <c r="J571" i="12"/>
  <c r="I571" i="12"/>
  <c r="M570" i="12"/>
  <c r="L570" i="12"/>
  <c r="K570" i="12"/>
  <c r="J570" i="12"/>
  <c r="I570" i="12"/>
  <c r="M569" i="12"/>
  <c r="L569" i="12"/>
  <c r="K569" i="12"/>
  <c r="J569" i="12"/>
  <c r="I569" i="12"/>
  <c r="M568" i="12"/>
  <c r="L568" i="12"/>
  <c r="K568" i="12"/>
  <c r="J568" i="12"/>
  <c r="I568" i="12"/>
  <c r="M567" i="12"/>
  <c r="L567" i="12"/>
  <c r="K567" i="12"/>
  <c r="J567" i="12"/>
  <c r="I567" i="12"/>
  <c r="M566" i="12"/>
  <c r="L566" i="12"/>
  <c r="K566" i="12"/>
  <c r="J566" i="12"/>
  <c r="I566" i="12"/>
  <c r="M565" i="12"/>
  <c r="L565" i="12"/>
  <c r="K565" i="12"/>
  <c r="J565" i="12"/>
  <c r="I565" i="12"/>
  <c r="M564" i="12"/>
  <c r="L564" i="12"/>
  <c r="K564" i="12"/>
  <c r="J564" i="12"/>
  <c r="I564" i="12"/>
  <c r="M563" i="12"/>
  <c r="L563" i="12"/>
  <c r="K563" i="12"/>
  <c r="J563" i="12"/>
  <c r="I563" i="12"/>
  <c r="M562" i="12"/>
  <c r="L562" i="12"/>
  <c r="K562" i="12"/>
  <c r="J562" i="12"/>
  <c r="I562" i="12"/>
  <c r="M561" i="12"/>
  <c r="L561" i="12"/>
  <c r="K561" i="12"/>
  <c r="J561" i="12"/>
  <c r="I561" i="12"/>
  <c r="M560" i="12"/>
  <c r="L560" i="12"/>
  <c r="K560" i="12"/>
  <c r="J560" i="12"/>
  <c r="I560" i="12"/>
  <c r="M559" i="12"/>
  <c r="L559" i="12"/>
  <c r="K559" i="12"/>
  <c r="J559" i="12"/>
  <c r="I559" i="12"/>
  <c r="M558" i="12"/>
  <c r="L558" i="12"/>
  <c r="K558" i="12"/>
  <c r="J558" i="12"/>
  <c r="I558" i="12"/>
  <c r="M557" i="12"/>
  <c r="L557" i="12"/>
  <c r="K557" i="12"/>
  <c r="J557" i="12"/>
  <c r="I557" i="12"/>
  <c r="M556" i="12"/>
  <c r="L556" i="12"/>
  <c r="K556" i="12"/>
  <c r="J556" i="12"/>
  <c r="I556" i="12"/>
  <c r="M555" i="12"/>
  <c r="L555" i="12"/>
  <c r="K555" i="12"/>
  <c r="J555" i="12"/>
  <c r="I555" i="12"/>
  <c r="M554" i="12"/>
  <c r="L554" i="12"/>
  <c r="K554" i="12"/>
  <c r="J554" i="12"/>
  <c r="I554" i="12"/>
  <c r="M553" i="12"/>
  <c r="L553" i="12"/>
  <c r="K553" i="12"/>
  <c r="J553" i="12"/>
  <c r="I553" i="12"/>
  <c r="M552" i="12"/>
  <c r="L552" i="12"/>
  <c r="K552" i="12"/>
  <c r="J552" i="12"/>
  <c r="I552" i="12"/>
  <c r="M551" i="12"/>
  <c r="L551" i="12"/>
  <c r="K551" i="12"/>
  <c r="J551" i="12"/>
  <c r="I551" i="12"/>
  <c r="M550" i="12"/>
  <c r="L550" i="12"/>
  <c r="K550" i="12"/>
  <c r="J550" i="12"/>
  <c r="I550" i="12"/>
  <c r="M549" i="12"/>
  <c r="L549" i="12"/>
  <c r="K549" i="12"/>
  <c r="J549" i="12"/>
  <c r="I549" i="12"/>
  <c r="M548" i="12"/>
  <c r="L548" i="12"/>
  <c r="K548" i="12"/>
  <c r="J548" i="12"/>
  <c r="I548" i="12"/>
  <c r="M547" i="12"/>
  <c r="L547" i="12"/>
  <c r="K547" i="12"/>
  <c r="J547" i="12"/>
  <c r="I547" i="12"/>
  <c r="M546" i="12"/>
  <c r="L546" i="12"/>
  <c r="K546" i="12"/>
  <c r="J546" i="12"/>
  <c r="I546" i="12"/>
  <c r="M545" i="12"/>
  <c r="L545" i="12"/>
  <c r="K545" i="12"/>
  <c r="J545" i="12"/>
  <c r="I545" i="12"/>
  <c r="M544" i="12"/>
  <c r="L544" i="12"/>
  <c r="K544" i="12"/>
  <c r="J544" i="12"/>
  <c r="I544" i="12"/>
  <c r="M543" i="12"/>
  <c r="L543" i="12"/>
  <c r="K543" i="12"/>
  <c r="J543" i="12"/>
  <c r="I543" i="12"/>
  <c r="M542" i="12"/>
  <c r="L542" i="12"/>
  <c r="K542" i="12"/>
  <c r="J542" i="12"/>
  <c r="I542" i="12"/>
  <c r="M541" i="12"/>
  <c r="L541" i="12"/>
  <c r="K541" i="12"/>
  <c r="J541" i="12"/>
  <c r="I541" i="12"/>
  <c r="M540" i="12"/>
  <c r="L540" i="12"/>
  <c r="K540" i="12"/>
  <c r="J540" i="12"/>
  <c r="I540" i="12"/>
  <c r="M539" i="12"/>
  <c r="L539" i="12"/>
  <c r="K539" i="12"/>
  <c r="J539" i="12"/>
  <c r="I539" i="12"/>
  <c r="M538" i="12"/>
  <c r="L538" i="12"/>
  <c r="K538" i="12"/>
  <c r="J538" i="12"/>
  <c r="I538" i="12"/>
  <c r="M537" i="12"/>
  <c r="L537" i="12"/>
  <c r="K537" i="12"/>
  <c r="J537" i="12"/>
  <c r="I537" i="12"/>
  <c r="M536" i="12"/>
  <c r="L536" i="12"/>
  <c r="K536" i="12"/>
  <c r="J536" i="12"/>
  <c r="I536" i="12"/>
  <c r="M535" i="12"/>
  <c r="L535" i="12"/>
  <c r="K535" i="12"/>
  <c r="J535" i="12"/>
  <c r="I535" i="12"/>
  <c r="M534" i="12"/>
  <c r="L534" i="12"/>
  <c r="K534" i="12"/>
  <c r="J534" i="12"/>
  <c r="I534" i="12"/>
  <c r="M533" i="12"/>
  <c r="L533" i="12"/>
  <c r="K533" i="12"/>
  <c r="J533" i="12"/>
  <c r="I533" i="12"/>
  <c r="M532" i="12"/>
  <c r="L532" i="12"/>
  <c r="K532" i="12"/>
  <c r="J532" i="12"/>
  <c r="I532" i="12"/>
  <c r="M531" i="12"/>
  <c r="L531" i="12"/>
  <c r="K531" i="12"/>
  <c r="J531" i="12"/>
  <c r="I531" i="12"/>
  <c r="M530" i="12"/>
  <c r="L530" i="12"/>
  <c r="K530" i="12"/>
  <c r="J530" i="12"/>
  <c r="I530" i="12"/>
  <c r="M529" i="12"/>
  <c r="L529" i="12"/>
  <c r="K529" i="12"/>
  <c r="J529" i="12"/>
  <c r="I529" i="12"/>
  <c r="M528" i="12"/>
  <c r="L528" i="12"/>
  <c r="K528" i="12"/>
  <c r="J528" i="12"/>
  <c r="I528" i="12"/>
  <c r="M527" i="12"/>
  <c r="L527" i="12"/>
  <c r="K527" i="12"/>
  <c r="J527" i="12"/>
  <c r="I527" i="12"/>
  <c r="M526" i="12"/>
  <c r="L526" i="12"/>
  <c r="K526" i="12"/>
  <c r="J526" i="12"/>
  <c r="I526" i="12"/>
  <c r="M525" i="12"/>
  <c r="L525" i="12"/>
  <c r="K525" i="12"/>
  <c r="J525" i="12"/>
  <c r="I525" i="12"/>
  <c r="M524" i="12"/>
  <c r="L524" i="12"/>
  <c r="K524" i="12"/>
  <c r="J524" i="12"/>
  <c r="I524" i="12"/>
  <c r="M523" i="12"/>
  <c r="L523" i="12"/>
  <c r="K523" i="12"/>
  <c r="J523" i="12"/>
  <c r="I523" i="12"/>
  <c r="M522" i="12"/>
  <c r="L522" i="12"/>
  <c r="K522" i="12"/>
  <c r="J522" i="12"/>
  <c r="I522" i="12"/>
  <c r="M521" i="12"/>
  <c r="L521" i="12"/>
  <c r="K521" i="12"/>
  <c r="J521" i="12"/>
  <c r="I521" i="12"/>
  <c r="M520" i="12"/>
  <c r="L520" i="12"/>
  <c r="K520" i="12"/>
  <c r="J520" i="12"/>
  <c r="I520" i="12"/>
  <c r="M519" i="12"/>
  <c r="L519" i="12"/>
  <c r="K519" i="12"/>
  <c r="J519" i="12"/>
  <c r="I519" i="12"/>
  <c r="M518" i="12"/>
  <c r="L518" i="12"/>
  <c r="K518" i="12"/>
  <c r="J518" i="12"/>
  <c r="I518" i="12"/>
  <c r="M517" i="12"/>
  <c r="L517" i="12"/>
  <c r="K517" i="12"/>
  <c r="J517" i="12"/>
  <c r="I517" i="12"/>
  <c r="M516" i="12"/>
  <c r="L516" i="12"/>
  <c r="K516" i="12"/>
  <c r="J516" i="12"/>
  <c r="I516" i="12"/>
  <c r="M515" i="12"/>
  <c r="L515" i="12"/>
  <c r="K515" i="12"/>
  <c r="J515" i="12"/>
  <c r="I515" i="12"/>
  <c r="M514" i="12"/>
  <c r="L514" i="12"/>
  <c r="K514" i="12"/>
  <c r="J514" i="12"/>
  <c r="I514" i="12"/>
  <c r="M513" i="12"/>
  <c r="L513" i="12"/>
  <c r="K513" i="12"/>
  <c r="J513" i="12"/>
  <c r="I513" i="12"/>
  <c r="M512" i="12"/>
  <c r="L512" i="12"/>
  <c r="K512" i="12"/>
  <c r="J512" i="12"/>
  <c r="I512" i="12"/>
  <c r="M511" i="12"/>
  <c r="L511" i="12"/>
  <c r="K511" i="12"/>
  <c r="J511" i="12"/>
  <c r="I511" i="12"/>
  <c r="M510" i="12"/>
  <c r="L510" i="12"/>
  <c r="K510" i="12"/>
  <c r="J510" i="12"/>
  <c r="I510" i="12"/>
  <c r="M509" i="12"/>
  <c r="L509" i="12"/>
  <c r="K509" i="12"/>
  <c r="J509" i="12"/>
  <c r="I509" i="12"/>
  <c r="M508" i="12"/>
  <c r="L508" i="12"/>
  <c r="K508" i="12"/>
  <c r="J508" i="12"/>
  <c r="I508" i="12"/>
  <c r="M507" i="12"/>
  <c r="L507" i="12"/>
  <c r="K507" i="12"/>
  <c r="J507" i="12"/>
  <c r="I507" i="12"/>
  <c r="M506" i="12"/>
  <c r="L506" i="12"/>
  <c r="K506" i="12"/>
  <c r="J506" i="12"/>
  <c r="I506" i="12"/>
  <c r="M505" i="12"/>
  <c r="L505" i="12"/>
  <c r="K505" i="12"/>
  <c r="J505" i="12"/>
  <c r="I505" i="12"/>
  <c r="M504" i="12"/>
  <c r="L504" i="12"/>
  <c r="K504" i="12"/>
  <c r="J504" i="12"/>
  <c r="I504" i="12"/>
  <c r="M503" i="12"/>
  <c r="L503" i="12"/>
  <c r="K503" i="12"/>
  <c r="J503" i="12"/>
  <c r="I503" i="12"/>
  <c r="M502" i="12"/>
  <c r="L502" i="12"/>
  <c r="K502" i="12"/>
  <c r="J502" i="12"/>
  <c r="I502" i="12"/>
  <c r="M501" i="12"/>
  <c r="L501" i="12"/>
  <c r="K501" i="12"/>
  <c r="J501" i="12"/>
  <c r="I501" i="12"/>
  <c r="M500" i="12"/>
  <c r="L500" i="12"/>
  <c r="K500" i="12"/>
  <c r="J500" i="12"/>
  <c r="I500" i="12"/>
  <c r="M499" i="12"/>
  <c r="L499" i="12"/>
  <c r="K499" i="12"/>
  <c r="J499" i="12"/>
  <c r="I499" i="12"/>
  <c r="M498" i="12"/>
  <c r="L498" i="12"/>
  <c r="K498" i="12"/>
  <c r="J498" i="12"/>
  <c r="I498" i="12"/>
  <c r="M497" i="12"/>
  <c r="L497" i="12"/>
  <c r="K497" i="12"/>
  <c r="J497" i="12"/>
  <c r="I497" i="12"/>
  <c r="M496" i="12"/>
  <c r="L496" i="12"/>
  <c r="K496" i="12"/>
  <c r="J496" i="12"/>
  <c r="I496" i="12"/>
  <c r="M495" i="12"/>
  <c r="L495" i="12"/>
  <c r="K495" i="12"/>
  <c r="J495" i="12"/>
  <c r="I495" i="12"/>
  <c r="M494" i="12"/>
  <c r="L494" i="12"/>
  <c r="K494" i="12"/>
  <c r="J494" i="12"/>
  <c r="I494" i="12"/>
  <c r="M493" i="12"/>
  <c r="L493" i="12"/>
  <c r="K493" i="12"/>
  <c r="J493" i="12"/>
  <c r="I493" i="12"/>
  <c r="M492" i="12"/>
  <c r="L492" i="12"/>
  <c r="K492" i="12"/>
  <c r="J492" i="12"/>
  <c r="I492" i="12"/>
  <c r="M491" i="12"/>
  <c r="L491" i="12"/>
  <c r="K491" i="12"/>
  <c r="J491" i="12"/>
  <c r="I491" i="12"/>
  <c r="M490" i="12"/>
  <c r="L490" i="12"/>
  <c r="K490" i="12"/>
  <c r="J490" i="12"/>
  <c r="I490" i="12"/>
  <c r="M489" i="12"/>
  <c r="L489" i="12"/>
  <c r="K489" i="12"/>
  <c r="J489" i="12"/>
  <c r="I489" i="12"/>
  <c r="M488" i="12"/>
  <c r="L488" i="12"/>
  <c r="K488" i="12"/>
  <c r="J488" i="12"/>
  <c r="I488" i="12"/>
  <c r="M487" i="12"/>
  <c r="L487" i="12"/>
  <c r="K487" i="12"/>
  <c r="J487" i="12"/>
  <c r="I487" i="12"/>
  <c r="M486" i="12"/>
  <c r="L486" i="12"/>
  <c r="K486" i="12"/>
  <c r="J486" i="12"/>
  <c r="I486" i="12"/>
  <c r="M485" i="12"/>
  <c r="L485" i="12"/>
  <c r="K485" i="12"/>
  <c r="J485" i="12"/>
  <c r="I485" i="12"/>
  <c r="M484" i="12"/>
  <c r="L484" i="12"/>
  <c r="K484" i="12"/>
  <c r="J484" i="12"/>
  <c r="I484" i="12"/>
  <c r="M483" i="12"/>
  <c r="L483" i="12"/>
  <c r="K483" i="12"/>
  <c r="J483" i="12"/>
  <c r="I483" i="12"/>
  <c r="M482" i="12"/>
  <c r="L482" i="12"/>
  <c r="K482" i="12"/>
  <c r="J482" i="12"/>
  <c r="I482" i="12"/>
  <c r="M481" i="12"/>
  <c r="L481" i="12"/>
  <c r="K481" i="12"/>
  <c r="J481" i="12"/>
  <c r="I481" i="12"/>
  <c r="M480" i="12"/>
  <c r="L480" i="12"/>
  <c r="K480" i="12"/>
  <c r="J480" i="12"/>
  <c r="I480" i="12"/>
  <c r="M479" i="12"/>
  <c r="L479" i="12"/>
  <c r="K479" i="12"/>
  <c r="J479" i="12"/>
  <c r="I479" i="12"/>
  <c r="M478" i="12"/>
  <c r="L478" i="12"/>
  <c r="K478" i="12"/>
  <c r="J478" i="12"/>
  <c r="I478" i="12"/>
  <c r="M477" i="12"/>
  <c r="L477" i="12"/>
  <c r="K477" i="12"/>
  <c r="J477" i="12"/>
  <c r="I477" i="12"/>
  <c r="M476" i="12"/>
  <c r="L476" i="12"/>
  <c r="K476" i="12"/>
  <c r="J476" i="12"/>
  <c r="I476" i="12"/>
  <c r="M475" i="12"/>
  <c r="L475" i="12"/>
  <c r="K475" i="12"/>
  <c r="J475" i="12"/>
  <c r="I475" i="12"/>
  <c r="M474" i="12"/>
  <c r="L474" i="12"/>
  <c r="K474" i="12"/>
  <c r="J474" i="12"/>
  <c r="I474" i="12"/>
  <c r="M473" i="12"/>
  <c r="L473" i="12"/>
  <c r="K473" i="12"/>
  <c r="J473" i="12"/>
  <c r="I473" i="12"/>
  <c r="M472" i="12"/>
  <c r="L472" i="12"/>
  <c r="K472" i="12"/>
  <c r="J472" i="12"/>
  <c r="I472" i="12"/>
  <c r="M471" i="12"/>
  <c r="L471" i="12"/>
  <c r="K471" i="12"/>
  <c r="J471" i="12"/>
  <c r="I471" i="12"/>
  <c r="M470" i="12"/>
  <c r="L470" i="12"/>
  <c r="K470" i="12"/>
  <c r="J470" i="12"/>
  <c r="I470" i="12"/>
  <c r="M469" i="12"/>
  <c r="L469" i="12"/>
  <c r="K469" i="12"/>
  <c r="J469" i="12"/>
  <c r="I469" i="12"/>
  <c r="M468" i="12"/>
  <c r="L468" i="12"/>
  <c r="K468" i="12"/>
  <c r="J468" i="12"/>
  <c r="I468" i="12"/>
  <c r="M467" i="12"/>
  <c r="L467" i="12"/>
  <c r="K467" i="12"/>
  <c r="J467" i="12"/>
  <c r="I467" i="12"/>
  <c r="M466" i="12"/>
  <c r="L466" i="12"/>
  <c r="K466" i="12"/>
  <c r="J466" i="12"/>
  <c r="I466" i="12"/>
  <c r="M465" i="12"/>
  <c r="L465" i="12"/>
  <c r="K465" i="12"/>
  <c r="J465" i="12"/>
  <c r="I465" i="12"/>
  <c r="M464" i="12"/>
  <c r="L464" i="12"/>
  <c r="K464" i="12"/>
  <c r="J464" i="12"/>
  <c r="I464" i="12"/>
  <c r="M463" i="12"/>
  <c r="L463" i="12"/>
  <c r="K463" i="12"/>
  <c r="J463" i="12"/>
  <c r="I463" i="12"/>
  <c r="M462" i="12"/>
  <c r="L462" i="12"/>
  <c r="K462" i="12"/>
  <c r="J462" i="12"/>
  <c r="I462" i="12"/>
  <c r="M461" i="12"/>
  <c r="L461" i="12"/>
  <c r="K461" i="12"/>
  <c r="J461" i="12"/>
  <c r="I461" i="12"/>
  <c r="M460" i="12"/>
  <c r="L460" i="12"/>
  <c r="K460" i="12"/>
  <c r="J460" i="12"/>
  <c r="I460" i="12"/>
  <c r="M459" i="12"/>
  <c r="L459" i="12"/>
  <c r="K459" i="12"/>
  <c r="J459" i="12"/>
  <c r="I459" i="12"/>
  <c r="M458" i="12"/>
  <c r="L458" i="12"/>
  <c r="K458" i="12"/>
  <c r="J458" i="12"/>
  <c r="I458" i="12"/>
  <c r="M457" i="12"/>
  <c r="L457" i="12"/>
  <c r="K457" i="12"/>
  <c r="J457" i="12"/>
  <c r="I457" i="12"/>
  <c r="M456" i="12"/>
  <c r="L456" i="12"/>
  <c r="K456" i="12"/>
  <c r="J456" i="12"/>
  <c r="I456" i="12"/>
  <c r="M455" i="12"/>
  <c r="L455" i="12"/>
  <c r="K455" i="12"/>
  <c r="J455" i="12"/>
  <c r="I455" i="12"/>
  <c r="M454" i="12"/>
  <c r="L454" i="12"/>
  <c r="K454" i="12"/>
  <c r="J454" i="12"/>
  <c r="I454" i="12"/>
  <c r="M453" i="12"/>
  <c r="L453" i="12"/>
  <c r="K453" i="12"/>
  <c r="J453" i="12"/>
  <c r="I453" i="12"/>
  <c r="M452" i="12"/>
  <c r="L452" i="12"/>
  <c r="K452" i="12"/>
  <c r="J452" i="12"/>
  <c r="I452" i="12"/>
  <c r="M451" i="12"/>
  <c r="L451" i="12"/>
  <c r="K451" i="12"/>
  <c r="J451" i="12"/>
  <c r="I451" i="12"/>
  <c r="M450" i="12"/>
  <c r="L450" i="12"/>
  <c r="K450" i="12"/>
  <c r="J450" i="12"/>
  <c r="I450" i="12"/>
  <c r="M449" i="12"/>
  <c r="L449" i="12"/>
  <c r="K449" i="12"/>
  <c r="J449" i="12"/>
  <c r="I449" i="12"/>
  <c r="M448" i="12"/>
  <c r="L448" i="12"/>
  <c r="K448" i="12"/>
  <c r="J448" i="12"/>
  <c r="I448" i="12"/>
  <c r="M447" i="12"/>
  <c r="L447" i="12"/>
  <c r="K447" i="12"/>
  <c r="J447" i="12"/>
  <c r="I447" i="12"/>
  <c r="M446" i="12"/>
  <c r="L446" i="12"/>
  <c r="K446" i="12"/>
  <c r="J446" i="12"/>
  <c r="I446" i="12"/>
  <c r="M445" i="12"/>
  <c r="L445" i="12"/>
  <c r="K445" i="12"/>
  <c r="J445" i="12"/>
  <c r="I445" i="12"/>
  <c r="M444" i="12"/>
  <c r="L444" i="12"/>
  <c r="K444" i="12"/>
  <c r="J444" i="12"/>
  <c r="I444" i="12"/>
  <c r="M443" i="12"/>
  <c r="L443" i="12"/>
  <c r="K443" i="12"/>
  <c r="J443" i="12"/>
  <c r="I443" i="12"/>
  <c r="M442" i="12"/>
  <c r="L442" i="12"/>
  <c r="K442" i="12"/>
  <c r="J442" i="12"/>
  <c r="I442" i="12"/>
  <c r="M441" i="12"/>
  <c r="L441" i="12"/>
  <c r="K441" i="12"/>
  <c r="J441" i="12"/>
  <c r="I441" i="12"/>
  <c r="M440" i="12"/>
  <c r="L440" i="12"/>
  <c r="K440" i="12"/>
  <c r="J440" i="12"/>
  <c r="I440" i="12"/>
  <c r="M439" i="12"/>
  <c r="L439" i="12"/>
  <c r="K439" i="12"/>
  <c r="J439" i="12"/>
  <c r="I439" i="12"/>
  <c r="M438" i="12"/>
  <c r="L438" i="12"/>
  <c r="K438" i="12"/>
  <c r="J438" i="12"/>
  <c r="I438" i="12"/>
  <c r="M437" i="12"/>
  <c r="L437" i="12"/>
  <c r="K437" i="12"/>
  <c r="J437" i="12"/>
  <c r="I437" i="12"/>
  <c r="M436" i="12"/>
  <c r="L436" i="12"/>
  <c r="K436" i="12"/>
  <c r="J436" i="12"/>
  <c r="I436" i="12"/>
  <c r="M435" i="12"/>
  <c r="L435" i="12"/>
  <c r="K435" i="12"/>
  <c r="J435" i="12"/>
  <c r="I435" i="12"/>
  <c r="M434" i="12"/>
  <c r="L434" i="12"/>
  <c r="K434" i="12"/>
  <c r="J434" i="12"/>
  <c r="I434" i="12"/>
  <c r="M433" i="12"/>
  <c r="L433" i="12"/>
  <c r="K433" i="12"/>
  <c r="J433" i="12"/>
  <c r="I433" i="12"/>
  <c r="M432" i="12"/>
  <c r="L432" i="12"/>
  <c r="K432" i="12"/>
  <c r="J432" i="12"/>
  <c r="I432" i="12"/>
  <c r="M431" i="12"/>
  <c r="L431" i="12"/>
  <c r="K431" i="12"/>
  <c r="J431" i="12"/>
  <c r="I431" i="12"/>
  <c r="M430" i="12"/>
  <c r="L430" i="12"/>
  <c r="K430" i="12"/>
  <c r="J430" i="12"/>
  <c r="I430" i="12"/>
  <c r="M429" i="12"/>
  <c r="L429" i="12"/>
  <c r="K429" i="12"/>
  <c r="J429" i="12"/>
  <c r="I429" i="12"/>
  <c r="M428" i="12"/>
  <c r="L428" i="12"/>
  <c r="K428" i="12"/>
  <c r="J428" i="12"/>
  <c r="I428" i="12"/>
  <c r="M427" i="12"/>
  <c r="L427" i="12"/>
  <c r="K427" i="12"/>
  <c r="J427" i="12"/>
  <c r="I427" i="12"/>
  <c r="M426" i="12"/>
  <c r="L426" i="12"/>
  <c r="K426" i="12"/>
  <c r="J426" i="12"/>
  <c r="I426" i="12"/>
  <c r="M425" i="12"/>
  <c r="L425" i="12"/>
  <c r="K425" i="12"/>
  <c r="J425" i="12"/>
  <c r="I425" i="12"/>
  <c r="M424" i="12"/>
  <c r="L424" i="12"/>
  <c r="K424" i="12"/>
  <c r="J424" i="12"/>
  <c r="I424" i="12"/>
  <c r="M423" i="12"/>
  <c r="L423" i="12"/>
  <c r="K423" i="12"/>
  <c r="J423" i="12"/>
  <c r="I423" i="12"/>
  <c r="M422" i="12"/>
  <c r="L422" i="12"/>
  <c r="K422" i="12"/>
  <c r="J422" i="12"/>
  <c r="I422" i="12"/>
  <c r="M421" i="12"/>
  <c r="L421" i="12"/>
  <c r="K421" i="12"/>
  <c r="J421" i="12"/>
  <c r="I421" i="12"/>
  <c r="M420" i="12"/>
  <c r="L420" i="12"/>
  <c r="K420" i="12"/>
  <c r="J420" i="12"/>
  <c r="I420" i="12"/>
  <c r="M419" i="12"/>
  <c r="L419" i="12"/>
  <c r="K419" i="12"/>
  <c r="J419" i="12"/>
  <c r="I419" i="12"/>
  <c r="M418" i="12"/>
  <c r="L418" i="12"/>
  <c r="K418" i="12"/>
  <c r="J418" i="12"/>
  <c r="I418" i="12"/>
  <c r="M417" i="12"/>
  <c r="L417" i="12"/>
  <c r="K417" i="12"/>
  <c r="J417" i="12"/>
  <c r="I417" i="12"/>
  <c r="M416" i="12"/>
  <c r="L416" i="12"/>
  <c r="K416" i="12"/>
  <c r="J416" i="12"/>
  <c r="I416" i="12"/>
  <c r="M415" i="12"/>
  <c r="L415" i="12"/>
  <c r="K415" i="12"/>
  <c r="J415" i="12"/>
  <c r="I415" i="12"/>
  <c r="M414" i="12"/>
  <c r="L414" i="12"/>
  <c r="K414" i="12"/>
  <c r="J414" i="12"/>
  <c r="I414" i="12"/>
  <c r="M413" i="12"/>
  <c r="L413" i="12"/>
  <c r="K413" i="12"/>
  <c r="J413" i="12"/>
  <c r="I413" i="12"/>
  <c r="M412" i="12"/>
  <c r="L412" i="12"/>
  <c r="K412" i="12"/>
  <c r="J412" i="12"/>
  <c r="I412" i="12"/>
  <c r="M411" i="12"/>
  <c r="L411" i="12"/>
  <c r="K411" i="12"/>
  <c r="J411" i="12"/>
  <c r="I411" i="12"/>
  <c r="M410" i="12"/>
  <c r="L410" i="12"/>
  <c r="K410" i="12"/>
  <c r="J410" i="12"/>
  <c r="I410" i="12"/>
  <c r="M409" i="12"/>
  <c r="L409" i="12"/>
  <c r="K409" i="12"/>
  <c r="J409" i="12"/>
  <c r="I409" i="12"/>
  <c r="M408" i="12"/>
  <c r="L408" i="12"/>
  <c r="K408" i="12"/>
  <c r="J408" i="12"/>
  <c r="I408" i="12"/>
  <c r="M407" i="12"/>
  <c r="L407" i="12"/>
  <c r="K407" i="12"/>
  <c r="J407" i="12"/>
  <c r="I407" i="12"/>
  <c r="M406" i="12"/>
  <c r="L406" i="12"/>
  <c r="K406" i="12"/>
  <c r="J406" i="12"/>
  <c r="I406" i="12"/>
  <c r="M405" i="12"/>
  <c r="L405" i="12"/>
  <c r="K405" i="12"/>
  <c r="J405" i="12"/>
  <c r="I405" i="12"/>
  <c r="M404" i="12"/>
  <c r="L404" i="12"/>
  <c r="K404" i="12"/>
  <c r="J404" i="12"/>
  <c r="I404" i="12"/>
  <c r="M403" i="12"/>
  <c r="L403" i="12"/>
  <c r="K403" i="12"/>
  <c r="J403" i="12"/>
  <c r="I403" i="12"/>
  <c r="M402" i="12"/>
  <c r="L402" i="12"/>
  <c r="K402" i="12"/>
  <c r="J402" i="12"/>
  <c r="I402" i="12"/>
  <c r="M401" i="12"/>
  <c r="L401" i="12"/>
  <c r="K401" i="12"/>
  <c r="J401" i="12"/>
  <c r="I401" i="12"/>
  <c r="M400" i="12"/>
  <c r="L400" i="12"/>
  <c r="K400" i="12"/>
  <c r="J400" i="12"/>
  <c r="I400" i="12"/>
  <c r="M399" i="12"/>
  <c r="L399" i="12"/>
  <c r="K399" i="12"/>
  <c r="J399" i="12"/>
  <c r="I399" i="12"/>
  <c r="M398" i="12"/>
  <c r="L398" i="12"/>
  <c r="K398" i="12"/>
  <c r="J398" i="12"/>
  <c r="I398" i="12"/>
  <c r="M397" i="12"/>
  <c r="L397" i="12"/>
  <c r="K397" i="12"/>
  <c r="J397" i="12"/>
  <c r="I397" i="12"/>
  <c r="M396" i="12"/>
  <c r="L396" i="12"/>
  <c r="K396" i="12"/>
  <c r="J396" i="12"/>
  <c r="I396" i="12"/>
  <c r="M395" i="12"/>
  <c r="L395" i="12"/>
  <c r="K395" i="12"/>
  <c r="J395" i="12"/>
  <c r="I395" i="12"/>
  <c r="M394" i="12"/>
  <c r="L394" i="12"/>
  <c r="K394" i="12"/>
  <c r="J394" i="12"/>
  <c r="I394" i="12"/>
  <c r="M393" i="12"/>
  <c r="L393" i="12"/>
  <c r="K393" i="12"/>
  <c r="J393" i="12"/>
  <c r="I393" i="12"/>
  <c r="M392" i="12"/>
  <c r="L392" i="12"/>
  <c r="K392" i="12"/>
  <c r="J392" i="12"/>
  <c r="I392" i="12"/>
  <c r="M391" i="12"/>
  <c r="L391" i="12"/>
  <c r="K391" i="12"/>
  <c r="J391" i="12"/>
  <c r="I391" i="12"/>
  <c r="M390" i="12"/>
  <c r="L390" i="12"/>
  <c r="K390" i="12"/>
  <c r="J390" i="12"/>
  <c r="I390" i="12"/>
  <c r="M389" i="12"/>
  <c r="L389" i="12"/>
  <c r="K389" i="12"/>
  <c r="J389" i="12"/>
  <c r="I389" i="12"/>
  <c r="M388" i="12"/>
  <c r="L388" i="12"/>
  <c r="K388" i="12"/>
  <c r="J388" i="12"/>
  <c r="I388" i="12"/>
  <c r="M387" i="12"/>
  <c r="L387" i="12"/>
  <c r="K387" i="12"/>
  <c r="J387" i="12"/>
  <c r="I387" i="12"/>
  <c r="M386" i="12"/>
  <c r="L386" i="12"/>
  <c r="K386" i="12"/>
  <c r="J386" i="12"/>
  <c r="I386" i="12"/>
  <c r="M385" i="12"/>
  <c r="L385" i="12"/>
  <c r="K385" i="12"/>
  <c r="J385" i="12"/>
  <c r="I385" i="12"/>
  <c r="M384" i="12"/>
  <c r="L384" i="12"/>
  <c r="K384" i="12"/>
  <c r="J384" i="12"/>
  <c r="I384" i="12"/>
  <c r="M383" i="12"/>
  <c r="L383" i="12"/>
  <c r="K383" i="12"/>
  <c r="J383" i="12"/>
  <c r="I383" i="12"/>
  <c r="M382" i="12"/>
  <c r="L382" i="12"/>
  <c r="K382" i="12"/>
  <c r="J382" i="12"/>
  <c r="I382" i="12"/>
  <c r="M381" i="12"/>
  <c r="L381" i="12"/>
  <c r="K381" i="12"/>
  <c r="J381" i="12"/>
  <c r="I381" i="12"/>
  <c r="M380" i="12"/>
  <c r="L380" i="12"/>
  <c r="K380" i="12"/>
  <c r="J380" i="12"/>
  <c r="I380" i="12"/>
  <c r="M379" i="12"/>
  <c r="L379" i="12"/>
  <c r="K379" i="12"/>
  <c r="J379" i="12"/>
  <c r="I379" i="12"/>
  <c r="M378" i="12"/>
  <c r="L378" i="12"/>
  <c r="K378" i="12"/>
  <c r="J378" i="12"/>
  <c r="I378" i="12"/>
  <c r="M377" i="12"/>
  <c r="L377" i="12"/>
  <c r="K377" i="12"/>
  <c r="J377" i="12"/>
  <c r="I377" i="12"/>
  <c r="M376" i="12"/>
  <c r="L376" i="12"/>
  <c r="K376" i="12"/>
  <c r="J376" i="12"/>
  <c r="I376" i="12"/>
  <c r="M375" i="12"/>
  <c r="L375" i="12"/>
  <c r="K375" i="12"/>
  <c r="J375" i="12"/>
  <c r="I375" i="12"/>
  <c r="M374" i="12"/>
  <c r="L374" i="12"/>
  <c r="K374" i="12"/>
  <c r="J374" i="12"/>
  <c r="I374" i="12"/>
  <c r="M373" i="12"/>
  <c r="L373" i="12"/>
  <c r="K373" i="12"/>
  <c r="J373" i="12"/>
  <c r="I373" i="12"/>
  <c r="M372" i="12"/>
  <c r="L372" i="12"/>
  <c r="K372" i="12"/>
  <c r="J372" i="12"/>
  <c r="I372" i="12"/>
  <c r="M371" i="12"/>
  <c r="L371" i="12"/>
  <c r="K371" i="12"/>
  <c r="J371" i="12"/>
  <c r="I371" i="12"/>
  <c r="M370" i="12"/>
  <c r="L370" i="12"/>
  <c r="K370" i="12"/>
  <c r="J370" i="12"/>
  <c r="I370" i="12"/>
  <c r="M369" i="12"/>
  <c r="L369" i="12"/>
  <c r="K369" i="12"/>
  <c r="J369" i="12"/>
  <c r="I369" i="12"/>
  <c r="M368" i="12"/>
  <c r="L368" i="12"/>
  <c r="K368" i="12"/>
  <c r="J368" i="12"/>
  <c r="I368" i="12"/>
  <c r="M367" i="12"/>
  <c r="L367" i="12"/>
  <c r="K367" i="12"/>
  <c r="J367" i="12"/>
  <c r="I367" i="12"/>
  <c r="M366" i="12"/>
  <c r="L366" i="12"/>
  <c r="K366" i="12"/>
  <c r="J366" i="12"/>
  <c r="I366" i="12"/>
  <c r="M365" i="12"/>
  <c r="L365" i="12"/>
  <c r="K365" i="12"/>
  <c r="J365" i="12"/>
  <c r="I365" i="12"/>
  <c r="M364" i="12"/>
  <c r="L364" i="12"/>
  <c r="K364" i="12"/>
  <c r="J364" i="12"/>
  <c r="I364" i="12"/>
  <c r="M363" i="12"/>
  <c r="L363" i="12"/>
  <c r="K363" i="12"/>
  <c r="J363" i="12"/>
  <c r="I363" i="12"/>
  <c r="M362" i="12"/>
  <c r="L362" i="12"/>
  <c r="K362" i="12"/>
  <c r="J362" i="12"/>
  <c r="I362" i="12"/>
  <c r="M361" i="12"/>
  <c r="L361" i="12"/>
  <c r="K361" i="12"/>
  <c r="J361" i="12"/>
  <c r="I361" i="12"/>
  <c r="M360" i="12"/>
  <c r="L360" i="12"/>
  <c r="K360" i="12"/>
  <c r="J360" i="12"/>
  <c r="I360" i="12"/>
  <c r="M359" i="12"/>
  <c r="L359" i="12"/>
  <c r="K359" i="12"/>
  <c r="J359" i="12"/>
  <c r="I359" i="12"/>
  <c r="M358" i="12"/>
  <c r="L358" i="12"/>
  <c r="K358" i="12"/>
  <c r="J358" i="12"/>
  <c r="I358" i="12"/>
  <c r="M357" i="12"/>
  <c r="L357" i="12"/>
  <c r="K357" i="12"/>
  <c r="J357" i="12"/>
  <c r="I357" i="12"/>
  <c r="M356" i="12"/>
  <c r="L356" i="12"/>
  <c r="K356" i="12"/>
  <c r="J356" i="12"/>
  <c r="I356" i="12"/>
  <c r="M355" i="12"/>
  <c r="L355" i="12"/>
  <c r="K355" i="12"/>
  <c r="J355" i="12"/>
  <c r="I355" i="12"/>
  <c r="M354" i="12"/>
  <c r="L354" i="12"/>
  <c r="K354" i="12"/>
  <c r="J354" i="12"/>
  <c r="I354" i="12"/>
  <c r="M353" i="12"/>
  <c r="L353" i="12"/>
  <c r="K353" i="12"/>
  <c r="J353" i="12"/>
  <c r="I353" i="12"/>
  <c r="M352" i="12"/>
  <c r="L352" i="12"/>
  <c r="K352" i="12"/>
  <c r="J352" i="12"/>
  <c r="I352" i="12"/>
  <c r="M351" i="12"/>
  <c r="L351" i="12"/>
  <c r="K351" i="12"/>
  <c r="J351" i="12"/>
  <c r="I351" i="12"/>
  <c r="M350" i="12"/>
  <c r="L350" i="12"/>
  <c r="K350" i="12"/>
  <c r="J350" i="12"/>
  <c r="I350" i="12"/>
  <c r="M349" i="12"/>
  <c r="L349" i="12"/>
  <c r="K349" i="12"/>
  <c r="J349" i="12"/>
  <c r="I349" i="12"/>
  <c r="M348" i="12"/>
  <c r="L348" i="12"/>
  <c r="K348" i="12"/>
  <c r="J348" i="12"/>
  <c r="I348" i="12"/>
  <c r="M347" i="12"/>
  <c r="L347" i="12"/>
  <c r="K347" i="12"/>
  <c r="J347" i="12"/>
  <c r="I347" i="12"/>
  <c r="M346" i="12"/>
  <c r="L346" i="12"/>
  <c r="K346" i="12"/>
  <c r="J346" i="12"/>
  <c r="I346" i="12"/>
  <c r="M345" i="12"/>
  <c r="L345" i="12"/>
  <c r="K345" i="12"/>
  <c r="J345" i="12"/>
  <c r="I345" i="12"/>
  <c r="M344" i="12"/>
  <c r="L344" i="12"/>
  <c r="K344" i="12"/>
  <c r="J344" i="12"/>
  <c r="I344" i="12"/>
  <c r="M343" i="12"/>
  <c r="L343" i="12"/>
  <c r="K343" i="12"/>
  <c r="J343" i="12"/>
  <c r="I343" i="12"/>
  <c r="M342" i="12"/>
  <c r="L342" i="12"/>
  <c r="K342" i="12"/>
  <c r="J342" i="12"/>
  <c r="I342" i="12"/>
  <c r="M341" i="12"/>
  <c r="L341" i="12"/>
  <c r="K341" i="12"/>
  <c r="J341" i="12"/>
  <c r="I341" i="12"/>
  <c r="M340" i="12"/>
  <c r="L340" i="12"/>
  <c r="K340" i="12"/>
  <c r="J340" i="12"/>
  <c r="I340" i="12"/>
  <c r="M339" i="12"/>
  <c r="L339" i="12"/>
  <c r="K339" i="12"/>
  <c r="J339" i="12"/>
  <c r="I339" i="12"/>
  <c r="M338" i="12"/>
  <c r="L338" i="12"/>
  <c r="K338" i="12"/>
  <c r="J338" i="12"/>
  <c r="I338" i="12"/>
  <c r="M337" i="12"/>
  <c r="L337" i="12"/>
  <c r="K337" i="12"/>
  <c r="J337" i="12"/>
  <c r="I337" i="12"/>
  <c r="M336" i="12"/>
  <c r="L336" i="12"/>
  <c r="K336" i="12"/>
  <c r="J336" i="12"/>
  <c r="I336" i="12"/>
  <c r="M335" i="12"/>
  <c r="L335" i="12"/>
  <c r="K335" i="12"/>
  <c r="J335" i="12"/>
  <c r="I335" i="12"/>
  <c r="M334" i="12"/>
  <c r="L334" i="12"/>
  <c r="K334" i="12"/>
  <c r="J334" i="12"/>
  <c r="I334" i="12"/>
  <c r="M333" i="12"/>
  <c r="L333" i="12"/>
  <c r="K333" i="12"/>
  <c r="J333" i="12"/>
  <c r="I333" i="12"/>
  <c r="M332" i="12"/>
  <c r="L332" i="12"/>
  <c r="K332" i="12"/>
  <c r="J332" i="12"/>
  <c r="I332" i="12"/>
  <c r="M331" i="12"/>
  <c r="L331" i="12"/>
  <c r="K331" i="12"/>
  <c r="J331" i="12"/>
  <c r="I331" i="12"/>
  <c r="M330" i="12"/>
  <c r="L330" i="12"/>
  <c r="K330" i="12"/>
  <c r="J330" i="12"/>
  <c r="I330" i="12"/>
  <c r="M329" i="12"/>
  <c r="L329" i="12"/>
  <c r="K329" i="12"/>
  <c r="J329" i="12"/>
  <c r="I329" i="12"/>
  <c r="M328" i="12"/>
  <c r="L328" i="12"/>
  <c r="K328" i="12"/>
  <c r="J328" i="12"/>
  <c r="I328" i="12"/>
  <c r="M327" i="12"/>
  <c r="L327" i="12"/>
  <c r="K327" i="12"/>
  <c r="J327" i="12"/>
  <c r="I327" i="12"/>
  <c r="M326" i="12"/>
  <c r="L326" i="12"/>
  <c r="K326" i="12"/>
  <c r="J326" i="12"/>
  <c r="I326" i="12"/>
  <c r="M325" i="12"/>
  <c r="L325" i="12"/>
  <c r="K325" i="12"/>
  <c r="J325" i="12"/>
  <c r="I325" i="12"/>
  <c r="M324" i="12"/>
  <c r="L324" i="12"/>
  <c r="K324" i="12"/>
  <c r="J324" i="12"/>
  <c r="I324" i="12"/>
  <c r="M323" i="12"/>
  <c r="L323" i="12"/>
  <c r="K323" i="12"/>
  <c r="J323" i="12"/>
  <c r="I323" i="12"/>
  <c r="M322" i="12"/>
  <c r="L322" i="12"/>
  <c r="K322" i="12"/>
  <c r="J322" i="12"/>
  <c r="I322" i="12"/>
  <c r="M321" i="12"/>
  <c r="L321" i="12"/>
  <c r="K321" i="12"/>
  <c r="J321" i="12"/>
  <c r="I321" i="12"/>
  <c r="M320" i="12"/>
  <c r="L320" i="12"/>
  <c r="K320" i="12"/>
  <c r="J320" i="12"/>
  <c r="I320" i="12"/>
  <c r="M319" i="12"/>
  <c r="L319" i="12"/>
  <c r="K319" i="12"/>
  <c r="J319" i="12"/>
  <c r="I319" i="12"/>
  <c r="M318" i="12"/>
  <c r="L318" i="12"/>
  <c r="K318" i="12"/>
  <c r="J318" i="12"/>
  <c r="I318" i="12"/>
  <c r="M317" i="12"/>
  <c r="L317" i="12"/>
  <c r="K317" i="12"/>
  <c r="J317" i="12"/>
  <c r="I317" i="12"/>
  <c r="M316" i="12"/>
  <c r="L316" i="12"/>
  <c r="K316" i="12"/>
  <c r="J316" i="12"/>
  <c r="I316" i="12"/>
  <c r="M315" i="12"/>
  <c r="L315" i="12"/>
  <c r="K315" i="12"/>
  <c r="J315" i="12"/>
  <c r="I315" i="12"/>
  <c r="M314" i="12"/>
  <c r="L314" i="12"/>
  <c r="K314" i="12"/>
  <c r="J314" i="12"/>
  <c r="I314" i="12"/>
  <c r="M313" i="12"/>
  <c r="L313" i="12"/>
  <c r="K313" i="12"/>
  <c r="J313" i="12"/>
  <c r="I313" i="12"/>
  <c r="M312" i="12"/>
  <c r="L312" i="12"/>
  <c r="K312" i="12"/>
  <c r="J312" i="12"/>
  <c r="I312" i="12"/>
  <c r="M311" i="12"/>
  <c r="L311" i="12"/>
  <c r="K311" i="12"/>
  <c r="J311" i="12"/>
  <c r="I311" i="12"/>
  <c r="M310" i="12"/>
  <c r="L310" i="12"/>
  <c r="K310" i="12"/>
  <c r="J310" i="12"/>
  <c r="I310" i="12"/>
  <c r="M309" i="12"/>
  <c r="L309" i="12"/>
  <c r="K309" i="12"/>
  <c r="J309" i="12"/>
  <c r="I309" i="12"/>
  <c r="M308" i="12"/>
  <c r="L308" i="12"/>
  <c r="K308" i="12"/>
  <c r="J308" i="12"/>
  <c r="I308" i="12"/>
  <c r="M307" i="12"/>
  <c r="L307" i="12"/>
  <c r="K307" i="12"/>
  <c r="J307" i="12"/>
  <c r="I307" i="12"/>
  <c r="M306" i="12"/>
  <c r="L306" i="12"/>
  <c r="K306" i="12"/>
  <c r="J306" i="12"/>
  <c r="I306" i="12"/>
  <c r="M305" i="12"/>
  <c r="L305" i="12"/>
  <c r="K305" i="12"/>
  <c r="J305" i="12"/>
  <c r="I305" i="12"/>
  <c r="M304" i="12"/>
  <c r="L304" i="12"/>
  <c r="K304" i="12"/>
  <c r="J304" i="12"/>
  <c r="I304" i="12"/>
  <c r="M303" i="12"/>
  <c r="L303" i="12"/>
  <c r="K303" i="12"/>
  <c r="J303" i="12"/>
  <c r="I303" i="12"/>
  <c r="M302" i="12"/>
  <c r="L302" i="12"/>
  <c r="K302" i="12"/>
  <c r="J302" i="12"/>
  <c r="I302" i="12"/>
  <c r="M301" i="12"/>
  <c r="L301" i="12"/>
  <c r="K301" i="12"/>
  <c r="J301" i="12"/>
  <c r="I301" i="12"/>
  <c r="M300" i="12"/>
  <c r="L300" i="12"/>
  <c r="K300" i="12"/>
  <c r="J300" i="12"/>
  <c r="I300" i="12"/>
  <c r="M299" i="12"/>
  <c r="L299" i="12"/>
  <c r="K299" i="12"/>
  <c r="J299" i="12"/>
  <c r="I299" i="12"/>
  <c r="M298" i="12"/>
  <c r="L298" i="12"/>
  <c r="K298" i="12"/>
  <c r="J298" i="12"/>
  <c r="I298" i="12"/>
  <c r="M297" i="12"/>
  <c r="L297" i="12"/>
  <c r="K297" i="12"/>
  <c r="J297" i="12"/>
  <c r="I297" i="12"/>
  <c r="M296" i="12"/>
  <c r="L296" i="12"/>
  <c r="K296" i="12"/>
  <c r="J296" i="12"/>
  <c r="I296" i="12"/>
  <c r="M295" i="12"/>
  <c r="L295" i="12"/>
  <c r="K295" i="12"/>
  <c r="J295" i="12"/>
  <c r="I295" i="12"/>
  <c r="M294" i="12"/>
  <c r="L294" i="12"/>
  <c r="K294" i="12"/>
  <c r="J294" i="12"/>
  <c r="I294" i="12"/>
  <c r="M293" i="12"/>
  <c r="L293" i="12"/>
  <c r="K293" i="12"/>
  <c r="J293" i="12"/>
  <c r="I293" i="12"/>
  <c r="M292" i="12"/>
  <c r="L292" i="12"/>
  <c r="K292" i="12"/>
  <c r="J292" i="12"/>
  <c r="I292" i="12"/>
  <c r="M291" i="12"/>
  <c r="L291" i="12"/>
  <c r="K291" i="12"/>
  <c r="J291" i="12"/>
  <c r="I291" i="12"/>
  <c r="M290" i="12"/>
  <c r="L290" i="12"/>
  <c r="K290" i="12"/>
  <c r="J290" i="12"/>
  <c r="I290" i="12"/>
  <c r="M289" i="12"/>
  <c r="L289" i="12"/>
  <c r="K289" i="12"/>
  <c r="J289" i="12"/>
  <c r="I289" i="12"/>
  <c r="M288" i="12"/>
  <c r="L288" i="12"/>
  <c r="K288" i="12"/>
  <c r="J288" i="12"/>
  <c r="I288" i="12"/>
  <c r="M287" i="12"/>
  <c r="L287" i="12"/>
  <c r="K287" i="12"/>
  <c r="J287" i="12"/>
  <c r="I287" i="12"/>
  <c r="M286" i="12"/>
  <c r="L286" i="12"/>
  <c r="K286" i="12"/>
  <c r="J286" i="12"/>
  <c r="I286" i="12"/>
  <c r="M285" i="12"/>
  <c r="L285" i="12"/>
  <c r="K285" i="12"/>
  <c r="J285" i="12"/>
  <c r="I285" i="12"/>
  <c r="M284" i="12"/>
  <c r="L284" i="12"/>
  <c r="K284" i="12"/>
  <c r="J284" i="12"/>
  <c r="I284" i="12"/>
  <c r="M283" i="12"/>
  <c r="L283" i="12"/>
  <c r="K283" i="12"/>
  <c r="J283" i="12"/>
  <c r="I283" i="12"/>
  <c r="M282" i="12"/>
  <c r="L282" i="12"/>
  <c r="K282" i="12"/>
  <c r="J282" i="12"/>
  <c r="I282" i="12"/>
  <c r="M281" i="12"/>
  <c r="L281" i="12"/>
  <c r="K281" i="12"/>
  <c r="J281" i="12"/>
  <c r="I281" i="12"/>
  <c r="M280" i="12"/>
  <c r="L280" i="12"/>
  <c r="K280" i="12"/>
  <c r="J280" i="12"/>
  <c r="I280" i="12"/>
  <c r="M279" i="12"/>
  <c r="L279" i="12"/>
  <c r="K279" i="12"/>
  <c r="J279" i="12"/>
  <c r="I279" i="12"/>
  <c r="M278" i="12"/>
  <c r="L278" i="12"/>
  <c r="K278" i="12"/>
  <c r="J278" i="12"/>
  <c r="I278" i="12"/>
  <c r="M277" i="12"/>
  <c r="L277" i="12"/>
  <c r="K277" i="12"/>
  <c r="J277" i="12"/>
  <c r="I277" i="12"/>
  <c r="M276" i="12"/>
  <c r="L276" i="12"/>
  <c r="K276" i="12"/>
  <c r="J276" i="12"/>
  <c r="I276" i="12"/>
  <c r="M275" i="12"/>
  <c r="L275" i="12"/>
  <c r="K275" i="12"/>
  <c r="J275" i="12"/>
  <c r="I275" i="12"/>
  <c r="M274" i="12"/>
  <c r="L274" i="12"/>
  <c r="K274" i="12"/>
  <c r="J274" i="12"/>
  <c r="I274" i="12"/>
  <c r="M273" i="12"/>
  <c r="L273" i="12"/>
  <c r="K273" i="12"/>
  <c r="J273" i="12"/>
  <c r="I273" i="12"/>
  <c r="M272" i="12"/>
  <c r="L272" i="12"/>
  <c r="K272" i="12"/>
  <c r="J272" i="12"/>
  <c r="I272" i="12"/>
  <c r="M271" i="12"/>
  <c r="L271" i="12"/>
  <c r="K271" i="12"/>
  <c r="J271" i="12"/>
  <c r="I271" i="12"/>
  <c r="M270" i="12"/>
  <c r="L270" i="12"/>
  <c r="K270" i="12"/>
  <c r="J270" i="12"/>
  <c r="I270" i="12"/>
  <c r="M269" i="12"/>
  <c r="L269" i="12"/>
  <c r="K269" i="12"/>
  <c r="J269" i="12"/>
  <c r="I269" i="12"/>
  <c r="M268" i="12"/>
  <c r="L268" i="12"/>
  <c r="K268" i="12"/>
  <c r="J268" i="12"/>
  <c r="I268" i="12"/>
  <c r="M267" i="12"/>
  <c r="L267" i="12"/>
  <c r="K267" i="12"/>
  <c r="J267" i="12"/>
  <c r="I267" i="12"/>
  <c r="M266" i="12"/>
  <c r="L266" i="12"/>
  <c r="K266" i="12"/>
  <c r="J266" i="12"/>
  <c r="I266" i="12"/>
  <c r="M265" i="12"/>
  <c r="L265" i="12"/>
  <c r="K265" i="12"/>
  <c r="J265" i="12"/>
  <c r="I265" i="12"/>
  <c r="M264" i="12"/>
  <c r="L264" i="12"/>
  <c r="K264" i="12"/>
  <c r="J264" i="12"/>
  <c r="I264" i="12"/>
  <c r="M263" i="12"/>
  <c r="L263" i="12"/>
  <c r="K263" i="12"/>
  <c r="J263" i="12"/>
  <c r="I263" i="12"/>
  <c r="M262" i="12"/>
  <c r="L262" i="12"/>
  <c r="K262" i="12"/>
  <c r="J262" i="12"/>
  <c r="I262" i="12"/>
  <c r="M261" i="12"/>
  <c r="L261" i="12"/>
  <c r="K261" i="12"/>
  <c r="J261" i="12"/>
  <c r="I261" i="12"/>
  <c r="M260" i="12"/>
  <c r="L260" i="12"/>
  <c r="K260" i="12"/>
  <c r="J260" i="12"/>
  <c r="I260" i="12"/>
  <c r="M259" i="12"/>
  <c r="L259" i="12"/>
  <c r="K259" i="12"/>
  <c r="J259" i="12"/>
  <c r="I259" i="12"/>
  <c r="M258" i="12"/>
  <c r="L258" i="12"/>
  <c r="K258" i="12"/>
  <c r="J258" i="12"/>
  <c r="I258" i="12"/>
  <c r="M257" i="12"/>
  <c r="L257" i="12"/>
  <c r="K257" i="12"/>
  <c r="J257" i="12"/>
  <c r="I257" i="12"/>
  <c r="M256" i="12"/>
  <c r="L256" i="12"/>
  <c r="K256" i="12"/>
  <c r="J256" i="12"/>
  <c r="I256" i="12"/>
  <c r="M255" i="12"/>
  <c r="L255" i="12"/>
  <c r="K255" i="12"/>
  <c r="J255" i="12"/>
  <c r="I255" i="12"/>
  <c r="M254" i="12"/>
  <c r="L254" i="12"/>
  <c r="K254" i="12"/>
  <c r="J254" i="12"/>
  <c r="I254" i="12"/>
  <c r="M253" i="12"/>
  <c r="L253" i="12"/>
  <c r="K253" i="12"/>
  <c r="J253" i="12"/>
  <c r="I253" i="12"/>
  <c r="M252" i="12"/>
  <c r="L252" i="12"/>
  <c r="K252" i="12"/>
  <c r="J252" i="12"/>
  <c r="I252" i="12"/>
  <c r="M251" i="12"/>
  <c r="L251" i="12"/>
  <c r="K251" i="12"/>
  <c r="J251" i="12"/>
  <c r="I251" i="12"/>
  <c r="M250" i="12"/>
  <c r="L250" i="12"/>
  <c r="K250" i="12"/>
  <c r="J250" i="12"/>
  <c r="I250" i="12"/>
  <c r="M249" i="12"/>
  <c r="L249" i="12"/>
  <c r="K249" i="12"/>
  <c r="J249" i="12"/>
  <c r="I249" i="12"/>
  <c r="M248" i="12"/>
  <c r="L248" i="12"/>
  <c r="K248" i="12"/>
  <c r="J248" i="12"/>
  <c r="I248" i="12"/>
  <c r="M247" i="12"/>
  <c r="L247" i="12"/>
  <c r="K247" i="12"/>
  <c r="J247" i="12"/>
  <c r="I247" i="12"/>
  <c r="M246" i="12"/>
  <c r="L246" i="12"/>
  <c r="K246" i="12"/>
  <c r="J246" i="12"/>
  <c r="I246" i="12"/>
  <c r="M245" i="12"/>
  <c r="L245" i="12"/>
  <c r="K245" i="12"/>
  <c r="J245" i="12"/>
  <c r="I245" i="12"/>
  <c r="M244" i="12"/>
  <c r="L244" i="12"/>
  <c r="K244" i="12"/>
  <c r="J244" i="12"/>
  <c r="I244" i="12"/>
  <c r="M243" i="12"/>
  <c r="L243" i="12"/>
  <c r="K243" i="12"/>
  <c r="J243" i="12"/>
  <c r="I243" i="12"/>
  <c r="M242" i="12"/>
  <c r="L242" i="12"/>
  <c r="K242" i="12"/>
  <c r="J242" i="12"/>
  <c r="I242" i="12"/>
  <c r="M241" i="12"/>
  <c r="L241" i="12"/>
  <c r="K241" i="12"/>
  <c r="J241" i="12"/>
  <c r="I241" i="12"/>
  <c r="M240" i="12"/>
  <c r="L240" i="12"/>
  <c r="K240" i="12"/>
  <c r="J240" i="12"/>
  <c r="I240" i="12"/>
  <c r="M239" i="12"/>
  <c r="L239" i="12"/>
  <c r="K239" i="12"/>
  <c r="J239" i="12"/>
  <c r="I239" i="12"/>
  <c r="M238" i="12"/>
  <c r="L238" i="12"/>
  <c r="K238" i="12"/>
  <c r="J238" i="12"/>
  <c r="I238" i="12"/>
  <c r="M237" i="12"/>
  <c r="L237" i="12"/>
  <c r="K237" i="12"/>
  <c r="J237" i="12"/>
  <c r="I237" i="12"/>
  <c r="M236" i="12"/>
  <c r="L236" i="12"/>
  <c r="K236" i="12"/>
  <c r="J236" i="12"/>
  <c r="I236" i="12"/>
  <c r="M235" i="12"/>
  <c r="L235" i="12"/>
  <c r="K235" i="12"/>
  <c r="J235" i="12"/>
  <c r="I235" i="12"/>
  <c r="M234" i="12"/>
  <c r="L234" i="12"/>
  <c r="K234" i="12"/>
  <c r="J234" i="12"/>
  <c r="I234" i="12"/>
  <c r="M233" i="12"/>
  <c r="L233" i="12"/>
  <c r="K233" i="12"/>
  <c r="J233" i="12"/>
  <c r="I233" i="12"/>
  <c r="M232" i="12"/>
  <c r="L232" i="12"/>
  <c r="K232" i="12"/>
  <c r="J232" i="12"/>
  <c r="I232" i="12"/>
  <c r="M231" i="12"/>
  <c r="L231" i="12"/>
  <c r="K231" i="12"/>
  <c r="J231" i="12"/>
  <c r="I231" i="12"/>
  <c r="M230" i="12"/>
  <c r="L230" i="12"/>
  <c r="K230" i="12"/>
  <c r="J230" i="12"/>
  <c r="I230" i="12"/>
  <c r="M229" i="12"/>
  <c r="L229" i="12"/>
  <c r="K229" i="12"/>
  <c r="J229" i="12"/>
  <c r="I229" i="12"/>
  <c r="M228" i="12"/>
  <c r="L228" i="12"/>
  <c r="K228" i="12"/>
  <c r="J228" i="12"/>
  <c r="I228" i="12"/>
  <c r="M227" i="12"/>
  <c r="L227" i="12"/>
  <c r="K227" i="12"/>
  <c r="J227" i="12"/>
  <c r="I227" i="12"/>
  <c r="M226" i="12"/>
  <c r="L226" i="12"/>
  <c r="K226" i="12"/>
  <c r="J226" i="12"/>
  <c r="I226" i="12"/>
  <c r="M225" i="12"/>
  <c r="L225" i="12"/>
  <c r="K225" i="12"/>
  <c r="J225" i="12"/>
  <c r="I225" i="12"/>
  <c r="M224" i="12"/>
  <c r="L224" i="12"/>
  <c r="K224" i="12"/>
  <c r="J224" i="12"/>
  <c r="I224" i="12"/>
  <c r="M223" i="12"/>
  <c r="L223" i="12"/>
  <c r="K223" i="12"/>
  <c r="J223" i="12"/>
  <c r="I223" i="12"/>
  <c r="M222" i="12"/>
  <c r="L222" i="12"/>
  <c r="K222" i="12"/>
  <c r="J222" i="12"/>
  <c r="I222" i="12"/>
  <c r="M221" i="12"/>
  <c r="L221" i="12"/>
  <c r="K221" i="12"/>
  <c r="J221" i="12"/>
  <c r="I221" i="12"/>
  <c r="M220" i="12"/>
  <c r="L220" i="12"/>
  <c r="K220" i="12"/>
  <c r="J220" i="12"/>
  <c r="I220" i="12"/>
  <c r="M219" i="12"/>
  <c r="L219" i="12"/>
  <c r="K219" i="12"/>
  <c r="J219" i="12"/>
  <c r="I219" i="12"/>
  <c r="M218" i="12"/>
  <c r="L218" i="12"/>
  <c r="K218" i="12"/>
  <c r="J218" i="12"/>
  <c r="I218" i="12"/>
  <c r="M217" i="12"/>
  <c r="L217" i="12"/>
  <c r="K217" i="12"/>
  <c r="J217" i="12"/>
  <c r="I217" i="12"/>
  <c r="M216" i="12"/>
  <c r="L216" i="12"/>
  <c r="K216" i="12"/>
  <c r="J216" i="12"/>
  <c r="I216" i="12"/>
  <c r="M215" i="12"/>
  <c r="L215" i="12"/>
  <c r="K215" i="12"/>
  <c r="J215" i="12"/>
  <c r="I215" i="12"/>
  <c r="M214" i="12"/>
  <c r="L214" i="12"/>
  <c r="K214" i="12"/>
  <c r="J214" i="12"/>
  <c r="I214" i="12"/>
  <c r="M213" i="12"/>
  <c r="L213" i="12"/>
  <c r="K213" i="12"/>
  <c r="J213" i="12"/>
  <c r="I213" i="12"/>
  <c r="M212" i="12"/>
  <c r="L212" i="12"/>
  <c r="K212" i="12"/>
  <c r="J212" i="12"/>
  <c r="I212" i="12"/>
  <c r="M211" i="12"/>
  <c r="L211" i="12"/>
  <c r="K211" i="12"/>
  <c r="J211" i="12"/>
  <c r="I211" i="12"/>
  <c r="M210" i="12"/>
  <c r="L210" i="12"/>
  <c r="K210" i="12"/>
  <c r="J210" i="12"/>
  <c r="I210" i="12"/>
  <c r="M209" i="12"/>
  <c r="L209" i="12"/>
  <c r="K209" i="12"/>
  <c r="J209" i="12"/>
  <c r="I209" i="12"/>
  <c r="M208" i="12"/>
  <c r="L208" i="12"/>
  <c r="K208" i="12"/>
  <c r="J208" i="12"/>
  <c r="I208" i="12"/>
  <c r="M207" i="12"/>
  <c r="L207" i="12"/>
  <c r="K207" i="12"/>
  <c r="J207" i="12"/>
  <c r="I207" i="12"/>
  <c r="M206" i="12"/>
  <c r="L206" i="12"/>
  <c r="K206" i="12"/>
  <c r="J206" i="12"/>
  <c r="I206" i="12"/>
  <c r="M205" i="12"/>
  <c r="L205" i="12"/>
  <c r="K205" i="12"/>
  <c r="J205" i="12"/>
  <c r="I205" i="12"/>
  <c r="M204" i="12"/>
  <c r="L204" i="12"/>
  <c r="K204" i="12"/>
  <c r="J204" i="12"/>
  <c r="I204" i="12"/>
  <c r="M203" i="12"/>
  <c r="L203" i="12"/>
  <c r="K203" i="12"/>
  <c r="J203" i="12"/>
  <c r="I203" i="12"/>
  <c r="M202" i="12"/>
  <c r="L202" i="12"/>
  <c r="K202" i="12"/>
  <c r="J202" i="12"/>
  <c r="I202" i="12"/>
  <c r="M201" i="12"/>
  <c r="L201" i="12"/>
  <c r="K201" i="12"/>
  <c r="J201" i="12"/>
  <c r="I201" i="12"/>
  <c r="M200" i="12"/>
  <c r="L200" i="12"/>
  <c r="K200" i="12"/>
  <c r="J200" i="12"/>
  <c r="I200" i="12"/>
  <c r="M199" i="12"/>
  <c r="L199" i="12"/>
  <c r="K199" i="12"/>
  <c r="J199" i="12"/>
  <c r="I199" i="12"/>
  <c r="M198" i="12"/>
  <c r="L198" i="12"/>
  <c r="K198" i="12"/>
  <c r="J198" i="12"/>
  <c r="I198" i="12"/>
  <c r="M197" i="12"/>
  <c r="L197" i="12"/>
  <c r="K197" i="12"/>
  <c r="J197" i="12"/>
  <c r="I197" i="12"/>
  <c r="M196" i="12"/>
  <c r="L196" i="12"/>
  <c r="K196" i="12"/>
  <c r="J196" i="12"/>
  <c r="I196" i="12"/>
  <c r="M195" i="12"/>
  <c r="L195" i="12"/>
  <c r="K195" i="12"/>
  <c r="J195" i="12"/>
  <c r="I195" i="12"/>
  <c r="M194" i="12"/>
  <c r="L194" i="12"/>
  <c r="K194" i="12"/>
  <c r="J194" i="12"/>
  <c r="I194" i="12"/>
  <c r="M193" i="12"/>
  <c r="L193" i="12"/>
  <c r="K193" i="12"/>
  <c r="J193" i="12"/>
  <c r="I193" i="12"/>
  <c r="M192" i="12"/>
  <c r="L192" i="12"/>
  <c r="K192" i="12"/>
  <c r="J192" i="12"/>
  <c r="I192" i="12"/>
  <c r="M191" i="12"/>
  <c r="L191" i="12"/>
  <c r="K191" i="12"/>
  <c r="J191" i="12"/>
  <c r="I191" i="12"/>
  <c r="M190" i="12"/>
  <c r="L190" i="12"/>
  <c r="K190" i="12"/>
  <c r="J190" i="12"/>
  <c r="I190" i="12"/>
  <c r="M189" i="12"/>
  <c r="L189" i="12"/>
  <c r="K189" i="12"/>
  <c r="J189" i="12"/>
  <c r="I189" i="12"/>
  <c r="M188" i="12"/>
  <c r="L188" i="12"/>
  <c r="K188" i="12"/>
  <c r="J188" i="12"/>
  <c r="I188" i="12"/>
  <c r="M187" i="12"/>
  <c r="L187" i="12"/>
  <c r="K187" i="12"/>
  <c r="J187" i="12"/>
  <c r="I187" i="12"/>
  <c r="M186" i="12"/>
  <c r="L186" i="12"/>
  <c r="K186" i="12"/>
  <c r="J186" i="12"/>
  <c r="I186" i="12"/>
  <c r="M185" i="12"/>
  <c r="L185" i="12"/>
  <c r="K185" i="12"/>
  <c r="J185" i="12"/>
  <c r="I185" i="12"/>
  <c r="M184" i="12"/>
  <c r="L184" i="12"/>
  <c r="K184" i="12"/>
  <c r="J184" i="12"/>
  <c r="I184" i="12"/>
  <c r="M183" i="12"/>
  <c r="L183" i="12"/>
  <c r="K183" i="12"/>
  <c r="J183" i="12"/>
  <c r="I183" i="12"/>
  <c r="M182" i="12"/>
  <c r="L182" i="12"/>
  <c r="K182" i="12"/>
  <c r="J182" i="12"/>
  <c r="I182" i="12"/>
  <c r="M181" i="12"/>
  <c r="L181" i="12"/>
  <c r="K181" i="12"/>
  <c r="J181" i="12"/>
  <c r="I181" i="12"/>
  <c r="M180" i="12"/>
  <c r="L180" i="12"/>
  <c r="K180" i="12"/>
  <c r="J180" i="12"/>
  <c r="I180" i="12"/>
  <c r="M179" i="12"/>
  <c r="L179" i="12"/>
  <c r="K179" i="12"/>
  <c r="J179" i="12"/>
  <c r="I179" i="12"/>
  <c r="M178" i="12"/>
  <c r="L178" i="12"/>
  <c r="K178" i="12"/>
  <c r="J178" i="12"/>
  <c r="I178" i="12"/>
  <c r="M177" i="12"/>
  <c r="L177" i="12"/>
  <c r="K177" i="12"/>
  <c r="J177" i="12"/>
  <c r="I177" i="12"/>
  <c r="M176" i="12"/>
  <c r="L176" i="12"/>
  <c r="K176" i="12"/>
  <c r="J176" i="12"/>
  <c r="I176" i="12"/>
  <c r="M175" i="12"/>
  <c r="L175" i="12"/>
  <c r="K175" i="12"/>
  <c r="J175" i="12"/>
  <c r="I175" i="12"/>
  <c r="M174" i="12"/>
  <c r="L174" i="12"/>
  <c r="K174" i="12"/>
  <c r="J174" i="12"/>
  <c r="I174" i="12"/>
  <c r="M173" i="12"/>
  <c r="L173" i="12"/>
  <c r="K173" i="12"/>
  <c r="J173" i="12"/>
  <c r="I173" i="12"/>
  <c r="M172" i="12"/>
  <c r="L172" i="12"/>
  <c r="K172" i="12"/>
  <c r="J172" i="12"/>
  <c r="I172" i="12"/>
  <c r="M171" i="12"/>
  <c r="L171" i="12"/>
  <c r="K171" i="12"/>
  <c r="J171" i="12"/>
  <c r="I171" i="12"/>
  <c r="M170" i="12"/>
  <c r="L170" i="12"/>
  <c r="K170" i="12"/>
  <c r="J170" i="12"/>
  <c r="I170" i="12"/>
  <c r="M169" i="12"/>
  <c r="L169" i="12"/>
  <c r="K169" i="12"/>
  <c r="J169" i="12"/>
  <c r="I169" i="12"/>
  <c r="M168" i="12"/>
  <c r="L168" i="12"/>
  <c r="K168" i="12"/>
  <c r="J168" i="12"/>
  <c r="I168" i="12"/>
  <c r="M167" i="12"/>
  <c r="L167" i="12"/>
  <c r="K167" i="12"/>
  <c r="J167" i="12"/>
  <c r="I167" i="12"/>
  <c r="M166" i="12"/>
  <c r="L166" i="12"/>
  <c r="K166" i="12"/>
  <c r="J166" i="12"/>
  <c r="I166" i="12"/>
  <c r="M165" i="12"/>
  <c r="L165" i="12"/>
  <c r="K165" i="12"/>
  <c r="J165" i="12"/>
  <c r="I165" i="12"/>
  <c r="M164" i="12"/>
  <c r="L164" i="12"/>
  <c r="K164" i="12"/>
  <c r="J164" i="12"/>
  <c r="I164" i="12"/>
  <c r="M163" i="12"/>
  <c r="L163" i="12"/>
  <c r="K163" i="12"/>
  <c r="J163" i="12"/>
  <c r="I163" i="12"/>
  <c r="M162" i="12"/>
  <c r="L162" i="12"/>
  <c r="K162" i="12"/>
  <c r="J162" i="12"/>
  <c r="I162" i="12"/>
  <c r="M161" i="12"/>
  <c r="L161" i="12"/>
  <c r="K161" i="12"/>
  <c r="J161" i="12"/>
  <c r="I161" i="12"/>
  <c r="M160" i="12"/>
  <c r="L160" i="12"/>
  <c r="K160" i="12"/>
  <c r="J160" i="12"/>
  <c r="I160" i="12"/>
  <c r="M159" i="12"/>
  <c r="L159" i="12"/>
  <c r="K159" i="12"/>
  <c r="J159" i="12"/>
  <c r="I159" i="12"/>
  <c r="M158" i="12"/>
  <c r="L158" i="12"/>
  <c r="K158" i="12"/>
  <c r="J158" i="12"/>
  <c r="I158" i="12"/>
  <c r="M157" i="12"/>
  <c r="L157" i="12"/>
  <c r="K157" i="12"/>
  <c r="J157" i="12"/>
  <c r="I157" i="12"/>
  <c r="M156" i="12"/>
  <c r="L156" i="12"/>
  <c r="K156" i="12"/>
  <c r="J156" i="12"/>
  <c r="I156" i="12"/>
  <c r="M155" i="12"/>
  <c r="L155" i="12"/>
  <c r="K155" i="12"/>
  <c r="J155" i="12"/>
  <c r="I155" i="12"/>
  <c r="M154" i="12"/>
  <c r="L154" i="12"/>
  <c r="K154" i="12"/>
  <c r="J154" i="12"/>
  <c r="I154" i="12"/>
  <c r="M153" i="12"/>
  <c r="L153" i="12"/>
  <c r="K153" i="12"/>
  <c r="J153" i="12"/>
  <c r="I153" i="12"/>
  <c r="M152" i="12"/>
  <c r="L152" i="12"/>
  <c r="K152" i="12"/>
  <c r="J152" i="12"/>
  <c r="I152" i="12"/>
  <c r="M151" i="12"/>
  <c r="L151" i="12"/>
  <c r="K151" i="12"/>
  <c r="J151" i="12"/>
  <c r="I151" i="12"/>
  <c r="M150" i="12"/>
  <c r="L150" i="12"/>
  <c r="K150" i="12"/>
  <c r="J150" i="12"/>
  <c r="I150" i="12"/>
  <c r="M149" i="12"/>
  <c r="L149" i="12"/>
  <c r="K149" i="12"/>
  <c r="J149" i="12"/>
  <c r="I149" i="12"/>
  <c r="M148" i="12"/>
  <c r="L148" i="12"/>
  <c r="K148" i="12"/>
  <c r="J148" i="12"/>
  <c r="I148" i="12"/>
  <c r="M147" i="12"/>
  <c r="L147" i="12"/>
  <c r="K147" i="12"/>
  <c r="J147" i="12"/>
  <c r="I147" i="12"/>
  <c r="M146" i="12"/>
  <c r="L146" i="12"/>
  <c r="K146" i="12"/>
  <c r="J146" i="12"/>
  <c r="I146" i="12"/>
  <c r="M145" i="12"/>
  <c r="L145" i="12"/>
  <c r="K145" i="12"/>
  <c r="J145" i="12"/>
  <c r="I145" i="12"/>
  <c r="M144" i="12"/>
  <c r="L144" i="12"/>
  <c r="K144" i="12"/>
  <c r="J144" i="12"/>
  <c r="I144" i="12"/>
  <c r="M143" i="12"/>
  <c r="L143" i="12"/>
  <c r="K143" i="12"/>
  <c r="J143" i="12"/>
  <c r="I143" i="12"/>
  <c r="M142" i="12"/>
  <c r="L142" i="12"/>
  <c r="K142" i="12"/>
  <c r="J142" i="12"/>
  <c r="I142" i="12"/>
  <c r="M141" i="12"/>
  <c r="L141" i="12"/>
  <c r="K141" i="12"/>
  <c r="J141" i="12"/>
  <c r="I141" i="12"/>
  <c r="M140" i="12"/>
  <c r="L140" i="12"/>
  <c r="K140" i="12"/>
  <c r="J140" i="12"/>
  <c r="I140" i="12"/>
  <c r="M139" i="12"/>
  <c r="L139" i="12"/>
  <c r="K139" i="12"/>
  <c r="J139" i="12"/>
  <c r="I139" i="12"/>
  <c r="M138" i="12"/>
  <c r="L138" i="12"/>
  <c r="K138" i="12"/>
  <c r="J138" i="12"/>
  <c r="I138" i="12"/>
  <c r="M137" i="12"/>
  <c r="L137" i="12"/>
  <c r="K137" i="12"/>
  <c r="J137" i="12"/>
  <c r="I137" i="12"/>
  <c r="M136" i="12"/>
  <c r="L136" i="12"/>
  <c r="K136" i="12"/>
  <c r="J136" i="12"/>
  <c r="I136" i="12"/>
  <c r="M135" i="12"/>
  <c r="L135" i="12"/>
  <c r="K135" i="12"/>
  <c r="J135" i="12"/>
  <c r="I135" i="12"/>
  <c r="M134" i="12"/>
  <c r="L134" i="12"/>
  <c r="K134" i="12"/>
  <c r="J134" i="12"/>
  <c r="I134" i="12"/>
  <c r="M133" i="12"/>
  <c r="L133" i="12"/>
  <c r="K133" i="12"/>
  <c r="J133" i="12"/>
  <c r="I133" i="12"/>
  <c r="M132" i="12"/>
  <c r="L132" i="12"/>
  <c r="K132" i="12"/>
  <c r="J132" i="12"/>
  <c r="I132" i="12"/>
  <c r="M131" i="12"/>
  <c r="L131" i="12"/>
  <c r="K131" i="12"/>
  <c r="J131" i="12"/>
  <c r="I131" i="12"/>
  <c r="M130" i="12"/>
  <c r="L130" i="12"/>
  <c r="K130" i="12"/>
  <c r="J130" i="12"/>
  <c r="I130" i="12"/>
  <c r="M129" i="12"/>
  <c r="L129" i="12"/>
  <c r="K129" i="12"/>
  <c r="J129" i="12"/>
  <c r="I129" i="12"/>
  <c r="M128" i="12"/>
  <c r="L128" i="12"/>
  <c r="K128" i="12"/>
  <c r="J128" i="12"/>
  <c r="I128" i="12"/>
  <c r="M127" i="12"/>
  <c r="L127" i="12"/>
  <c r="K127" i="12"/>
  <c r="J127" i="12"/>
  <c r="I127" i="12"/>
  <c r="M126" i="12"/>
  <c r="L126" i="12"/>
  <c r="K126" i="12"/>
  <c r="J126" i="12"/>
  <c r="I126" i="12"/>
  <c r="M125" i="12"/>
  <c r="L125" i="12"/>
  <c r="K125" i="12"/>
  <c r="J125" i="12"/>
  <c r="I125" i="12"/>
  <c r="M124" i="12"/>
  <c r="L124" i="12"/>
  <c r="K124" i="12"/>
  <c r="J124" i="12"/>
  <c r="I124" i="12"/>
  <c r="M123" i="12"/>
  <c r="L123" i="12"/>
  <c r="K123" i="12"/>
  <c r="J123" i="12"/>
  <c r="I123" i="12"/>
  <c r="M122" i="12"/>
  <c r="L122" i="12"/>
  <c r="K122" i="12"/>
  <c r="J122" i="12"/>
  <c r="I122" i="12"/>
  <c r="M121" i="12"/>
  <c r="L121" i="12"/>
  <c r="K121" i="12"/>
  <c r="J121" i="12"/>
  <c r="I121" i="12"/>
  <c r="M120" i="12"/>
  <c r="L120" i="12"/>
  <c r="K120" i="12"/>
  <c r="J120" i="12"/>
  <c r="I120" i="12"/>
  <c r="M119" i="12"/>
  <c r="L119" i="12"/>
  <c r="K119" i="12"/>
  <c r="J119" i="12"/>
  <c r="I119" i="12"/>
  <c r="M118" i="12"/>
  <c r="L118" i="12"/>
  <c r="K118" i="12"/>
  <c r="J118" i="12"/>
  <c r="I118" i="12"/>
  <c r="M117" i="12"/>
  <c r="L117" i="12"/>
  <c r="K117" i="12"/>
  <c r="J117" i="12"/>
  <c r="I117" i="12"/>
  <c r="M116" i="12"/>
  <c r="L116" i="12"/>
  <c r="K116" i="12"/>
  <c r="J116" i="12"/>
  <c r="I116" i="12"/>
  <c r="M115" i="12"/>
  <c r="L115" i="12"/>
  <c r="K115" i="12"/>
  <c r="J115" i="12"/>
  <c r="I115" i="12"/>
  <c r="M114" i="12"/>
  <c r="L114" i="12"/>
  <c r="K114" i="12"/>
  <c r="J114" i="12"/>
  <c r="I114" i="12"/>
  <c r="M113" i="12"/>
  <c r="L113" i="12"/>
  <c r="K113" i="12"/>
  <c r="J113" i="12"/>
  <c r="I113" i="12"/>
  <c r="M112" i="12"/>
  <c r="L112" i="12"/>
  <c r="K112" i="12"/>
  <c r="J112" i="12"/>
  <c r="I112" i="12"/>
  <c r="M111" i="12"/>
  <c r="L111" i="12"/>
  <c r="K111" i="12"/>
  <c r="J111" i="12"/>
  <c r="I111" i="12"/>
  <c r="M110" i="12"/>
  <c r="L110" i="12"/>
  <c r="K110" i="12"/>
  <c r="J110" i="12"/>
  <c r="I110" i="12"/>
  <c r="M109" i="12"/>
  <c r="L109" i="12"/>
  <c r="K109" i="12"/>
  <c r="J109" i="12"/>
  <c r="I109" i="12"/>
  <c r="M108" i="12"/>
  <c r="L108" i="12"/>
  <c r="K108" i="12"/>
  <c r="J108" i="12"/>
  <c r="I108" i="12"/>
  <c r="M107" i="12"/>
  <c r="L107" i="12"/>
  <c r="K107" i="12"/>
  <c r="J107" i="12"/>
  <c r="I107" i="12"/>
  <c r="M106" i="12"/>
  <c r="L106" i="12"/>
  <c r="K106" i="12"/>
  <c r="J106" i="12"/>
  <c r="I106" i="12"/>
  <c r="M105" i="12"/>
  <c r="L105" i="12"/>
  <c r="K105" i="12"/>
  <c r="J105" i="12"/>
  <c r="I105" i="12"/>
  <c r="M104" i="12"/>
  <c r="L104" i="12"/>
  <c r="K104" i="12"/>
  <c r="J104" i="12"/>
  <c r="I104" i="12"/>
  <c r="M103" i="12"/>
  <c r="L103" i="12"/>
  <c r="K103" i="12"/>
  <c r="J103" i="12"/>
  <c r="I103" i="12"/>
  <c r="M102" i="12"/>
  <c r="L102" i="12"/>
  <c r="K102" i="12"/>
  <c r="J102" i="12"/>
  <c r="I102" i="12"/>
  <c r="M101" i="12"/>
  <c r="L101" i="12"/>
  <c r="K101" i="12"/>
  <c r="J101" i="12"/>
  <c r="I101" i="12"/>
  <c r="M100" i="12"/>
  <c r="L100" i="12"/>
  <c r="K100" i="12"/>
  <c r="J100" i="12"/>
  <c r="I100" i="12"/>
  <c r="M99" i="12"/>
  <c r="L99" i="12"/>
  <c r="K99" i="12"/>
  <c r="J99" i="12"/>
  <c r="I99" i="12"/>
  <c r="M98" i="12"/>
  <c r="L98" i="12"/>
  <c r="K98" i="12"/>
  <c r="J98" i="12"/>
  <c r="I98" i="12"/>
  <c r="M97" i="12"/>
  <c r="L97" i="12"/>
  <c r="K97" i="12"/>
  <c r="J97" i="12"/>
  <c r="I97" i="12"/>
  <c r="M96" i="12"/>
  <c r="L96" i="12"/>
  <c r="K96" i="12"/>
  <c r="J96" i="12"/>
  <c r="I96" i="12"/>
  <c r="M95" i="12"/>
  <c r="L95" i="12"/>
  <c r="K95" i="12"/>
  <c r="J95" i="12"/>
  <c r="I95" i="12"/>
  <c r="M94" i="12"/>
  <c r="L94" i="12"/>
  <c r="K94" i="12"/>
  <c r="J94" i="12"/>
  <c r="I94" i="12"/>
  <c r="M93" i="12"/>
  <c r="L93" i="12"/>
  <c r="K93" i="12"/>
  <c r="J93" i="12"/>
  <c r="I93" i="12"/>
  <c r="M92" i="12"/>
  <c r="L92" i="12"/>
  <c r="K92" i="12"/>
  <c r="J92" i="12"/>
  <c r="I92" i="12"/>
  <c r="M91" i="12"/>
  <c r="L91" i="12"/>
  <c r="K91" i="12"/>
  <c r="J91" i="12"/>
  <c r="I91" i="12"/>
  <c r="M90" i="12"/>
  <c r="L90" i="12"/>
  <c r="K90" i="12"/>
  <c r="J90" i="12"/>
  <c r="I90" i="12"/>
  <c r="M89" i="12"/>
  <c r="L89" i="12"/>
  <c r="K89" i="12"/>
  <c r="J89" i="12"/>
  <c r="I89" i="12"/>
  <c r="M88" i="12"/>
  <c r="L88" i="12"/>
  <c r="K88" i="12"/>
  <c r="J88" i="12"/>
  <c r="I88" i="12"/>
  <c r="M87" i="12"/>
  <c r="L87" i="12"/>
  <c r="K87" i="12"/>
  <c r="J87" i="12"/>
  <c r="I87" i="12"/>
  <c r="M86" i="12"/>
  <c r="L86" i="12"/>
  <c r="K86" i="12"/>
  <c r="J86" i="12"/>
  <c r="I86" i="12"/>
  <c r="M85" i="12"/>
  <c r="L85" i="12"/>
  <c r="K85" i="12"/>
  <c r="J85" i="12"/>
  <c r="I85" i="12"/>
  <c r="M84" i="12"/>
  <c r="L84" i="12"/>
  <c r="K84" i="12"/>
  <c r="J84" i="12"/>
  <c r="I84" i="12"/>
  <c r="M83" i="12"/>
  <c r="L83" i="12"/>
  <c r="K83" i="12"/>
  <c r="J83" i="12"/>
  <c r="I83" i="12"/>
  <c r="M82" i="12"/>
  <c r="L82" i="12"/>
  <c r="K82" i="12"/>
  <c r="J82" i="12"/>
  <c r="I82" i="12"/>
  <c r="M81" i="12"/>
  <c r="L81" i="12"/>
  <c r="K81" i="12"/>
  <c r="J81" i="12"/>
  <c r="I81" i="12"/>
  <c r="M80" i="12"/>
  <c r="L80" i="12"/>
  <c r="K80" i="12"/>
  <c r="J80" i="12"/>
  <c r="I80" i="12"/>
  <c r="M79" i="12"/>
  <c r="L79" i="12"/>
  <c r="K79" i="12"/>
  <c r="J79" i="12"/>
  <c r="I79" i="12"/>
  <c r="M78" i="12"/>
  <c r="L78" i="12"/>
  <c r="K78" i="12"/>
  <c r="J78" i="12"/>
  <c r="I78" i="12"/>
  <c r="M77" i="12"/>
  <c r="L77" i="12"/>
  <c r="K77" i="12"/>
  <c r="J77" i="12"/>
  <c r="I77" i="12"/>
  <c r="M76" i="12"/>
  <c r="L76" i="12"/>
  <c r="K76" i="12"/>
  <c r="J76" i="12"/>
  <c r="I76" i="12"/>
  <c r="M75" i="12"/>
  <c r="L75" i="12"/>
  <c r="K75" i="12"/>
  <c r="J75" i="12"/>
  <c r="I75" i="12"/>
  <c r="M74" i="12"/>
  <c r="L74" i="12"/>
  <c r="K74" i="12"/>
  <c r="J74" i="12"/>
  <c r="I74" i="12"/>
  <c r="M73" i="12"/>
  <c r="L73" i="12"/>
  <c r="K73" i="12"/>
  <c r="J73" i="12"/>
  <c r="I73" i="12"/>
  <c r="M72" i="12"/>
  <c r="L72" i="12"/>
  <c r="K72" i="12"/>
  <c r="J72" i="12"/>
  <c r="I72" i="12"/>
  <c r="M71" i="12"/>
  <c r="L71" i="12"/>
  <c r="K71" i="12"/>
  <c r="J71" i="12"/>
  <c r="I71" i="12"/>
  <c r="M70" i="12"/>
  <c r="L70" i="12"/>
  <c r="K70" i="12"/>
  <c r="J70" i="12"/>
  <c r="I70" i="12"/>
  <c r="M69" i="12"/>
  <c r="L69" i="12"/>
  <c r="K69" i="12"/>
  <c r="J69" i="12"/>
  <c r="I69" i="12"/>
  <c r="M68" i="12"/>
  <c r="L68" i="12"/>
  <c r="K68" i="12"/>
  <c r="J68" i="12"/>
  <c r="I68" i="12"/>
  <c r="M67" i="12"/>
  <c r="L67" i="12"/>
  <c r="K67" i="12"/>
  <c r="J67" i="12"/>
  <c r="I67" i="12"/>
  <c r="M66" i="12"/>
  <c r="L66" i="12"/>
  <c r="K66" i="12"/>
  <c r="J66" i="12"/>
  <c r="I66" i="12"/>
  <c r="M65" i="12"/>
  <c r="L65" i="12"/>
  <c r="K65" i="12"/>
  <c r="J65" i="12"/>
  <c r="I65" i="12"/>
  <c r="M64" i="12"/>
  <c r="L64" i="12"/>
  <c r="K64" i="12"/>
  <c r="J64" i="12"/>
  <c r="I64" i="12"/>
  <c r="M63" i="12"/>
  <c r="L63" i="12"/>
  <c r="K63" i="12"/>
  <c r="J63" i="12"/>
  <c r="I63" i="12"/>
  <c r="M62" i="12"/>
  <c r="L62" i="12"/>
  <c r="K62" i="12"/>
  <c r="J62" i="12"/>
  <c r="I62" i="12"/>
  <c r="M61" i="12"/>
  <c r="L61" i="12"/>
  <c r="K61" i="12"/>
  <c r="J61" i="12"/>
  <c r="I61" i="12"/>
  <c r="M60" i="12"/>
  <c r="L60" i="12"/>
  <c r="K60" i="12"/>
  <c r="J60" i="12"/>
  <c r="I60" i="12"/>
  <c r="M59" i="12"/>
  <c r="L59" i="12"/>
  <c r="K59" i="12"/>
  <c r="J59" i="12"/>
  <c r="I59" i="12"/>
  <c r="M58" i="12"/>
  <c r="L58" i="12"/>
  <c r="K58" i="12"/>
  <c r="J58" i="12"/>
  <c r="I58" i="12"/>
  <c r="M57" i="12"/>
  <c r="L57" i="12"/>
  <c r="K57" i="12"/>
  <c r="J57" i="12"/>
  <c r="I57" i="12"/>
  <c r="M56" i="12"/>
  <c r="L56" i="12"/>
  <c r="K56" i="12"/>
  <c r="J56" i="12"/>
  <c r="I56" i="12"/>
  <c r="M55" i="12"/>
  <c r="L55" i="12"/>
  <c r="K55" i="12"/>
  <c r="J55" i="12"/>
  <c r="I55" i="12"/>
  <c r="M54" i="12"/>
  <c r="L54" i="12"/>
  <c r="K54" i="12"/>
  <c r="J54" i="12"/>
  <c r="I54" i="12"/>
  <c r="M53" i="12"/>
  <c r="L53" i="12"/>
  <c r="K53" i="12"/>
  <c r="J53" i="12"/>
  <c r="I53" i="12"/>
  <c r="M52" i="12"/>
  <c r="L52" i="12"/>
  <c r="K52" i="12"/>
  <c r="J52" i="12"/>
  <c r="I52" i="12"/>
  <c r="M51" i="12"/>
  <c r="L51" i="12"/>
  <c r="K51" i="12"/>
  <c r="J51" i="12"/>
  <c r="I51" i="12"/>
  <c r="M50" i="12"/>
  <c r="L50" i="12"/>
  <c r="K50" i="12"/>
  <c r="J50" i="12"/>
  <c r="I50" i="12"/>
  <c r="M49" i="12"/>
  <c r="L49" i="12"/>
  <c r="K49" i="12"/>
  <c r="J49" i="12"/>
  <c r="I49" i="12"/>
  <c r="M48" i="12"/>
  <c r="L48" i="12"/>
  <c r="K48" i="12"/>
  <c r="J48" i="12"/>
  <c r="I48" i="12"/>
  <c r="M47" i="12"/>
  <c r="L47" i="12"/>
  <c r="K47" i="12"/>
  <c r="J47" i="12"/>
  <c r="I47" i="12"/>
  <c r="M46" i="12"/>
  <c r="L46" i="12"/>
  <c r="K46" i="12"/>
  <c r="J46" i="12"/>
  <c r="I46" i="12"/>
  <c r="M45" i="12"/>
  <c r="L45" i="12"/>
  <c r="K45" i="12"/>
  <c r="J45" i="12"/>
  <c r="I45" i="12"/>
  <c r="M44" i="12"/>
  <c r="L44" i="12"/>
  <c r="K44" i="12"/>
  <c r="J44" i="12"/>
  <c r="I44" i="12"/>
  <c r="M43" i="12"/>
  <c r="L43" i="12"/>
  <c r="K43" i="12"/>
  <c r="J43" i="12"/>
  <c r="I43" i="12"/>
  <c r="M42" i="12"/>
  <c r="L42" i="12"/>
  <c r="K42" i="12"/>
  <c r="J42" i="12"/>
  <c r="I42" i="12"/>
  <c r="M41" i="12"/>
  <c r="L41" i="12"/>
  <c r="K41" i="12"/>
  <c r="J41" i="12"/>
  <c r="I41" i="12"/>
  <c r="M40" i="12"/>
  <c r="L40" i="12"/>
  <c r="K40" i="12"/>
  <c r="J40" i="12"/>
  <c r="I40" i="12"/>
  <c r="M39" i="12"/>
  <c r="L39" i="12"/>
  <c r="K39" i="12"/>
  <c r="J39" i="12"/>
  <c r="I39" i="12"/>
  <c r="M38" i="12"/>
  <c r="L38" i="12"/>
  <c r="K38" i="12"/>
  <c r="J38" i="12"/>
  <c r="I38" i="12"/>
  <c r="M37" i="12"/>
  <c r="L37" i="12"/>
  <c r="K37" i="12"/>
  <c r="J37" i="12"/>
  <c r="I37" i="12"/>
  <c r="M36" i="12"/>
  <c r="L36" i="12"/>
  <c r="K36" i="12"/>
  <c r="J36" i="12"/>
  <c r="I36" i="12"/>
  <c r="M35" i="12"/>
  <c r="L35" i="12"/>
  <c r="K35" i="12"/>
  <c r="J35" i="12"/>
  <c r="I35" i="12"/>
  <c r="M34" i="12"/>
  <c r="L34" i="12"/>
  <c r="K34" i="12"/>
  <c r="J34" i="12"/>
  <c r="I34" i="12"/>
  <c r="M33" i="12"/>
  <c r="L33" i="12"/>
  <c r="K33" i="12"/>
  <c r="J33" i="12"/>
  <c r="I33" i="12"/>
  <c r="M32" i="12"/>
  <c r="L32" i="12"/>
  <c r="K32" i="12"/>
  <c r="J32" i="12"/>
  <c r="I32" i="12"/>
  <c r="M31" i="12"/>
  <c r="L31" i="12"/>
  <c r="K31" i="12"/>
  <c r="J31" i="12"/>
  <c r="I31" i="12"/>
  <c r="M30" i="12"/>
  <c r="L30" i="12"/>
  <c r="K30" i="12"/>
  <c r="J30" i="12"/>
  <c r="I30" i="12"/>
  <c r="M29" i="12"/>
  <c r="L29" i="12"/>
  <c r="K29" i="12"/>
  <c r="J29" i="12"/>
  <c r="I29" i="12"/>
  <c r="M28" i="12"/>
  <c r="L28" i="12"/>
  <c r="K28" i="12"/>
  <c r="J28" i="12"/>
  <c r="I28" i="12"/>
  <c r="M27" i="12"/>
  <c r="L27" i="12"/>
  <c r="K27" i="12"/>
  <c r="J27" i="12"/>
  <c r="I27" i="12"/>
  <c r="M26" i="12"/>
  <c r="L26" i="12"/>
  <c r="K26" i="12"/>
  <c r="J26" i="12"/>
  <c r="I26" i="12"/>
  <c r="M25" i="12"/>
  <c r="L25" i="12"/>
  <c r="K25" i="12"/>
  <c r="J25" i="12"/>
  <c r="I25" i="12"/>
  <c r="M24" i="12"/>
  <c r="L24" i="12"/>
  <c r="K24" i="12"/>
  <c r="J24" i="12"/>
  <c r="I24" i="12"/>
  <c r="M23" i="12"/>
  <c r="L23" i="12"/>
  <c r="K23" i="12"/>
  <c r="J23" i="12"/>
  <c r="I23" i="12"/>
  <c r="M22" i="12"/>
  <c r="L22" i="12"/>
  <c r="K22" i="12"/>
  <c r="J22" i="12"/>
  <c r="I22" i="12"/>
  <c r="M21" i="12"/>
  <c r="L21" i="12"/>
  <c r="K21" i="12"/>
  <c r="J21" i="12"/>
  <c r="I21" i="12"/>
  <c r="M20" i="12"/>
  <c r="L20" i="12"/>
  <c r="K20" i="12"/>
  <c r="J20" i="12"/>
  <c r="I20" i="12"/>
  <c r="M19" i="12"/>
  <c r="L19" i="12"/>
  <c r="K19" i="12"/>
  <c r="J19" i="12"/>
  <c r="I19" i="12"/>
  <c r="M18" i="12"/>
  <c r="L18" i="12"/>
  <c r="K18" i="12"/>
  <c r="J18" i="12"/>
  <c r="I18" i="12"/>
  <c r="M17" i="12"/>
  <c r="L17" i="12"/>
  <c r="K17" i="12"/>
  <c r="J17" i="12"/>
  <c r="I17" i="12"/>
  <c r="M16" i="12"/>
  <c r="L16" i="12"/>
  <c r="K16" i="12"/>
  <c r="J16" i="12"/>
  <c r="I16" i="12"/>
  <c r="M15" i="12"/>
  <c r="L15" i="12"/>
  <c r="K15" i="12"/>
  <c r="J15" i="12"/>
  <c r="I15" i="12"/>
  <c r="M14" i="12"/>
  <c r="L14" i="12"/>
  <c r="K14" i="12"/>
  <c r="J14" i="12"/>
  <c r="I14" i="12"/>
  <c r="M13" i="12"/>
  <c r="L13" i="12"/>
  <c r="K13" i="12"/>
  <c r="J13" i="12"/>
  <c r="I13" i="12"/>
  <c r="M12" i="12"/>
  <c r="L12" i="12"/>
  <c r="K12" i="12"/>
  <c r="J12" i="12"/>
  <c r="I12" i="12"/>
  <c r="M11" i="12"/>
  <c r="L11" i="12"/>
  <c r="K11" i="12"/>
  <c r="J11" i="12"/>
  <c r="I11" i="12"/>
  <c r="M10" i="12"/>
  <c r="L10" i="12"/>
  <c r="K10" i="12"/>
  <c r="J10" i="12"/>
  <c r="I10" i="12"/>
  <c r="M9" i="12"/>
  <c r="L9" i="12"/>
  <c r="K9" i="12"/>
  <c r="J9" i="12"/>
  <c r="I9" i="12"/>
  <c r="M8" i="12"/>
  <c r="L8" i="12"/>
  <c r="K8" i="12"/>
  <c r="J8" i="12"/>
  <c r="I8" i="12"/>
  <c r="M7" i="12"/>
  <c r="L7" i="12"/>
  <c r="K7" i="12"/>
  <c r="J7" i="12"/>
  <c r="I7" i="12"/>
  <c r="M6" i="12"/>
  <c r="L6" i="12"/>
  <c r="K6" i="12"/>
  <c r="J6" i="12"/>
  <c r="I6" i="12"/>
  <c r="G682" i="11"/>
  <c r="F682" i="11"/>
  <c r="E682" i="11"/>
  <c r="D682" i="11"/>
  <c r="C682" i="11"/>
  <c r="D23" i="3" s="1"/>
  <c r="M681" i="11"/>
  <c r="L681" i="11"/>
  <c r="K681" i="11"/>
  <c r="J681" i="11"/>
  <c r="I681" i="11"/>
  <c r="M680" i="11"/>
  <c r="L680" i="11"/>
  <c r="K680" i="11"/>
  <c r="J680" i="11"/>
  <c r="I680" i="11"/>
  <c r="M679" i="11"/>
  <c r="L679" i="11"/>
  <c r="K679" i="11"/>
  <c r="J679" i="11"/>
  <c r="I679" i="11"/>
  <c r="M678" i="11"/>
  <c r="L678" i="11"/>
  <c r="K678" i="11"/>
  <c r="J678" i="11"/>
  <c r="I678" i="11"/>
  <c r="M677" i="11"/>
  <c r="L677" i="11"/>
  <c r="K677" i="11"/>
  <c r="J677" i="11"/>
  <c r="I677" i="11"/>
  <c r="M676" i="11"/>
  <c r="L676" i="11"/>
  <c r="K676" i="11"/>
  <c r="J676" i="11"/>
  <c r="I676" i="11"/>
  <c r="M675" i="11"/>
  <c r="L675" i="11"/>
  <c r="K675" i="11"/>
  <c r="J675" i="11"/>
  <c r="I675" i="11"/>
  <c r="M674" i="11"/>
  <c r="L674" i="11"/>
  <c r="K674" i="11"/>
  <c r="J674" i="11"/>
  <c r="I674" i="11"/>
  <c r="M673" i="11"/>
  <c r="L673" i="11"/>
  <c r="K673" i="11"/>
  <c r="J673" i="11"/>
  <c r="I673" i="11"/>
  <c r="M672" i="11"/>
  <c r="L672" i="11"/>
  <c r="K672" i="11"/>
  <c r="J672" i="11"/>
  <c r="I672" i="11"/>
  <c r="M671" i="11"/>
  <c r="L671" i="11"/>
  <c r="K671" i="11"/>
  <c r="J671" i="11"/>
  <c r="I671" i="11"/>
  <c r="M670" i="11"/>
  <c r="L670" i="11"/>
  <c r="K670" i="11"/>
  <c r="J670" i="11"/>
  <c r="I670" i="11"/>
  <c r="M669" i="11"/>
  <c r="L669" i="11"/>
  <c r="K669" i="11"/>
  <c r="J669" i="11"/>
  <c r="I669" i="11"/>
  <c r="M668" i="11"/>
  <c r="L668" i="11"/>
  <c r="K668" i="11"/>
  <c r="J668" i="11"/>
  <c r="I668" i="11"/>
  <c r="M667" i="11"/>
  <c r="L667" i="11"/>
  <c r="K667" i="11"/>
  <c r="J667" i="11"/>
  <c r="I667" i="11"/>
  <c r="M666" i="11"/>
  <c r="L666" i="11"/>
  <c r="K666" i="11"/>
  <c r="J666" i="11"/>
  <c r="I666" i="11"/>
  <c r="M665" i="11"/>
  <c r="L665" i="11"/>
  <c r="K665" i="11"/>
  <c r="J665" i="11"/>
  <c r="I665" i="11"/>
  <c r="M664" i="11"/>
  <c r="L664" i="11"/>
  <c r="K664" i="11"/>
  <c r="J664" i="11"/>
  <c r="I664" i="11"/>
  <c r="M663" i="11"/>
  <c r="L663" i="11"/>
  <c r="K663" i="11"/>
  <c r="J663" i="11"/>
  <c r="I663" i="11"/>
  <c r="M662" i="11"/>
  <c r="L662" i="11"/>
  <c r="K662" i="11"/>
  <c r="J662" i="11"/>
  <c r="I662" i="11"/>
  <c r="M661" i="11"/>
  <c r="L661" i="11"/>
  <c r="K661" i="11"/>
  <c r="J661" i="11"/>
  <c r="I661" i="11"/>
  <c r="M660" i="11"/>
  <c r="L660" i="11"/>
  <c r="K660" i="11"/>
  <c r="J660" i="11"/>
  <c r="I660" i="11"/>
  <c r="M659" i="11"/>
  <c r="L659" i="11"/>
  <c r="K659" i="11"/>
  <c r="J659" i="11"/>
  <c r="I659" i="11"/>
  <c r="M658" i="11"/>
  <c r="L658" i="11"/>
  <c r="K658" i="11"/>
  <c r="J658" i="11"/>
  <c r="I658" i="11"/>
  <c r="M657" i="11"/>
  <c r="L657" i="11"/>
  <c r="K657" i="11"/>
  <c r="J657" i="11"/>
  <c r="I657" i="11"/>
  <c r="M656" i="11"/>
  <c r="L656" i="11"/>
  <c r="K656" i="11"/>
  <c r="J656" i="11"/>
  <c r="I656" i="11"/>
  <c r="M655" i="11"/>
  <c r="L655" i="11"/>
  <c r="K655" i="11"/>
  <c r="J655" i="11"/>
  <c r="I655" i="11"/>
  <c r="M654" i="11"/>
  <c r="L654" i="11"/>
  <c r="K654" i="11"/>
  <c r="J654" i="11"/>
  <c r="I654" i="11"/>
  <c r="M653" i="11"/>
  <c r="L653" i="11"/>
  <c r="K653" i="11"/>
  <c r="J653" i="11"/>
  <c r="I653" i="11"/>
  <c r="M652" i="11"/>
  <c r="L652" i="11"/>
  <c r="K652" i="11"/>
  <c r="J652" i="11"/>
  <c r="I652" i="11"/>
  <c r="M651" i="11"/>
  <c r="L651" i="11"/>
  <c r="K651" i="11"/>
  <c r="J651" i="11"/>
  <c r="I651" i="11"/>
  <c r="M650" i="11"/>
  <c r="L650" i="11"/>
  <c r="K650" i="11"/>
  <c r="J650" i="11"/>
  <c r="I650" i="11"/>
  <c r="M649" i="11"/>
  <c r="L649" i="11"/>
  <c r="K649" i="11"/>
  <c r="J649" i="11"/>
  <c r="I649" i="11"/>
  <c r="M648" i="11"/>
  <c r="L648" i="11"/>
  <c r="K648" i="11"/>
  <c r="J648" i="11"/>
  <c r="I648" i="11"/>
  <c r="M647" i="11"/>
  <c r="L647" i="11"/>
  <c r="K647" i="11"/>
  <c r="J647" i="11"/>
  <c r="I647" i="11"/>
  <c r="M646" i="11"/>
  <c r="L646" i="11"/>
  <c r="K646" i="11"/>
  <c r="J646" i="11"/>
  <c r="I646" i="11"/>
  <c r="M645" i="11"/>
  <c r="L645" i="11"/>
  <c r="K645" i="11"/>
  <c r="J645" i="11"/>
  <c r="I645" i="11"/>
  <c r="M644" i="11"/>
  <c r="L644" i="11"/>
  <c r="K644" i="11"/>
  <c r="J644" i="11"/>
  <c r="I644" i="11"/>
  <c r="M643" i="11"/>
  <c r="L643" i="11"/>
  <c r="K643" i="11"/>
  <c r="J643" i="11"/>
  <c r="I643" i="11"/>
  <c r="M642" i="11"/>
  <c r="L642" i="11"/>
  <c r="K642" i="11"/>
  <c r="J642" i="11"/>
  <c r="I642" i="11"/>
  <c r="M641" i="11"/>
  <c r="L641" i="11"/>
  <c r="K641" i="11"/>
  <c r="J641" i="11"/>
  <c r="I641" i="11"/>
  <c r="M640" i="11"/>
  <c r="L640" i="11"/>
  <c r="K640" i="11"/>
  <c r="J640" i="11"/>
  <c r="I640" i="11"/>
  <c r="M639" i="11"/>
  <c r="L639" i="11"/>
  <c r="K639" i="11"/>
  <c r="J639" i="11"/>
  <c r="I639" i="11"/>
  <c r="M638" i="11"/>
  <c r="L638" i="11"/>
  <c r="K638" i="11"/>
  <c r="J638" i="11"/>
  <c r="I638" i="11"/>
  <c r="M637" i="11"/>
  <c r="L637" i="11"/>
  <c r="K637" i="11"/>
  <c r="J637" i="11"/>
  <c r="I637" i="11"/>
  <c r="M636" i="11"/>
  <c r="L636" i="11"/>
  <c r="K636" i="11"/>
  <c r="J636" i="11"/>
  <c r="I636" i="11"/>
  <c r="M635" i="11"/>
  <c r="L635" i="11"/>
  <c r="K635" i="11"/>
  <c r="J635" i="11"/>
  <c r="I635" i="11"/>
  <c r="M634" i="11"/>
  <c r="L634" i="11"/>
  <c r="K634" i="11"/>
  <c r="J634" i="11"/>
  <c r="I634" i="11"/>
  <c r="M633" i="11"/>
  <c r="L633" i="11"/>
  <c r="K633" i="11"/>
  <c r="J633" i="11"/>
  <c r="I633" i="11"/>
  <c r="M632" i="11"/>
  <c r="L632" i="11"/>
  <c r="K632" i="11"/>
  <c r="J632" i="11"/>
  <c r="I632" i="11"/>
  <c r="M631" i="11"/>
  <c r="L631" i="11"/>
  <c r="K631" i="11"/>
  <c r="J631" i="11"/>
  <c r="I631" i="11"/>
  <c r="M630" i="11"/>
  <c r="L630" i="11"/>
  <c r="K630" i="11"/>
  <c r="J630" i="11"/>
  <c r="I630" i="11"/>
  <c r="M629" i="11"/>
  <c r="L629" i="11"/>
  <c r="K629" i="11"/>
  <c r="J629" i="11"/>
  <c r="I629" i="11"/>
  <c r="M628" i="11"/>
  <c r="L628" i="11"/>
  <c r="K628" i="11"/>
  <c r="J628" i="11"/>
  <c r="I628" i="11"/>
  <c r="M627" i="11"/>
  <c r="L627" i="11"/>
  <c r="K627" i="11"/>
  <c r="J627" i="11"/>
  <c r="I627" i="11"/>
  <c r="M626" i="11"/>
  <c r="L626" i="11"/>
  <c r="K626" i="11"/>
  <c r="J626" i="11"/>
  <c r="I626" i="11"/>
  <c r="M625" i="11"/>
  <c r="L625" i="11"/>
  <c r="K625" i="11"/>
  <c r="J625" i="11"/>
  <c r="I625" i="11"/>
  <c r="M624" i="11"/>
  <c r="L624" i="11"/>
  <c r="K624" i="11"/>
  <c r="J624" i="11"/>
  <c r="I624" i="11"/>
  <c r="M623" i="11"/>
  <c r="L623" i="11"/>
  <c r="K623" i="11"/>
  <c r="J623" i="11"/>
  <c r="I623" i="11"/>
  <c r="M622" i="11"/>
  <c r="L622" i="11"/>
  <c r="K622" i="11"/>
  <c r="J622" i="11"/>
  <c r="I622" i="11"/>
  <c r="M621" i="11"/>
  <c r="L621" i="11"/>
  <c r="K621" i="11"/>
  <c r="J621" i="11"/>
  <c r="I621" i="11"/>
  <c r="M620" i="11"/>
  <c r="L620" i="11"/>
  <c r="K620" i="11"/>
  <c r="J620" i="11"/>
  <c r="I620" i="11"/>
  <c r="M619" i="11"/>
  <c r="L619" i="11"/>
  <c r="K619" i="11"/>
  <c r="J619" i="11"/>
  <c r="I619" i="11"/>
  <c r="M618" i="11"/>
  <c r="L618" i="11"/>
  <c r="K618" i="11"/>
  <c r="J618" i="11"/>
  <c r="I618" i="11"/>
  <c r="M617" i="11"/>
  <c r="L617" i="11"/>
  <c r="K617" i="11"/>
  <c r="J617" i="11"/>
  <c r="I617" i="11"/>
  <c r="M616" i="11"/>
  <c r="L616" i="11"/>
  <c r="K616" i="11"/>
  <c r="J616" i="11"/>
  <c r="I616" i="11"/>
  <c r="M615" i="11"/>
  <c r="L615" i="11"/>
  <c r="K615" i="11"/>
  <c r="J615" i="11"/>
  <c r="I615" i="11"/>
  <c r="M614" i="11"/>
  <c r="L614" i="11"/>
  <c r="K614" i="11"/>
  <c r="J614" i="11"/>
  <c r="I614" i="11"/>
  <c r="M613" i="11"/>
  <c r="L613" i="11"/>
  <c r="K613" i="11"/>
  <c r="J613" i="11"/>
  <c r="I613" i="11"/>
  <c r="M612" i="11"/>
  <c r="L612" i="11"/>
  <c r="K612" i="11"/>
  <c r="J612" i="11"/>
  <c r="I612" i="11"/>
  <c r="M611" i="11"/>
  <c r="L611" i="11"/>
  <c r="K611" i="11"/>
  <c r="J611" i="11"/>
  <c r="I611" i="11"/>
  <c r="M610" i="11"/>
  <c r="L610" i="11"/>
  <c r="K610" i="11"/>
  <c r="J610" i="11"/>
  <c r="I610" i="11"/>
  <c r="M609" i="11"/>
  <c r="L609" i="11"/>
  <c r="K609" i="11"/>
  <c r="J609" i="11"/>
  <c r="I609" i="11"/>
  <c r="M608" i="11"/>
  <c r="L608" i="11"/>
  <c r="K608" i="11"/>
  <c r="J608" i="11"/>
  <c r="I608" i="11"/>
  <c r="M607" i="11"/>
  <c r="L607" i="11"/>
  <c r="K607" i="11"/>
  <c r="J607" i="11"/>
  <c r="I607" i="11"/>
  <c r="M606" i="11"/>
  <c r="L606" i="11"/>
  <c r="K606" i="11"/>
  <c r="J606" i="11"/>
  <c r="I606" i="11"/>
  <c r="M605" i="11"/>
  <c r="L605" i="11"/>
  <c r="K605" i="11"/>
  <c r="J605" i="11"/>
  <c r="I605" i="11"/>
  <c r="M604" i="11"/>
  <c r="L604" i="11"/>
  <c r="K604" i="11"/>
  <c r="J604" i="11"/>
  <c r="I604" i="11"/>
  <c r="M603" i="11"/>
  <c r="L603" i="11"/>
  <c r="K603" i="11"/>
  <c r="J603" i="11"/>
  <c r="I603" i="11"/>
  <c r="M602" i="11"/>
  <c r="L602" i="11"/>
  <c r="K602" i="11"/>
  <c r="J602" i="11"/>
  <c r="I602" i="11"/>
  <c r="M601" i="11"/>
  <c r="L601" i="11"/>
  <c r="K601" i="11"/>
  <c r="J601" i="11"/>
  <c r="I601" i="11"/>
  <c r="M600" i="11"/>
  <c r="L600" i="11"/>
  <c r="K600" i="11"/>
  <c r="J600" i="11"/>
  <c r="I600" i="11"/>
  <c r="M599" i="11"/>
  <c r="L599" i="11"/>
  <c r="K599" i="11"/>
  <c r="J599" i="11"/>
  <c r="I599" i="11"/>
  <c r="M598" i="11"/>
  <c r="L598" i="11"/>
  <c r="K598" i="11"/>
  <c r="J598" i="11"/>
  <c r="I598" i="11"/>
  <c r="M597" i="11"/>
  <c r="L597" i="11"/>
  <c r="K597" i="11"/>
  <c r="J597" i="11"/>
  <c r="I597" i="11"/>
  <c r="M596" i="11"/>
  <c r="L596" i="11"/>
  <c r="K596" i="11"/>
  <c r="J596" i="11"/>
  <c r="I596" i="11"/>
  <c r="M595" i="11"/>
  <c r="L595" i="11"/>
  <c r="K595" i="11"/>
  <c r="J595" i="11"/>
  <c r="I595" i="11"/>
  <c r="M594" i="11"/>
  <c r="L594" i="11"/>
  <c r="K594" i="11"/>
  <c r="J594" i="11"/>
  <c r="I594" i="11"/>
  <c r="M593" i="11"/>
  <c r="L593" i="11"/>
  <c r="K593" i="11"/>
  <c r="J593" i="11"/>
  <c r="I593" i="11"/>
  <c r="M592" i="11"/>
  <c r="L592" i="11"/>
  <c r="K592" i="11"/>
  <c r="J592" i="11"/>
  <c r="I592" i="11"/>
  <c r="M591" i="11"/>
  <c r="L591" i="11"/>
  <c r="K591" i="11"/>
  <c r="J591" i="11"/>
  <c r="I591" i="11"/>
  <c r="M590" i="11"/>
  <c r="L590" i="11"/>
  <c r="K590" i="11"/>
  <c r="J590" i="11"/>
  <c r="I590" i="11"/>
  <c r="M589" i="11"/>
  <c r="L589" i="11"/>
  <c r="K589" i="11"/>
  <c r="J589" i="11"/>
  <c r="I589" i="11"/>
  <c r="M588" i="11"/>
  <c r="L588" i="11"/>
  <c r="K588" i="11"/>
  <c r="J588" i="11"/>
  <c r="I588" i="11"/>
  <c r="M587" i="11"/>
  <c r="L587" i="11"/>
  <c r="K587" i="11"/>
  <c r="J587" i="11"/>
  <c r="I587" i="11"/>
  <c r="M586" i="11"/>
  <c r="L586" i="11"/>
  <c r="K586" i="11"/>
  <c r="J586" i="11"/>
  <c r="I586" i="11"/>
  <c r="M585" i="11"/>
  <c r="L585" i="11"/>
  <c r="K585" i="11"/>
  <c r="J585" i="11"/>
  <c r="I585" i="11"/>
  <c r="M584" i="11"/>
  <c r="L584" i="11"/>
  <c r="K584" i="11"/>
  <c r="J584" i="11"/>
  <c r="I584" i="11"/>
  <c r="M583" i="11"/>
  <c r="L583" i="11"/>
  <c r="K583" i="11"/>
  <c r="J583" i="11"/>
  <c r="I583" i="11"/>
  <c r="M582" i="11"/>
  <c r="L582" i="11"/>
  <c r="K582" i="11"/>
  <c r="J582" i="11"/>
  <c r="I582" i="11"/>
  <c r="M581" i="11"/>
  <c r="L581" i="11"/>
  <c r="K581" i="11"/>
  <c r="J581" i="11"/>
  <c r="I581" i="11"/>
  <c r="M580" i="11"/>
  <c r="L580" i="11"/>
  <c r="K580" i="11"/>
  <c r="J580" i="11"/>
  <c r="I580" i="11"/>
  <c r="M579" i="11"/>
  <c r="L579" i="11"/>
  <c r="K579" i="11"/>
  <c r="J579" i="11"/>
  <c r="I579" i="11"/>
  <c r="M578" i="11"/>
  <c r="L578" i="11"/>
  <c r="K578" i="11"/>
  <c r="J578" i="11"/>
  <c r="I578" i="11"/>
  <c r="M577" i="11"/>
  <c r="L577" i="11"/>
  <c r="K577" i="11"/>
  <c r="J577" i="11"/>
  <c r="I577" i="11"/>
  <c r="M576" i="11"/>
  <c r="L576" i="11"/>
  <c r="K576" i="11"/>
  <c r="J576" i="11"/>
  <c r="I576" i="11"/>
  <c r="M575" i="11"/>
  <c r="L575" i="11"/>
  <c r="K575" i="11"/>
  <c r="J575" i="11"/>
  <c r="I575" i="11"/>
  <c r="M574" i="11"/>
  <c r="L574" i="11"/>
  <c r="K574" i="11"/>
  <c r="J574" i="11"/>
  <c r="I574" i="11"/>
  <c r="M573" i="11"/>
  <c r="L573" i="11"/>
  <c r="K573" i="11"/>
  <c r="J573" i="11"/>
  <c r="I573" i="11"/>
  <c r="M572" i="11"/>
  <c r="L572" i="11"/>
  <c r="K572" i="11"/>
  <c r="J572" i="11"/>
  <c r="I572" i="11"/>
  <c r="M571" i="11"/>
  <c r="L571" i="11"/>
  <c r="K571" i="11"/>
  <c r="J571" i="11"/>
  <c r="I571" i="11"/>
  <c r="M570" i="11"/>
  <c r="L570" i="11"/>
  <c r="K570" i="11"/>
  <c r="J570" i="11"/>
  <c r="I570" i="11"/>
  <c r="M569" i="11"/>
  <c r="L569" i="11"/>
  <c r="K569" i="11"/>
  <c r="J569" i="11"/>
  <c r="I569" i="11"/>
  <c r="M568" i="11"/>
  <c r="L568" i="11"/>
  <c r="K568" i="11"/>
  <c r="J568" i="11"/>
  <c r="I568" i="11"/>
  <c r="M567" i="11"/>
  <c r="L567" i="11"/>
  <c r="K567" i="11"/>
  <c r="J567" i="11"/>
  <c r="I567" i="11"/>
  <c r="M566" i="11"/>
  <c r="L566" i="11"/>
  <c r="K566" i="11"/>
  <c r="J566" i="11"/>
  <c r="I566" i="11"/>
  <c r="M565" i="11"/>
  <c r="L565" i="11"/>
  <c r="K565" i="11"/>
  <c r="J565" i="11"/>
  <c r="I565" i="11"/>
  <c r="M564" i="11"/>
  <c r="L564" i="11"/>
  <c r="K564" i="11"/>
  <c r="J564" i="11"/>
  <c r="I564" i="11"/>
  <c r="M563" i="11"/>
  <c r="L563" i="11"/>
  <c r="K563" i="11"/>
  <c r="J563" i="11"/>
  <c r="I563" i="11"/>
  <c r="M562" i="11"/>
  <c r="L562" i="11"/>
  <c r="K562" i="11"/>
  <c r="J562" i="11"/>
  <c r="I562" i="11"/>
  <c r="M561" i="11"/>
  <c r="L561" i="11"/>
  <c r="K561" i="11"/>
  <c r="J561" i="11"/>
  <c r="I561" i="11"/>
  <c r="M560" i="11"/>
  <c r="L560" i="11"/>
  <c r="K560" i="11"/>
  <c r="J560" i="11"/>
  <c r="I560" i="11"/>
  <c r="M559" i="11"/>
  <c r="L559" i="11"/>
  <c r="K559" i="11"/>
  <c r="J559" i="11"/>
  <c r="I559" i="11"/>
  <c r="M558" i="11"/>
  <c r="L558" i="11"/>
  <c r="K558" i="11"/>
  <c r="J558" i="11"/>
  <c r="I558" i="11"/>
  <c r="M557" i="11"/>
  <c r="L557" i="11"/>
  <c r="K557" i="11"/>
  <c r="J557" i="11"/>
  <c r="I557" i="11"/>
  <c r="M556" i="11"/>
  <c r="L556" i="11"/>
  <c r="K556" i="11"/>
  <c r="J556" i="11"/>
  <c r="I556" i="11"/>
  <c r="M555" i="11"/>
  <c r="L555" i="11"/>
  <c r="K555" i="11"/>
  <c r="J555" i="11"/>
  <c r="I555" i="11"/>
  <c r="M554" i="11"/>
  <c r="L554" i="11"/>
  <c r="K554" i="11"/>
  <c r="J554" i="11"/>
  <c r="I554" i="11"/>
  <c r="M553" i="11"/>
  <c r="L553" i="11"/>
  <c r="K553" i="11"/>
  <c r="J553" i="11"/>
  <c r="I553" i="11"/>
  <c r="M552" i="11"/>
  <c r="L552" i="11"/>
  <c r="K552" i="11"/>
  <c r="J552" i="11"/>
  <c r="I552" i="11"/>
  <c r="M551" i="11"/>
  <c r="L551" i="11"/>
  <c r="K551" i="11"/>
  <c r="J551" i="11"/>
  <c r="I551" i="11"/>
  <c r="M550" i="11"/>
  <c r="L550" i="11"/>
  <c r="K550" i="11"/>
  <c r="J550" i="11"/>
  <c r="I550" i="11"/>
  <c r="M549" i="11"/>
  <c r="L549" i="11"/>
  <c r="K549" i="11"/>
  <c r="J549" i="11"/>
  <c r="I549" i="11"/>
  <c r="M548" i="11"/>
  <c r="L548" i="11"/>
  <c r="K548" i="11"/>
  <c r="J548" i="11"/>
  <c r="I548" i="11"/>
  <c r="M547" i="11"/>
  <c r="L547" i="11"/>
  <c r="K547" i="11"/>
  <c r="J547" i="11"/>
  <c r="I547" i="11"/>
  <c r="M546" i="11"/>
  <c r="L546" i="11"/>
  <c r="K546" i="11"/>
  <c r="J546" i="11"/>
  <c r="I546" i="11"/>
  <c r="M545" i="11"/>
  <c r="L545" i="11"/>
  <c r="K545" i="11"/>
  <c r="J545" i="11"/>
  <c r="I545" i="11"/>
  <c r="M544" i="11"/>
  <c r="L544" i="11"/>
  <c r="K544" i="11"/>
  <c r="J544" i="11"/>
  <c r="I544" i="11"/>
  <c r="M543" i="11"/>
  <c r="L543" i="11"/>
  <c r="K543" i="11"/>
  <c r="J543" i="11"/>
  <c r="I543" i="11"/>
  <c r="M542" i="11"/>
  <c r="L542" i="11"/>
  <c r="K542" i="11"/>
  <c r="J542" i="11"/>
  <c r="I542" i="11"/>
  <c r="M541" i="11"/>
  <c r="L541" i="11"/>
  <c r="K541" i="11"/>
  <c r="J541" i="11"/>
  <c r="I541" i="11"/>
  <c r="M540" i="11"/>
  <c r="L540" i="11"/>
  <c r="K540" i="11"/>
  <c r="J540" i="11"/>
  <c r="I540" i="11"/>
  <c r="M539" i="11"/>
  <c r="L539" i="11"/>
  <c r="K539" i="11"/>
  <c r="J539" i="11"/>
  <c r="I539" i="11"/>
  <c r="M538" i="11"/>
  <c r="L538" i="11"/>
  <c r="K538" i="11"/>
  <c r="J538" i="11"/>
  <c r="I538" i="11"/>
  <c r="M537" i="11"/>
  <c r="L537" i="11"/>
  <c r="K537" i="11"/>
  <c r="J537" i="11"/>
  <c r="I537" i="11"/>
  <c r="M536" i="11"/>
  <c r="L536" i="11"/>
  <c r="K536" i="11"/>
  <c r="J536" i="11"/>
  <c r="I536" i="11"/>
  <c r="M535" i="11"/>
  <c r="L535" i="11"/>
  <c r="K535" i="11"/>
  <c r="J535" i="11"/>
  <c r="I535" i="11"/>
  <c r="M534" i="11"/>
  <c r="L534" i="11"/>
  <c r="K534" i="11"/>
  <c r="J534" i="11"/>
  <c r="I534" i="11"/>
  <c r="M533" i="11"/>
  <c r="L533" i="11"/>
  <c r="K533" i="11"/>
  <c r="J533" i="11"/>
  <c r="I533" i="11"/>
  <c r="M532" i="11"/>
  <c r="L532" i="11"/>
  <c r="K532" i="11"/>
  <c r="J532" i="11"/>
  <c r="I532" i="11"/>
  <c r="M531" i="11"/>
  <c r="L531" i="11"/>
  <c r="K531" i="11"/>
  <c r="J531" i="11"/>
  <c r="I531" i="11"/>
  <c r="M530" i="11"/>
  <c r="L530" i="11"/>
  <c r="K530" i="11"/>
  <c r="J530" i="11"/>
  <c r="I530" i="11"/>
  <c r="M529" i="11"/>
  <c r="L529" i="11"/>
  <c r="K529" i="11"/>
  <c r="J529" i="11"/>
  <c r="I529" i="11"/>
  <c r="M528" i="11"/>
  <c r="L528" i="11"/>
  <c r="K528" i="11"/>
  <c r="J528" i="11"/>
  <c r="I528" i="11"/>
  <c r="M527" i="11"/>
  <c r="L527" i="11"/>
  <c r="K527" i="11"/>
  <c r="J527" i="11"/>
  <c r="I527" i="11"/>
  <c r="M526" i="11"/>
  <c r="L526" i="11"/>
  <c r="K526" i="11"/>
  <c r="J526" i="11"/>
  <c r="I526" i="11"/>
  <c r="M525" i="11"/>
  <c r="L525" i="11"/>
  <c r="K525" i="11"/>
  <c r="J525" i="11"/>
  <c r="I525" i="11"/>
  <c r="M524" i="11"/>
  <c r="L524" i="11"/>
  <c r="K524" i="11"/>
  <c r="J524" i="11"/>
  <c r="I524" i="11"/>
  <c r="M523" i="11"/>
  <c r="L523" i="11"/>
  <c r="K523" i="11"/>
  <c r="J523" i="11"/>
  <c r="I523" i="11"/>
  <c r="M522" i="11"/>
  <c r="L522" i="11"/>
  <c r="K522" i="11"/>
  <c r="J522" i="11"/>
  <c r="I522" i="11"/>
  <c r="M521" i="11"/>
  <c r="L521" i="11"/>
  <c r="K521" i="11"/>
  <c r="J521" i="11"/>
  <c r="I521" i="11"/>
  <c r="M520" i="11"/>
  <c r="L520" i="11"/>
  <c r="K520" i="11"/>
  <c r="J520" i="11"/>
  <c r="I520" i="11"/>
  <c r="M519" i="11"/>
  <c r="L519" i="11"/>
  <c r="K519" i="11"/>
  <c r="J519" i="11"/>
  <c r="I519" i="11"/>
  <c r="M518" i="11"/>
  <c r="L518" i="11"/>
  <c r="K518" i="11"/>
  <c r="J518" i="11"/>
  <c r="I518" i="11"/>
  <c r="M517" i="11"/>
  <c r="L517" i="11"/>
  <c r="K517" i="11"/>
  <c r="J517" i="11"/>
  <c r="I517" i="11"/>
  <c r="M516" i="11"/>
  <c r="L516" i="11"/>
  <c r="K516" i="11"/>
  <c r="J516" i="11"/>
  <c r="I516" i="11"/>
  <c r="M515" i="11"/>
  <c r="L515" i="11"/>
  <c r="K515" i="11"/>
  <c r="J515" i="11"/>
  <c r="I515" i="11"/>
  <c r="M514" i="11"/>
  <c r="L514" i="11"/>
  <c r="K514" i="11"/>
  <c r="J514" i="11"/>
  <c r="I514" i="11"/>
  <c r="M513" i="11"/>
  <c r="L513" i="11"/>
  <c r="K513" i="11"/>
  <c r="J513" i="11"/>
  <c r="I513" i="11"/>
  <c r="M512" i="11"/>
  <c r="L512" i="11"/>
  <c r="K512" i="11"/>
  <c r="J512" i="11"/>
  <c r="I512" i="11"/>
  <c r="M511" i="11"/>
  <c r="L511" i="11"/>
  <c r="K511" i="11"/>
  <c r="J511" i="11"/>
  <c r="I511" i="11"/>
  <c r="M510" i="11"/>
  <c r="L510" i="11"/>
  <c r="K510" i="11"/>
  <c r="J510" i="11"/>
  <c r="I510" i="11"/>
  <c r="M509" i="11"/>
  <c r="L509" i="11"/>
  <c r="K509" i="11"/>
  <c r="J509" i="11"/>
  <c r="I509" i="11"/>
  <c r="M508" i="11"/>
  <c r="L508" i="11"/>
  <c r="K508" i="11"/>
  <c r="J508" i="11"/>
  <c r="I508" i="11"/>
  <c r="M507" i="11"/>
  <c r="L507" i="11"/>
  <c r="K507" i="11"/>
  <c r="J507" i="11"/>
  <c r="I507" i="11"/>
  <c r="M506" i="11"/>
  <c r="L506" i="11"/>
  <c r="K506" i="11"/>
  <c r="J506" i="11"/>
  <c r="I506" i="11"/>
  <c r="M505" i="11"/>
  <c r="L505" i="11"/>
  <c r="K505" i="11"/>
  <c r="J505" i="11"/>
  <c r="I505" i="11"/>
  <c r="M504" i="11"/>
  <c r="L504" i="11"/>
  <c r="K504" i="11"/>
  <c r="J504" i="11"/>
  <c r="I504" i="11"/>
  <c r="M503" i="11"/>
  <c r="L503" i="11"/>
  <c r="K503" i="11"/>
  <c r="J503" i="11"/>
  <c r="I503" i="11"/>
  <c r="M502" i="11"/>
  <c r="L502" i="11"/>
  <c r="K502" i="11"/>
  <c r="J502" i="11"/>
  <c r="I502" i="11"/>
  <c r="M501" i="11"/>
  <c r="L501" i="11"/>
  <c r="K501" i="11"/>
  <c r="J501" i="11"/>
  <c r="I501" i="11"/>
  <c r="M500" i="11"/>
  <c r="L500" i="11"/>
  <c r="K500" i="11"/>
  <c r="J500" i="11"/>
  <c r="I500" i="11"/>
  <c r="M499" i="11"/>
  <c r="L499" i="11"/>
  <c r="K499" i="11"/>
  <c r="J499" i="11"/>
  <c r="I499" i="11"/>
  <c r="M498" i="11"/>
  <c r="L498" i="11"/>
  <c r="K498" i="11"/>
  <c r="J498" i="11"/>
  <c r="I498" i="11"/>
  <c r="M497" i="11"/>
  <c r="L497" i="11"/>
  <c r="K497" i="11"/>
  <c r="J497" i="11"/>
  <c r="I497" i="11"/>
  <c r="M496" i="11"/>
  <c r="L496" i="11"/>
  <c r="K496" i="11"/>
  <c r="J496" i="11"/>
  <c r="I496" i="11"/>
  <c r="M495" i="11"/>
  <c r="L495" i="11"/>
  <c r="K495" i="11"/>
  <c r="J495" i="11"/>
  <c r="I495" i="11"/>
  <c r="M494" i="11"/>
  <c r="L494" i="11"/>
  <c r="K494" i="11"/>
  <c r="J494" i="11"/>
  <c r="I494" i="11"/>
  <c r="M493" i="11"/>
  <c r="L493" i="11"/>
  <c r="K493" i="11"/>
  <c r="J493" i="11"/>
  <c r="I493" i="11"/>
  <c r="M492" i="11"/>
  <c r="L492" i="11"/>
  <c r="K492" i="11"/>
  <c r="J492" i="11"/>
  <c r="I492" i="11"/>
  <c r="M491" i="11"/>
  <c r="L491" i="11"/>
  <c r="K491" i="11"/>
  <c r="J491" i="11"/>
  <c r="I491" i="11"/>
  <c r="M490" i="11"/>
  <c r="L490" i="11"/>
  <c r="K490" i="11"/>
  <c r="J490" i="11"/>
  <c r="I490" i="11"/>
  <c r="M489" i="11"/>
  <c r="L489" i="11"/>
  <c r="K489" i="11"/>
  <c r="J489" i="11"/>
  <c r="I489" i="11"/>
  <c r="M488" i="11"/>
  <c r="L488" i="11"/>
  <c r="K488" i="11"/>
  <c r="J488" i="11"/>
  <c r="I488" i="11"/>
  <c r="M487" i="11"/>
  <c r="L487" i="11"/>
  <c r="K487" i="11"/>
  <c r="J487" i="11"/>
  <c r="I487" i="11"/>
  <c r="M486" i="11"/>
  <c r="L486" i="11"/>
  <c r="K486" i="11"/>
  <c r="J486" i="11"/>
  <c r="I486" i="11"/>
  <c r="M485" i="11"/>
  <c r="L485" i="11"/>
  <c r="K485" i="11"/>
  <c r="J485" i="11"/>
  <c r="I485" i="11"/>
  <c r="M484" i="11"/>
  <c r="L484" i="11"/>
  <c r="K484" i="11"/>
  <c r="J484" i="11"/>
  <c r="I484" i="11"/>
  <c r="M483" i="11"/>
  <c r="L483" i="11"/>
  <c r="K483" i="11"/>
  <c r="J483" i="11"/>
  <c r="I483" i="11"/>
  <c r="M482" i="11"/>
  <c r="L482" i="11"/>
  <c r="K482" i="11"/>
  <c r="J482" i="11"/>
  <c r="I482" i="11"/>
  <c r="M481" i="11"/>
  <c r="L481" i="11"/>
  <c r="K481" i="11"/>
  <c r="J481" i="11"/>
  <c r="I481" i="11"/>
  <c r="M480" i="11"/>
  <c r="L480" i="11"/>
  <c r="K480" i="11"/>
  <c r="J480" i="11"/>
  <c r="I480" i="11"/>
  <c r="M479" i="11"/>
  <c r="L479" i="11"/>
  <c r="K479" i="11"/>
  <c r="J479" i="11"/>
  <c r="I479" i="11"/>
  <c r="M478" i="11"/>
  <c r="L478" i="11"/>
  <c r="K478" i="11"/>
  <c r="J478" i="11"/>
  <c r="I478" i="11"/>
  <c r="M477" i="11"/>
  <c r="L477" i="11"/>
  <c r="K477" i="11"/>
  <c r="J477" i="11"/>
  <c r="I477" i="11"/>
  <c r="M476" i="11"/>
  <c r="L476" i="11"/>
  <c r="K476" i="11"/>
  <c r="J476" i="11"/>
  <c r="I476" i="11"/>
  <c r="M475" i="11"/>
  <c r="L475" i="11"/>
  <c r="K475" i="11"/>
  <c r="J475" i="11"/>
  <c r="I475" i="11"/>
  <c r="M474" i="11"/>
  <c r="L474" i="11"/>
  <c r="K474" i="11"/>
  <c r="J474" i="11"/>
  <c r="I474" i="11"/>
  <c r="M473" i="11"/>
  <c r="L473" i="11"/>
  <c r="K473" i="11"/>
  <c r="J473" i="11"/>
  <c r="I473" i="11"/>
  <c r="M472" i="11"/>
  <c r="L472" i="11"/>
  <c r="K472" i="11"/>
  <c r="J472" i="11"/>
  <c r="I472" i="11"/>
  <c r="M471" i="11"/>
  <c r="L471" i="11"/>
  <c r="K471" i="11"/>
  <c r="J471" i="11"/>
  <c r="I471" i="11"/>
  <c r="M470" i="11"/>
  <c r="L470" i="11"/>
  <c r="K470" i="11"/>
  <c r="J470" i="11"/>
  <c r="I470" i="11"/>
  <c r="M469" i="11"/>
  <c r="L469" i="11"/>
  <c r="K469" i="11"/>
  <c r="J469" i="11"/>
  <c r="I469" i="11"/>
  <c r="M468" i="11"/>
  <c r="L468" i="11"/>
  <c r="K468" i="11"/>
  <c r="J468" i="11"/>
  <c r="I468" i="11"/>
  <c r="M467" i="11"/>
  <c r="L467" i="11"/>
  <c r="K467" i="11"/>
  <c r="J467" i="11"/>
  <c r="I467" i="11"/>
  <c r="M466" i="11"/>
  <c r="L466" i="11"/>
  <c r="K466" i="11"/>
  <c r="J466" i="11"/>
  <c r="I466" i="11"/>
  <c r="M465" i="11"/>
  <c r="L465" i="11"/>
  <c r="K465" i="11"/>
  <c r="J465" i="11"/>
  <c r="I465" i="11"/>
  <c r="M464" i="11"/>
  <c r="L464" i="11"/>
  <c r="K464" i="11"/>
  <c r="J464" i="11"/>
  <c r="I464" i="11"/>
  <c r="M463" i="11"/>
  <c r="L463" i="11"/>
  <c r="K463" i="11"/>
  <c r="J463" i="11"/>
  <c r="I463" i="11"/>
  <c r="M462" i="11"/>
  <c r="L462" i="11"/>
  <c r="K462" i="11"/>
  <c r="J462" i="11"/>
  <c r="I462" i="11"/>
  <c r="M461" i="11"/>
  <c r="L461" i="11"/>
  <c r="K461" i="11"/>
  <c r="J461" i="11"/>
  <c r="I461" i="11"/>
  <c r="M460" i="11"/>
  <c r="L460" i="11"/>
  <c r="K460" i="11"/>
  <c r="J460" i="11"/>
  <c r="I460" i="11"/>
  <c r="M459" i="11"/>
  <c r="L459" i="11"/>
  <c r="K459" i="11"/>
  <c r="J459" i="11"/>
  <c r="I459" i="11"/>
  <c r="M458" i="11"/>
  <c r="L458" i="11"/>
  <c r="K458" i="11"/>
  <c r="J458" i="11"/>
  <c r="I458" i="11"/>
  <c r="M457" i="11"/>
  <c r="L457" i="11"/>
  <c r="K457" i="11"/>
  <c r="J457" i="11"/>
  <c r="I457" i="11"/>
  <c r="M456" i="11"/>
  <c r="L456" i="11"/>
  <c r="K456" i="11"/>
  <c r="J456" i="11"/>
  <c r="I456" i="11"/>
  <c r="M455" i="11"/>
  <c r="L455" i="11"/>
  <c r="K455" i="11"/>
  <c r="J455" i="11"/>
  <c r="I455" i="11"/>
  <c r="M454" i="11"/>
  <c r="L454" i="11"/>
  <c r="K454" i="11"/>
  <c r="J454" i="11"/>
  <c r="I454" i="11"/>
  <c r="M453" i="11"/>
  <c r="L453" i="11"/>
  <c r="K453" i="11"/>
  <c r="J453" i="11"/>
  <c r="I453" i="11"/>
  <c r="M452" i="11"/>
  <c r="L452" i="11"/>
  <c r="K452" i="11"/>
  <c r="J452" i="11"/>
  <c r="I452" i="11"/>
  <c r="M451" i="11"/>
  <c r="L451" i="11"/>
  <c r="K451" i="11"/>
  <c r="J451" i="11"/>
  <c r="I451" i="11"/>
  <c r="M450" i="11"/>
  <c r="L450" i="11"/>
  <c r="K450" i="11"/>
  <c r="J450" i="11"/>
  <c r="I450" i="11"/>
  <c r="M449" i="11"/>
  <c r="L449" i="11"/>
  <c r="K449" i="11"/>
  <c r="J449" i="11"/>
  <c r="I449" i="11"/>
  <c r="M448" i="11"/>
  <c r="L448" i="11"/>
  <c r="K448" i="11"/>
  <c r="J448" i="11"/>
  <c r="I448" i="11"/>
  <c r="M447" i="11"/>
  <c r="L447" i="11"/>
  <c r="K447" i="11"/>
  <c r="J447" i="11"/>
  <c r="I447" i="11"/>
  <c r="M446" i="11"/>
  <c r="L446" i="11"/>
  <c r="K446" i="11"/>
  <c r="J446" i="11"/>
  <c r="I446" i="11"/>
  <c r="M445" i="11"/>
  <c r="L445" i="11"/>
  <c r="K445" i="11"/>
  <c r="J445" i="11"/>
  <c r="I445" i="11"/>
  <c r="M444" i="11"/>
  <c r="L444" i="11"/>
  <c r="K444" i="11"/>
  <c r="J444" i="11"/>
  <c r="I444" i="11"/>
  <c r="M443" i="11"/>
  <c r="L443" i="11"/>
  <c r="K443" i="11"/>
  <c r="J443" i="11"/>
  <c r="I443" i="11"/>
  <c r="M442" i="11"/>
  <c r="L442" i="11"/>
  <c r="K442" i="11"/>
  <c r="J442" i="11"/>
  <c r="I442" i="11"/>
  <c r="M441" i="11"/>
  <c r="L441" i="11"/>
  <c r="K441" i="11"/>
  <c r="J441" i="11"/>
  <c r="I441" i="11"/>
  <c r="M440" i="11"/>
  <c r="L440" i="11"/>
  <c r="K440" i="11"/>
  <c r="J440" i="11"/>
  <c r="I440" i="11"/>
  <c r="M439" i="11"/>
  <c r="L439" i="11"/>
  <c r="K439" i="11"/>
  <c r="J439" i="11"/>
  <c r="I439" i="11"/>
  <c r="M438" i="11"/>
  <c r="L438" i="11"/>
  <c r="K438" i="11"/>
  <c r="J438" i="11"/>
  <c r="I438" i="11"/>
  <c r="M437" i="11"/>
  <c r="L437" i="11"/>
  <c r="K437" i="11"/>
  <c r="J437" i="11"/>
  <c r="I437" i="11"/>
  <c r="M436" i="11"/>
  <c r="L436" i="11"/>
  <c r="K436" i="11"/>
  <c r="J436" i="11"/>
  <c r="I436" i="11"/>
  <c r="M435" i="11"/>
  <c r="L435" i="11"/>
  <c r="K435" i="11"/>
  <c r="J435" i="11"/>
  <c r="I435" i="11"/>
  <c r="M434" i="11"/>
  <c r="L434" i="11"/>
  <c r="K434" i="11"/>
  <c r="J434" i="11"/>
  <c r="I434" i="11"/>
  <c r="M433" i="11"/>
  <c r="L433" i="11"/>
  <c r="K433" i="11"/>
  <c r="J433" i="11"/>
  <c r="I433" i="11"/>
  <c r="M432" i="11"/>
  <c r="L432" i="11"/>
  <c r="K432" i="11"/>
  <c r="J432" i="11"/>
  <c r="I432" i="11"/>
  <c r="M431" i="11"/>
  <c r="L431" i="11"/>
  <c r="K431" i="11"/>
  <c r="J431" i="11"/>
  <c r="I431" i="11"/>
  <c r="M430" i="11"/>
  <c r="L430" i="11"/>
  <c r="K430" i="11"/>
  <c r="J430" i="11"/>
  <c r="I430" i="11"/>
  <c r="M429" i="11"/>
  <c r="L429" i="11"/>
  <c r="K429" i="11"/>
  <c r="J429" i="11"/>
  <c r="I429" i="11"/>
  <c r="M428" i="11"/>
  <c r="L428" i="11"/>
  <c r="K428" i="11"/>
  <c r="J428" i="11"/>
  <c r="I428" i="11"/>
  <c r="M427" i="11"/>
  <c r="L427" i="11"/>
  <c r="K427" i="11"/>
  <c r="J427" i="11"/>
  <c r="I427" i="11"/>
  <c r="M426" i="11"/>
  <c r="L426" i="11"/>
  <c r="K426" i="11"/>
  <c r="J426" i="11"/>
  <c r="I426" i="11"/>
  <c r="M425" i="11"/>
  <c r="L425" i="11"/>
  <c r="K425" i="11"/>
  <c r="J425" i="11"/>
  <c r="I425" i="11"/>
  <c r="M424" i="11"/>
  <c r="L424" i="11"/>
  <c r="K424" i="11"/>
  <c r="J424" i="11"/>
  <c r="I424" i="11"/>
  <c r="M423" i="11"/>
  <c r="L423" i="11"/>
  <c r="K423" i="11"/>
  <c r="J423" i="11"/>
  <c r="I423" i="11"/>
  <c r="M422" i="11"/>
  <c r="L422" i="11"/>
  <c r="K422" i="11"/>
  <c r="J422" i="11"/>
  <c r="I422" i="11"/>
  <c r="M421" i="11"/>
  <c r="L421" i="11"/>
  <c r="K421" i="11"/>
  <c r="J421" i="11"/>
  <c r="I421" i="11"/>
  <c r="M420" i="11"/>
  <c r="L420" i="11"/>
  <c r="K420" i="11"/>
  <c r="J420" i="11"/>
  <c r="I420" i="11"/>
  <c r="M419" i="11"/>
  <c r="L419" i="11"/>
  <c r="K419" i="11"/>
  <c r="J419" i="11"/>
  <c r="I419" i="11"/>
  <c r="M418" i="11"/>
  <c r="L418" i="11"/>
  <c r="K418" i="11"/>
  <c r="J418" i="11"/>
  <c r="I418" i="11"/>
  <c r="M417" i="11"/>
  <c r="L417" i="11"/>
  <c r="K417" i="11"/>
  <c r="J417" i="11"/>
  <c r="I417" i="11"/>
  <c r="M416" i="11"/>
  <c r="L416" i="11"/>
  <c r="K416" i="11"/>
  <c r="J416" i="11"/>
  <c r="I416" i="11"/>
  <c r="M415" i="11"/>
  <c r="L415" i="11"/>
  <c r="K415" i="11"/>
  <c r="J415" i="11"/>
  <c r="I415" i="11"/>
  <c r="M414" i="11"/>
  <c r="L414" i="11"/>
  <c r="K414" i="11"/>
  <c r="J414" i="11"/>
  <c r="I414" i="11"/>
  <c r="M413" i="11"/>
  <c r="L413" i="11"/>
  <c r="K413" i="11"/>
  <c r="J413" i="11"/>
  <c r="I413" i="11"/>
  <c r="M412" i="11"/>
  <c r="L412" i="11"/>
  <c r="K412" i="11"/>
  <c r="J412" i="11"/>
  <c r="I412" i="11"/>
  <c r="M411" i="11"/>
  <c r="L411" i="11"/>
  <c r="K411" i="11"/>
  <c r="J411" i="11"/>
  <c r="I411" i="11"/>
  <c r="M410" i="11"/>
  <c r="L410" i="11"/>
  <c r="K410" i="11"/>
  <c r="J410" i="11"/>
  <c r="I410" i="11"/>
  <c r="M409" i="11"/>
  <c r="L409" i="11"/>
  <c r="K409" i="11"/>
  <c r="J409" i="11"/>
  <c r="I409" i="11"/>
  <c r="M408" i="11"/>
  <c r="L408" i="11"/>
  <c r="K408" i="11"/>
  <c r="J408" i="11"/>
  <c r="I408" i="11"/>
  <c r="M407" i="11"/>
  <c r="L407" i="11"/>
  <c r="K407" i="11"/>
  <c r="J407" i="11"/>
  <c r="I407" i="11"/>
  <c r="M406" i="11"/>
  <c r="L406" i="11"/>
  <c r="K406" i="11"/>
  <c r="J406" i="11"/>
  <c r="I406" i="11"/>
  <c r="M405" i="11"/>
  <c r="L405" i="11"/>
  <c r="K405" i="11"/>
  <c r="J405" i="11"/>
  <c r="I405" i="11"/>
  <c r="M404" i="11"/>
  <c r="L404" i="11"/>
  <c r="K404" i="11"/>
  <c r="J404" i="11"/>
  <c r="I404" i="11"/>
  <c r="M403" i="11"/>
  <c r="L403" i="11"/>
  <c r="K403" i="11"/>
  <c r="J403" i="11"/>
  <c r="I403" i="11"/>
  <c r="M402" i="11"/>
  <c r="L402" i="11"/>
  <c r="K402" i="11"/>
  <c r="J402" i="11"/>
  <c r="I402" i="11"/>
  <c r="M401" i="11"/>
  <c r="L401" i="11"/>
  <c r="K401" i="11"/>
  <c r="J401" i="11"/>
  <c r="I401" i="11"/>
  <c r="M400" i="11"/>
  <c r="L400" i="11"/>
  <c r="K400" i="11"/>
  <c r="J400" i="11"/>
  <c r="I400" i="11"/>
  <c r="M399" i="11"/>
  <c r="L399" i="11"/>
  <c r="K399" i="11"/>
  <c r="J399" i="11"/>
  <c r="I399" i="11"/>
  <c r="M398" i="11"/>
  <c r="L398" i="11"/>
  <c r="K398" i="11"/>
  <c r="J398" i="11"/>
  <c r="I398" i="11"/>
  <c r="M397" i="11"/>
  <c r="L397" i="11"/>
  <c r="K397" i="11"/>
  <c r="J397" i="11"/>
  <c r="I397" i="11"/>
  <c r="M396" i="11"/>
  <c r="L396" i="11"/>
  <c r="K396" i="11"/>
  <c r="J396" i="11"/>
  <c r="I396" i="11"/>
  <c r="M395" i="11"/>
  <c r="L395" i="11"/>
  <c r="K395" i="11"/>
  <c r="J395" i="11"/>
  <c r="I395" i="11"/>
  <c r="M394" i="11"/>
  <c r="L394" i="11"/>
  <c r="K394" i="11"/>
  <c r="J394" i="11"/>
  <c r="I394" i="11"/>
  <c r="M393" i="11"/>
  <c r="L393" i="11"/>
  <c r="K393" i="11"/>
  <c r="J393" i="11"/>
  <c r="I393" i="11"/>
  <c r="M392" i="11"/>
  <c r="L392" i="11"/>
  <c r="K392" i="11"/>
  <c r="J392" i="11"/>
  <c r="I392" i="11"/>
  <c r="M391" i="11"/>
  <c r="L391" i="11"/>
  <c r="K391" i="11"/>
  <c r="J391" i="11"/>
  <c r="I391" i="11"/>
  <c r="M390" i="11"/>
  <c r="L390" i="11"/>
  <c r="K390" i="11"/>
  <c r="J390" i="11"/>
  <c r="I390" i="11"/>
  <c r="M389" i="11"/>
  <c r="L389" i="11"/>
  <c r="K389" i="11"/>
  <c r="J389" i="11"/>
  <c r="I389" i="11"/>
  <c r="M388" i="11"/>
  <c r="L388" i="11"/>
  <c r="K388" i="11"/>
  <c r="J388" i="11"/>
  <c r="I388" i="11"/>
  <c r="M387" i="11"/>
  <c r="L387" i="11"/>
  <c r="K387" i="11"/>
  <c r="J387" i="11"/>
  <c r="I387" i="11"/>
  <c r="M386" i="11"/>
  <c r="L386" i="11"/>
  <c r="K386" i="11"/>
  <c r="J386" i="11"/>
  <c r="I386" i="11"/>
  <c r="M385" i="11"/>
  <c r="L385" i="11"/>
  <c r="K385" i="11"/>
  <c r="J385" i="11"/>
  <c r="I385" i="11"/>
  <c r="M384" i="11"/>
  <c r="L384" i="11"/>
  <c r="K384" i="11"/>
  <c r="J384" i="11"/>
  <c r="I384" i="11"/>
  <c r="M383" i="11"/>
  <c r="L383" i="11"/>
  <c r="K383" i="11"/>
  <c r="J383" i="11"/>
  <c r="I383" i="11"/>
  <c r="M382" i="11"/>
  <c r="L382" i="11"/>
  <c r="K382" i="11"/>
  <c r="J382" i="11"/>
  <c r="I382" i="11"/>
  <c r="M381" i="11"/>
  <c r="L381" i="11"/>
  <c r="K381" i="11"/>
  <c r="J381" i="11"/>
  <c r="I381" i="11"/>
  <c r="M380" i="11"/>
  <c r="L380" i="11"/>
  <c r="K380" i="11"/>
  <c r="J380" i="11"/>
  <c r="I380" i="11"/>
  <c r="M379" i="11"/>
  <c r="L379" i="11"/>
  <c r="K379" i="11"/>
  <c r="J379" i="11"/>
  <c r="I379" i="11"/>
  <c r="M378" i="11"/>
  <c r="L378" i="11"/>
  <c r="K378" i="11"/>
  <c r="J378" i="11"/>
  <c r="I378" i="11"/>
  <c r="M377" i="11"/>
  <c r="L377" i="11"/>
  <c r="K377" i="11"/>
  <c r="J377" i="11"/>
  <c r="I377" i="11"/>
  <c r="M376" i="11"/>
  <c r="L376" i="11"/>
  <c r="K376" i="11"/>
  <c r="J376" i="11"/>
  <c r="I376" i="11"/>
  <c r="M375" i="11"/>
  <c r="L375" i="11"/>
  <c r="K375" i="11"/>
  <c r="J375" i="11"/>
  <c r="I375" i="11"/>
  <c r="M374" i="11"/>
  <c r="L374" i="11"/>
  <c r="K374" i="11"/>
  <c r="J374" i="11"/>
  <c r="I374" i="11"/>
  <c r="M373" i="11"/>
  <c r="L373" i="11"/>
  <c r="K373" i="11"/>
  <c r="J373" i="11"/>
  <c r="I373" i="11"/>
  <c r="M372" i="11"/>
  <c r="L372" i="11"/>
  <c r="K372" i="11"/>
  <c r="J372" i="11"/>
  <c r="I372" i="11"/>
  <c r="M371" i="11"/>
  <c r="L371" i="11"/>
  <c r="K371" i="11"/>
  <c r="J371" i="11"/>
  <c r="I371" i="11"/>
  <c r="M370" i="11"/>
  <c r="L370" i="11"/>
  <c r="K370" i="11"/>
  <c r="J370" i="11"/>
  <c r="I370" i="11"/>
  <c r="M369" i="11"/>
  <c r="L369" i="11"/>
  <c r="K369" i="11"/>
  <c r="J369" i="11"/>
  <c r="I369" i="11"/>
  <c r="M368" i="11"/>
  <c r="L368" i="11"/>
  <c r="K368" i="11"/>
  <c r="J368" i="11"/>
  <c r="I368" i="11"/>
  <c r="M367" i="11"/>
  <c r="L367" i="11"/>
  <c r="K367" i="11"/>
  <c r="J367" i="11"/>
  <c r="I367" i="11"/>
  <c r="M366" i="11"/>
  <c r="L366" i="11"/>
  <c r="K366" i="11"/>
  <c r="J366" i="11"/>
  <c r="I366" i="11"/>
  <c r="M365" i="11"/>
  <c r="L365" i="11"/>
  <c r="K365" i="11"/>
  <c r="J365" i="11"/>
  <c r="I365" i="11"/>
  <c r="M364" i="11"/>
  <c r="L364" i="11"/>
  <c r="K364" i="11"/>
  <c r="J364" i="11"/>
  <c r="I364" i="11"/>
  <c r="M363" i="11"/>
  <c r="L363" i="11"/>
  <c r="K363" i="11"/>
  <c r="J363" i="11"/>
  <c r="I363" i="11"/>
  <c r="M362" i="11"/>
  <c r="L362" i="11"/>
  <c r="K362" i="11"/>
  <c r="J362" i="11"/>
  <c r="I362" i="11"/>
  <c r="M361" i="11"/>
  <c r="L361" i="11"/>
  <c r="K361" i="11"/>
  <c r="J361" i="11"/>
  <c r="I361" i="11"/>
  <c r="M360" i="11"/>
  <c r="L360" i="11"/>
  <c r="K360" i="11"/>
  <c r="J360" i="11"/>
  <c r="I360" i="11"/>
  <c r="M359" i="11"/>
  <c r="L359" i="11"/>
  <c r="K359" i="11"/>
  <c r="J359" i="11"/>
  <c r="I359" i="11"/>
  <c r="M358" i="11"/>
  <c r="L358" i="11"/>
  <c r="K358" i="11"/>
  <c r="J358" i="11"/>
  <c r="I358" i="11"/>
  <c r="M357" i="11"/>
  <c r="L357" i="11"/>
  <c r="K357" i="11"/>
  <c r="J357" i="11"/>
  <c r="I357" i="11"/>
  <c r="M356" i="11"/>
  <c r="L356" i="11"/>
  <c r="K356" i="11"/>
  <c r="J356" i="11"/>
  <c r="I356" i="11"/>
  <c r="M355" i="11"/>
  <c r="L355" i="11"/>
  <c r="K355" i="11"/>
  <c r="J355" i="11"/>
  <c r="I355" i="11"/>
  <c r="M354" i="11"/>
  <c r="L354" i="11"/>
  <c r="K354" i="11"/>
  <c r="J354" i="11"/>
  <c r="I354" i="11"/>
  <c r="M353" i="11"/>
  <c r="L353" i="11"/>
  <c r="K353" i="11"/>
  <c r="J353" i="11"/>
  <c r="I353" i="11"/>
  <c r="M352" i="11"/>
  <c r="L352" i="11"/>
  <c r="K352" i="11"/>
  <c r="J352" i="11"/>
  <c r="I352" i="11"/>
  <c r="M351" i="11"/>
  <c r="L351" i="11"/>
  <c r="K351" i="11"/>
  <c r="J351" i="11"/>
  <c r="I351" i="11"/>
  <c r="M350" i="11"/>
  <c r="L350" i="11"/>
  <c r="K350" i="11"/>
  <c r="J350" i="11"/>
  <c r="I350" i="11"/>
  <c r="M349" i="11"/>
  <c r="L349" i="11"/>
  <c r="K349" i="11"/>
  <c r="J349" i="11"/>
  <c r="I349" i="11"/>
  <c r="M348" i="11"/>
  <c r="L348" i="11"/>
  <c r="K348" i="11"/>
  <c r="J348" i="11"/>
  <c r="I348" i="11"/>
  <c r="M347" i="11"/>
  <c r="L347" i="11"/>
  <c r="K347" i="11"/>
  <c r="J347" i="11"/>
  <c r="I347" i="11"/>
  <c r="M346" i="11"/>
  <c r="L346" i="11"/>
  <c r="K346" i="11"/>
  <c r="J346" i="11"/>
  <c r="I346" i="11"/>
  <c r="M345" i="11"/>
  <c r="L345" i="11"/>
  <c r="K345" i="11"/>
  <c r="J345" i="11"/>
  <c r="I345" i="11"/>
  <c r="M344" i="11"/>
  <c r="L344" i="11"/>
  <c r="K344" i="11"/>
  <c r="J344" i="11"/>
  <c r="I344" i="11"/>
  <c r="M343" i="11"/>
  <c r="L343" i="11"/>
  <c r="K343" i="11"/>
  <c r="J343" i="11"/>
  <c r="I343" i="11"/>
  <c r="M342" i="11"/>
  <c r="L342" i="11"/>
  <c r="K342" i="11"/>
  <c r="J342" i="11"/>
  <c r="I342" i="11"/>
  <c r="M341" i="11"/>
  <c r="L341" i="11"/>
  <c r="K341" i="11"/>
  <c r="J341" i="11"/>
  <c r="I341" i="11"/>
  <c r="M340" i="11"/>
  <c r="L340" i="11"/>
  <c r="K340" i="11"/>
  <c r="J340" i="11"/>
  <c r="I340" i="11"/>
  <c r="M339" i="11"/>
  <c r="L339" i="11"/>
  <c r="K339" i="11"/>
  <c r="J339" i="11"/>
  <c r="I339" i="11"/>
  <c r="M338" i="11"/>
  <c r="L338" i="11"/>
  <c r="K338" i="11"/>
  <c r="J338" i="11"/>
  <c r="I338" i="11"/>
  <c r="M337" i="11"/>
  <c r="L337" i="11"/>
  <c r="K337" i="11"/>
  <c r="J337" i="11"/>
  <c r="I337" i="11"/>
  <c r="M336" i="11"/>
  <c r="L336" i="11"/>
  <c r="K336" i="11"/>
  <c r="J336" i="11"/>
  <c r="I336" i="11"/>
  <c r="M335" i="11"/>
  <c r="L335" i="11"/>
  <c r="K335" i="11"/>
  <c r="J335" i="11"/>
  <c r="I335" i="11"/>
  <c r="M334" i="11"/>
  <c r="L334" i="11"/>
  <c r="K334" i="11"/>
  <c r="J334" i="11"/>
  <c r="I334" i="11"/>
  <c r="M333" i="11"/>
  <c r="L333" i="11"/>
  <c r="K333" i="11"/>
  <c r="J333" i="11"/>
  <c r="I333" i="11"/>
  <c r="M332" i="11"/>
  <c r="L332" i="11"/>
  <c r="K332" i="11"/>
  <c r="J332" i="11"/>
  <c r="I332" i="11"/>
  <c r="M331" i="11"/>
  <c r="L331" i="11"/>
  <c r="K331" i="11"/>
  <c r="J331" i="11"/>
  <c r="I331" i="11"/>
  <c r="M330" i="11"/>
  <c r="L330" i="11"/>
  <c r="K330" i="11"/>
  <c r="J330" i="11"/>
  <c r="I330" i="11"/>
  <c r="M329" i="11"/>
  <c r="L329" i="11"/>
  <c r="K329" i="11"/>
  <c r="J329" i="11"/>
  <c r="I329" i="11"/>
  <c r="M328" i="11"/>
  <c r="L328" i="11"/>
  <c r="K328" i="11"/>
  <c r="J328" i="11"/>
  <c r="I328" i="11"/>
  <c r="M327" i="11"/>
  <c r="L327" i="11"/>
  <c r="K327" i="11"/>
  <c r="J327" i="11"/>
  <c r="I327" i="11"/>
  <c r="M326" i="11"/>
  <c r="L326" i="11"/>
  <c r="K326" i="11"/>
  <c r="J326" i="11"/>
  <c r="I326" i="11"/>
  <c r="M325" i="11"/>
  <c r="L325" i="11"/>
  <c r="K325" i="11"/>
  <c r="J325" i="11"/>
  <c r="I325" i="11"/>
  <c r="M324" i="11"/>
  <c r="L324" i="11"/>
  <c r="K324" i="11"/>
  <c r="J324" i="11"/>
  <c r="I324" i="11"/>
  <c r="M323" i="11"/>
  <c r="L323" i="11"/>
  <c r="K323" i="11"/>
  <c r="J323" i="11"/>
  <c r="I323" i="11"/>
  <c r="M322" i="11"/>
  <c r="L322" i="11"/>
  <c r="K322" i="11"/>
  <c r="J322" i="11"/>
  <c r="I322" i="11"/>
  <c r="M321" i="11"/>
  <c r="L321" i="11"/>
  <c r="K321" i="11"/>
  <c r="J321" i="11"/>
  <c r="I321" i="11"/>
  <c r="M320" i="11"/>
  <c r="L320" i="11"/>
  <c r="K320" i="11"/>
  <c r="J320" i="11"/>
  <c r="I320" i="11"/>
  <c r="M319" i="11"/>
  <c r="L319" i="11"/>
  <c r="K319" i="11"/>
  <c r="J319" i="11"/>
  <c r="I319" i="11"/>
  <c r="M318" i="11"/>
  <c r="L318" i="11"/>
  <c r="K318" i="11"/>
  <c r="J318" i="11"/>
  <c r="I318" i="11"/>
  <c r="M317" i="11"/>
  <c r="L317" i="11"/>
  <c r="K317" i="11"/>
  <c r="J317" i="11"/>
  <c r="I317" i="11"/>
  <c r="M316" i="11"/>
  <c r="L316" i="11"/>
  <c r="K316" i="11"/>
  <c r="J316" i="11"/>
  <c r="I316" i="11"/>
  <c r="M315" i="11"/>
  <c r="L315" i="11"/>
  <c r="K315" i="11"/>
  <c r="J315" i="11"/>
  <c r="I315" i="11"/>
  <c r="M314" i="11"/>
  <c r="L314" i="11"/>
  <c r="K314" i="11"/>
  <c r="J314" i="11"/>
  <c r="I314" i="11"/>
  <c r="M313" i="11"/>
  <c r="L313" i="11"/>
  <c r="K313" i="11"/>
  <c r="J313" i="11"/>
  <c r="I313" i="11"/>
  <c r="M312" i="11"/>
  <c r="L312" i="11"/>
  <c r="K312" i="11"/>
  <c r="J312" i="11"/>
  <c r="I312" i="11"/>
  <c r="M311" i="11"/>
  <c r="L311" i="11"/>
  <c r="K311" i="11"/>
  <c r="J311" i="11"/>
  <c r="I311" i="11"/>
  <c r="M310" i="11"/>
  <c r="L310" i="11"/>
  <c r="K310" i="11"/>
  <c r="J310" i="11"/>
  <c r="I310" i="11"/>
  <c r="M309" i="11"/>
  <c r="L309" i="11"/>
  <c r="K309" i="11"/>
  <c r="J309" i="11"/>
  <c r="I309" i="11"/>
  <c r="M308" i="11"/>
  <c r="L308" i="11"/>
  <c r="K308" i="11"/>
  <c r="J308" i="11"/>
  <c r="I308" i="11"/>
  <c r="M307" i="11"/>
  <c r="L307" i="11"/>
  <c r="K307" i="11"/>
  <c r="J307" i="11"/>
  <c r="I307" i="11"/>
  <c r="M306" i="11"/>
  <c r="L306" i="11"/>
  <c r="K306" i="11"/>
  <c r="J306" i="11"/>
  <c r="I306" i="11"/>
  <c r="M305" i="11"/>
  <c r="L305" i="11"/>
  <c r="K305" i="11"/>
  <c r="J305" i="11"/>
  <c r="I305" i="11"/>
  <c r="M304" i="11"/>
  <c r="L304" i="11"/>
  <c r="K304" i="11"/>
  <c r="J304" i="11"/>
  <c r="I304" i="11"/>
  <c r="M303" i="11"/>
  <c r="L303" i="11"/>
  <c r="K303" i="11"/>
  <c r="J303" i="11"/>
  <c r="I303" i="11"/>
  <c r="M302" i="11"/>
  <c r="L302" i="11"/>
  <c r="K302" i="11"/>
  <c r="J302" i="11"/>
  <c r="I302" i="11"/>
  <c r="M301" i="11"/>
  <c r="L301" i="11"/>
  <c r="K301" i="11"/>
  <c r="J301" i="11"/>
  <c r="I301" i="11"/>
  <c r="M300" i="11"/>
  <c r="L300" i="11"/>
  <c r="K300" i="11"/>
  <c r="J300" i="11"/>
  <c r="I300" i="11"/>
  <c r="M299" i="11"/>
  <c r="L299" i="11"/>
  <c r="K299" i="11"/>
  <c r="J299" i="11"/>
  <c r="I299" i="11"/>
  <c r="M298" i="11"/>
  <c r="L298" i="11"/>
  <c r="K298" i="11"/>
  <c r="J298" i="11"/>
  <c r="I298" i="11"/>
  <c r="M297" i="11"/>
  <c r="L297" i="11"/>
  <c r="K297" i="11"/>
  <c r="J297" i="11"/>
  <c r="I297" i="11"/>
  <c r="M296" i="11"/>
  <c r="L296" i="11"/>
  <c r="K296" i="11"/>
  <c r="J296" i="11"/>
  <c r="I296" i="11"/>
  <c r="M295" i="11"/>
  <c r="L295" i="11"/>
  <c r="K295" i="11"/>
  <c r="J295" i="11"/>
  <c r="I295" i="11"/>
  <c r="M294" i="11"/>
  <c r="L294" i="11"/>
  <c r="K294" i="11"/>
  <c r="J294" i="11"/>
  <c r="I294" i="11"/>
  <c r="M293" i="11"/>
  <c r="L293" i="11"/>
  <c r="K293" i="11"/>
  <c r="J293" i="11"/>
  <c r="I293" i="11"/>
  <c r="M292" i="11"/>
  <c r="L292" i="11"/>
  <c r="K292" i="11"/>
  <c r="J292" i="11"/>
  <c r="I292" i="11"/>
  <c r="M291" i="11"/>
  <c r="L291" i="11"/>
  <c r="K291" i="11"/>
  <c r="J291" i="11"/>
  <c r="I291" i="11"/>
  <c r="M290" i="11"/>
  <c r="L290" i="11"/>
  <c r="K290" i="11"/>
  <c r="J290" i="11"/>
  <c r="I290" i="11"/>
  <c r="M289" i="11"/>
  <c r="L289" i="11"/>
  <c r="K289" i="11"/>
  <c r="J289" i="11"/>
  <c r="I289" i="11"/>
  <c r="M288" i="11"/>
  <c r="L288" i="11"/>
  <c r="K288" i="11"/>
  <c r="J288" i="11"/>
  <c r="I288" i="11"/>
  <c r="M287" i="11"/>
  <c r="L287" i="11"/>
  <c r="K287" i="11"/>
  <c r="J287" i="11"/>
  <c r="I287" i="11"/>
  <c r="M286" i="11"/>
  <c r="L286" i="11"/>
  <c r="K286" i="11"/>
  <c r="J286" i="11"/>
  <c r="I286" i="11"/>
  <c r="M285" i="11"/>
  <c r="L285" i="11"/>
  <c r="K285" i="11"/>
  <c r="J285" i="11"/>
  <c r="I285" i="11"/>
  <c r="M284" i="11"/>
  <c r="L284" i="11"/>
  <c r="K284" i="11"/>
  <c r="J284" i="11"/>
  <c r="I284" i="11"/>
  <c r="M283" i="11"/>
  <c r="L283" i="11"/>
  <c r="K283" i="11"/>
  <c r="J283" i="11"/>
  <c r="I283" i="11"/>
  <c r="M282" i="11"/>
  <c r="L282" i="11"/>
  <c r="K282" i="11"/>
  <c r="J282" i="11"/>
  <c r="I282" i="11"/>
  <c r="M281" i="11"/>
  <c r="L281" i="11"/>
  <c r="K281" i="11"/>
  <c r="J281" i="11"/>
  <c r="I281" i="11"/>
  <c r="M280" i="11"/>
  <c r="L280" i="11"/>
  <c r="K280" i="11"/>
  <c r="J280" i="11"/>
  <c r="I280" i="11"/>
  <c r="M279" i="11"/>
  <c r="L279" i="11"/>
  <c r="K279" i="11"/>
  <c r="J279" i="11"/>
  <c r="I279" i="11"/>
  <c r="M278" i="11"/>
  <c r="L278" i="11"/>
  <c r="K278" i="11"/>
  <c r="J278" i="11"/>
  <c r="I278" i="11"/>
  <c r="M277" i="11"/>
  <c r="L277" i="11"/>
  <c r="K277" i="11"/>
  <c r="J277" i="11"/>
  <c r="I277" i="11"/>
  <c r="M276" i="11"/>
  <c r="L276" i="11"/>
  <c r="K276" i="11"/>
  <c r="J276" i="11"/>
  <c r="I276" i="11"/>
  <c r="M275" i="11"/>
  <c r="L275" i="11"/>
  <c r="K275" i="11"/>
  <c r="J275" i="11"/>
  <c r="I275" i="11"/>
  <c r="M274" i="11"/>
  <c r="L274" i="11"/>
  <c r="K274" i="11"/>
  <c r="J274" i="11"/>
  <c r="I274" i="11"/>
  <c r="M273" i="11"/>
  <c r="L273" i="11"/>
  <c r="K273" i="11"/>
  <c r="J273" i="11"/>
  <c r="I273" i="11"/>
  <c r="M272" i="11"/>
  <c r="L272" i="11"/>
  <c r="K272" i="11"/>
  <c r="J272" i="11"/>
  <c r="I272" i="11"/>
  <c r="M271" i="11"/>
  <c r="L271" i="11"/>
  <c r="K271" i="11"/>
  <c r="J271" i="11"/>
  <c r="I271" i="11"/>
  <c r="M270" i="11"/>
  <c r="L270" i="11"/>
  <c r="K270" i="11"/>
  <c r="J270" i="11"/>
  <c r="I270" i="11"/>
  <c r="M269" i="11"/>
  <c r="L269" i="11"/>
  <c r="K269" i="11"/>
  <c r="J269" i="11"/>
  <c r="I269" i="11"/>
  <c r="M268" i="11"/>
  <c r="L268" i="11"/>
  <c r="K268" i="11"/>
  <c r="J268" i="11"/>
  <c r="I268" i="11"/>
  <c r="M267" i="11"/>
  <c r="L267" i="11"/>
  <c r="K267" i="11"/>
  <c r="J267" i="11"/>
  <c r="I267" i="11"/>
  <c r="M266" i="11"/>
  <c r="L266" i="11"/>
  <c r="K266" i="11"/>
  <c r="J266" i="11"/>
  <c r="I266" i="11"/>
  <c r="M265" i="11"/>
  <c r="L265" i="11"/>
  <c r="K265" i="11"/>
  <c r="J265" i="11"/>
  <c r="I265" i="11"/>
  <c r="M264" i="11"/>
  <c r="L264" i="11"/>
  <c r="K264" i="11"/>
  <c r="J264" i="11"/>
  <c r="I264" i="11"/>
  <c r="M263" i="11"/>
  <c r="L263" i="11"/>
  <c r="K263" i="11"/>
  <c r="J263" i="11"/>
  <c r="I263" i="11"/>
  <c r="M262" i="11"/>
  <c r="L262" i="11"/>
  <c r="K262" i="11"/>
  <c r="J262" i="11"/>
  <c r="I262" i="11"/>
  <c r="M261" i="11"/>
  <c r="L261" i="11"/>
  <c r="K261" i="11"/>
  <c r="J261" i="11"/>
  <c r="I261" i="11"/>
  <c r="M260" i="11"/>
  <c r="L260" i="11"/>
  <c r="K260" i="11"/>
  <c r="J260" i="11"/>
  <c r="I260" i="11"/>
  <c r="M259" i="11"/>
  <c r="L259" i="11"/>
  <c r="K259" i="11"/>
  <c r="J259" i="11"/>
  <c r="I259" i="11"/>
  <c r="M258" i="11"/>
  <c r="L258" i="11"/>
  <c r="K258" i="11"/>
  <c r="J258" i="11"/>
  <c r="I258" i="11"/>
  <c r="M257" i="11"/>
  <c r="L257" i="11"/>
  <c r="K257" i="11"/>
  <c r="J257" i="11"/>
  <c r="I257" i="11"/>
  <c r="M256" i="11"/>
  <c r="L256" i="11"/>
  <c r="K256" i="11"/>
  <c r="J256" i="11"/>
  <c r="I256" i="11"/>
  <c r="M255" i="11"/>
  <c r="L255" i="11"/>
  <c r="K255" i="11"/>
  <c r="J255" i="11"/>
  <c r="I255" i="11"/>
  <c r="M254" i="11"/>
  <c r="L254" i="11"/>
  <c r="K254" i="11"/>
  <c r="J254" i="11"/>
  <c r="I254" i="11"/>
  <c r="M253" i="11"/>
  <c r="L253" i="11"/>
  <c r="K253" i="11"/>
  <c r="J253" i="11"/>
  <c r="I253" i="11"/>
  <c r="M252" i="11"/>
  <c r="L252" i="11"/>
  <c r="K252" i="11"/>
  <c r="J252" i="11"/>
  <c r="I252" i="11"/>
  <c r="M251" i="11"/>
  <c r="L251" i="11"/>
  <c r="K251" i="11"/>
  <c r="J251" i="11"/>
  <c r="I251" i="11"/>
  <c r="M250" i="11"/>
  <c r="L250" i="11"/>
  <c r="K250" i="11"/>
  <c r="J250" i="11"/>
  <c r="I250" i="11"/>
  <c r="M249" i="11"/>
  <c r="L249" i="11"/>
  <c r="K249" i="11"/>
  <c r="J249" i="11"/>
  <c r="I249" i="11"/>
  <c r="M248" i="11"/>
  <c r="L248" i="11"/>
  <c r="K248" i="11"/>
  <c r="J248" i="11"/>
  <c r="I248" i="11"/>
  <c r="M247" i="11"/>
  <c r="L247" i="11"/>
  <c r="K247" i="11"/>
  <c r="J247" i="11"/>
  <c r="I247" i="11"/>
  <c r="M246" i="11"/>
  <c r="L246" i="11"/>
  <c r="K246" i="11"/>
  <c r="J246" i="11"/>
  <c r="I246" i="11"/>
  <c r="M245" i="11"/>
  <c r="L245" i="11"/>
  <c r="K245" i="11"/>
  <c r="J245" i="11"/>
  <c r="I245" i="11"/>
  <c r="M244" i="11"/>
  <c r="L244" i="11"/>
  <c r="K244" i="11"/>
  <c r="J244" i="11"/>
  <c r="I244" i="11"/>
  <c r="M243" i="11"/>
  <c r="L243" i="11"/>
  <c r="K243" i="11"/>
  <c r="J243" i="11"/>
  <c r="I243" i="11"/>
  <c r="M242" i="11"/>
  <c r="L242" i="11"/>
  <c r="K242" i="11"/>
  <c r="J242" i="11"/>
  <c r="I242" i="11"/>
  <c r="M241" i="11"/>
  <c r="L241" i="11"/>
  <c r="K241" i="11"/>
  <c r="J241" i="11"/>
  <c r="I241" i="11"/>
  <c r="M240" i="11"/>
  <c r="L240" i="11"/>
  <c r="K240" i="11"/>
  <c r="J240" i="11"/>
  <c r="I240" i="11"/>
  <c r="M239" i="11"/>
  <c r="L239" i="11"/>
  <c r="K239" i="11"/>
  <c r="J239" i="11"/>
  <c r="I239" i="11"/>
  <c r="M238" i="11"/>
  <c r="L238" i="11"/>
  <c r="K238" i="11"/>
  <c r="J238" i="11"/>
  <c r="I238" i="11"/>
  <c r="M237" i="11"/>
  <c r="L237" i="11"/>
  <c r="K237" i="11"/>
  <c r="J237" i="11"/>
  <c r="I237" i="11"/>
  <c r="M236" i="11"/>
  <c r="L236" i="11"/>
  <c r="K236" i="11"/>
  <c r="J236" i="11"/>
  <c r="I236" i="11"/>
  <c r="M235" i="11"/>
  <c r="L235" i="11"/>
  <c r="K235" i="11"/>
  <c r="J235" i="11"/>
  <c r="I235" i="11"/>
  <c r="M234" i="11"/>
  <c r="L234" i="11"/>
  <c r="K234" i="11"/>
  <c r="J234" i="11"/>
  <c r="I234" i="11"/>
  <c r="M233" i="11"/>
  <c r="L233" i="11"/>
  <c r="K233" i="11"/>
  <c r="J233" i="11"/>
  <c r="I233" i="11"/>
  <c r="M232" i="11"/>
  <c r="L232" i="11"/>
  <c r="K232" i="11"/>
  <c r="J232" i="11"/>
  <c r="I232" i="11"/>
  <c r="M231" i="11"/>
  <c r="L231" i="11"/>
  <c r="K231" i="11"/>
  <c r="J231" i="11"/>
  <c r="I231" i="11"/>
  <c r="M230" i="11"/>
  <c r="L230" i="11"/>
  <c r="K230" i="11"/>
  <c r="J230" i="11"/>
  <c r="I230" i="11"/>
  <c r="M229" i="11"/>
  <c r="L229" i="11"/>
  <c r="K229" i="11"/>
  <c r="J229" i="11"/>
  <c r="I229" i="11"/>
  <c r="M228" i="11"/>
  <c r="L228" i="11"/>
  <c r="K228" i="11"/>
  <c r="J228" i="11"/>
  <c r="I228" i="11"/>
  <c r="M227" i="11"/>
  <c r="L227" i="11"/>
  <c r="K227" i="11"/>
  <c r="J227" i="11"/>
  <c r="I227" i="11"/>
  <c r="M226" i="11"/>
  <c r="L226" i="11"/>
  <c r="K226" i="11"/>
  <c r="J226" i="11"/>
  <c r="I226" i="11"/>
  <c r="M225" i="11"/>
  <c r="L225" i="11"/>
  <c r="K225" i="11"/>
  <c r="J225" i="11"/>
  <c r="I225" i="11"/>
  <c r="M224" i="11"/>
  <c r="L224" i="11"/>
  <c r="K224" i="11"/>
  <c r="J224" i="11"/>
  <c r="I224" i="11"/>
  <c r="M223" i="11"/>
  <c r="L223" i="11"/>
  <c r="K223" i="11"/>
  <c r="J223" i="11"/>
  <c r="I223" i="11"/>
  <c r="M222" i="11"/>
  <c r="L222" i="11"/>
  <c r="K222" i="11"/>
  <c r="J222" i="11"/>
  <c r="I222" i="11"/>
  <c r="M221" i="11"/>
  <c r="L221" i="11"/>
  <c r="K221" i="11"/>
  <c r="J221" i="11"/>
  <c r="I221" i="11"/>
  <c r="M220" i="11"/>
  <c r="L220" i="11"/>
  <c r="K220" i="11"/>
  <c r="J220" i="11"/>
  <c r="I220" i="11"/>
  <c r="M219" i="11"/>
  <c r="L219" i="11"/>
  <c r="K219" i="11"/>
  <c r="J219" i="11"/>
  <c r="I219" i="11"/>
  <c r="M218" i="11"/>
  <c r="L218" i="11"/>
  <c r="K218" i="11"/>
  <c r="J218" i="11"/>
  <c r="I218" i="11"/>
  <c r="M217" i="11"/>
  <c r="L217" i="11"/>
  <c r="K217" i="11"/>
  <c r="J217" i="11"/>
  <c r="I217" i="11"/>
  <c r="M216" i="11"/>
  <c r="L216" i="11"/>
  <c r="K216" i="11"/>
  <c r="J216" i="11"/>
  <c r="I216" i="11"/>
  <c r="M215" i="11"/>
  <c r="L215" i="11"/>
  <c r="K215" i="11"/>
  <c r="J215" i="11"/>
  <c r="I215" i="11"/>
  <c r="M214" i="11"/>
  <c r="L214" i="11"/>
  <c r="K214" i="11"/>
  <c r="J214" i="11"/>
  <c r="I214" i="11"/>
  <c r="M213" i="11"/>
  <c r="L213" i="11"/>
  <c r="K213" i="11"/>
  <c r="J213" i="11"/>
  <c r="I213" i="11"/>
  <c r="M212" i="11"/>
  <c r="L212" i="11"/>
  <c r="K212" i="11"/>
  <c r="J212" i="11"/>
  <c r="I212" i="11"/>
  <c r="M211" i="11"/>
  <c r="L211" i="11"/>
  <c r="K211" i="11"/>
  <c r="J211" i="11"/>
  <c r="I211" i="11"/>
  <c r="M210" i="11"/>
  <c r="L210" i="11"/>
  <c r="K210" i="11"/>
  <c r="J210" i="11"/>
  <c r="I210" i="11"/>
  <c r="M209" i="11"/>
  <c r="L209" i="11"/>
  <c r="K209" i="11"/>
  <c r="J209" i="11"/>
  <c r="I209" i="11"/>
  <c r="M208" i="11"/>
  <c r="L208" i="11"/>
  <c r="K208" i="11"/>
  <c r="J208" i="11"/>
  <c r="I208" i="11"/>
  <c r="M207" i="11"/>
  <c r="L207" i="11"/>
  <c r="K207" i="11"/>
  <c r="J207" i="11"/>
  <c r="I207" i="11"/>
  <c r="M206" i="11"/>
  <c r="L206" i="11"/>
  <c r="K206" i="11"/>
  <c r="J206" i="11"/>
  <c r="I206" i="11"/>
  <c r="M205" i="11"/>
  <c r="L205" i="11"/>
  <c r="K205" i="11"/>
  <c r="J205" i="11"/>
  <c r="I205" i="11"/>
  <c r="M204" i="11"/>
  <c r="L204" i="11"/>
  <c r="K204" i="11"/>
  <c r="J204" i="11"/>
  <c r="I204" i="11"/>
  <c r="M203" i="11"/>
  <c r="L203" i="11"/>
  <c r="K203" i="11"/>
  <c r="J203" i="11"/>
  <c r="I203" i="11"/>
  <c r="M202" i="11"/>
  <c r="L202" i="11"/>
  <c r="K202" i="11"/>
  <c r="J202" i="11"/>
  <c r="I202" i="11"/>
  <c r="M201" i="11"/>
  <c r="L201" i="11"/>
  <c r="K201" i="11"/>
  <c r="J201" i="11"/>
  <c r="I201" i="11"/>
  <c r="M200" i="11"/>
  <c r="L200" i="11"/>
  <c r="K200" i="11"/>
  <c r="J200" i="11"/>
  <c r="I200" i="11"/>
  <c r="M199" i="11"/>
  <c r="L199" i="11"/>
  <c r="K199" i="11"/>
  <c r="J199" i="11"/>
  <c r="I199" i="11"/>
  <c r="M198" i="11"/>
  <c r="L198" i="11"/>
  <c r="K198" i="11"/>
  <c r="J198" i="11"/>
  <c r="I198" i="11"/>
  <c r="M197" i="11"/>
  <c r="L197" i="11"/>
  <c r="K197" i="11"/>
  <c r="J197" i="11"/>
  <c r="I197" i="11"/>
  <c r="M196" i="11"/>
  <c r="L196" i="11"/>
  <c r="K196" i="11"/>
  <c r="J196" i="11"/>
  <c r="I196" i="11"/>
  <c r="M195" i="11"/>
  <c r="L195" i="11"/>
  <c r="K195" i="11"/>
  <c r="J195" i="11"/>
  <c r="I195" i="11"/>
  <c r="M194" i="11"/>
  <c r="L194" i="11"/>
  <c r="K194" i="11"/>
  <c r="J194" i="11"/>
  <c r="I194" i="11"/>
  <c r="M193" i="11"/>
  <c r="L193" i="11"/>
  <c r="K193" i="11"/>
  <c r="J193" i="11"/>
  <c r="I193" i="11"/>
  <c r="M192" i="11"/>
  <c r="L192" i="11"/>
  <c r="K192" i="11"/>
  <c r="J192" i="11"/>
  <c r="I192" i="11"/>
  <c r="M191" i="11"/>
  <c r="L191" i="11"/>
  <c r="K191" i="11"/>
  <c r="J191" i="11"/>
  <c r="I191" i="11"/>
  <c r="M190" i="11"/>
  <c r="L190" i="11"/>
  <c r="K190" i="11"/>
  <c r="J190" i="11"/>
  <c r="I190" i="11"/>
  <c r="M189" i="11"/>
  <c r="L189" i="11"/>
  <c r="K189" i="11"/>
  <c r="J189" i="11"/>
  <c r="I189" i="11"/>
  <c r="M188" i="11"/>
  <c r="L188" i="11"/>
  <c r="K188" i="11"/>
  <c r="J188" i="11"/>
  <c r="I188" i="11"/>
  <c r="M187" i="11"/>
  <c r="L187" i="11"/>
  <c r="K187" i="11"/>
  <c r="J187" i="11"/>
  <c r="I187" i="11"/>
  <c r="M186" i="11"/>
  <c r="L186" i="11"/>
  <c r="K186" i="11"/>
  <c r="J186" i="11"/>
  <c r="I186" i="11"/>
  <c r="M185" i="11"/>
  <c r="L185" i="11"/>
  <c r="K185" i="11"/>
  <c r="J185" i="11"/>
  <c r="I185" i="11"/>
  <c r="M184" i="11"/>
  <c r="L184" i="11"/>
  <c r="K184" i="11"/>
  <c r="J184" i="11"/>
  <c r="I184" i="11"/>
  <c r="M183" i="11"/>
  <c r="L183" i="11"/>
  <c r="K183" i="11"/>
  <c r="J183" i="11"/>
  <c r="I183" i="11"/>
  <c r="M182" i="11"/>
  <c r="L182" i="11"/>
  <c r="K182" i="11"/>
  <c r="J182" i="11"/>
  <c r="I182" i="11"/>
  <c r="M181" i="11"/>
  <c r="L181" i="11"/>
  <c r="K181" i="11"/>
  <c r="J181" i="11"/>
  <c r="I181" i="11"/>
  <c r="M180" i="11"/>
  <c r="L180" i="11"/>
  <c r="K180" i="11"/>
  <c r="J180" i="11"/>
  <c r="I180" i="11"/>
  <c r="M179" i="11"/>
  <c r="L179" i="11"/>
  <c r="K179" i="11"/>
  <c r="J179" i="11"/>
  <c r="I179" i="11"/>
  <c r="M178" i="11"/>
  <c r="L178" i="11"/>
  <c r="K178" i="11"/>
  <c r="J178" i="11"/>
  <c r="I178" i="11"/>
  <c r="M177" i="11"/>
  <c r="L177" i="11"/>
  <c r="K177" i="11"/>
  <c r="J177" i="11"/>
  <c r="I177" i="11"/>
  <c r="M176" i="11"/>
  <c r="L176" i="11"/>
  <c r="K176" i="11"/>
  <c r="J176" i="11"/>
  <c r="I176" i="11"/>
  <c r="M175" i="11"/>
  <c r="L175" i="11"/>
  <c r="K175" i="11"/>
  <c r="J175" i="11"/>
  <c r="I175" i="11"/>
  <c r="M174" i="11"/>
  <c r="L174" i="11"/>
  <c r="K174" i="11"/>
  <c r="J174" i="11"/>
  <c r="I174" i="11"/>
  <c r="M173" i="11"/>
  <c r="L173" i="11"/>
  <c r="K173" i="11"/>
  <c r="J173" i="11"/>
  <c r="I173" i="11"/>
  <c r="M172" i="11"/>
  <c r="L172" i="11"/>
  <c r="K172" i="11"/>
  <c r="J172" i="11"/>
  <c r="I172" i="11"/>
  <c r="M171" i="11"/>
  <c r="L171" i="11"/>
  <c r="K171" i="11"/>
  <c r="J171" i="11"/>
  <c r="I171" i="11"/>
  <c r="M170" i="11"/>
  <c r="L170" i="11"/>
  <c r="K170" i="11"/>
  <c r="J170" i="11"/>
  <c r="I170" i="11"/>
  <c r="M169" i="11"/>
  <c r="L169" i="11"/>
  <c r="K169" i="11"/>
  <c r="J169" i="11"/>
  <c r="I169" i="11"/>
  <c r="M168" i="11"/>
  <c r="L168" i="11"/>
  <c r="K168" i="11"/>
  <c r="J168" i="11"/>
  <c r="I168" i="11"/>
  <c r="M167" i="11"/>
  <c r="L167" i="11"/>
  <c r="K167" i="11"/>
  <c r="J167" i="11"/>
  <c r="I167" i="11"/>
  <c r="M166" i="11"/>
  <c r="L166" i="11"/>
  <c r="K166" i="11"/>
  <c r="J166" i="11"/>
  <c r="I166" i="11"/>
  <c r="M165" i="11"/>
  <c r="L165" i="11"/>
  <c r="K165" i="11"/>
  <c r="J165" i="11"/>
  <c r="I165" i="11"/>
  <c r="M164" i="11"/>
  <c r="L164" i="11"/>
  <c r="K164" i="11"/>
  <c r="J164" i="11"/>
  <c r="I164" i="11"/>
  <c r="M163" i="11"/>
  <c r="L163" i="11"/>
  <c r="K163" i="11"/>
  <c r="J163" i="11"/>
  <c r="I163" i="11"/>
  <c r="M162" i="11"/>
  <c r="L162" i="11"/>
  <c r="K162" i="11"/>
  <c r="J162" i="11"/>
  <c r="I162" i="11"/>
  <c r="M161" i="11"/>
  <c r="L161" i="11"/>
  <c r="K161" i="11"/>
  <c r="J161" i="11"/>
  <c r="I161" i="11"/>
  <c r="M160" i="11"/>
  <c r="L160" i="11"/>
  <c r="K160" i="11"/>
  <c r="J160" i="11"/>
  <c r="I160" i="11"/>
  <c r="M159" i="11"/>
  <c r="L159" i="11"/>
  <c r="K159" i="11"/>
  <c r="J159" i="11"/>
  <c r="I159" i="11"/>
  <c r="M158" i="11"/>
  <c r="L158" i="11"/>
  <c r="K158" i="11"/>
  <c r="J158" i="11"/>
  <c r="I158" i="11"/>
  <c r="M157" i="11"/>
  <c r="L157" i="11"/>
  <c r="K157" i="11"/>
  <c r="J157" i="11"/>
  <c r="I157" i="11"/>
  <c r="M156" i="11"/>
  <c r="L156" i="11"/>
  <c r="K156" i="11"/>
  <c r="J156" i="11"/>
  <c r="I156" i="11"/>
  <c r="M155" i="11"/>
  <c r="L155" i="11"/>
  <c r="K155" i="11"/>
  <c r="J155" i="11"/>
  <c r="I155" i="11"/>
  <c r="M154" i="11"/>
  <c r="L154" i="11"/>
  <c r="K154" i="11"/>
  <c r="J154" i="11"/>
  <c r="I154" i="11"/>
  <c r="M153" i="11"/>
  <c r="L153" i="11"/>
  <c r="K153" i="11"/>
  <c r="J153" i="11"/>
  <c r="I153" i="11"/>
  <c r="M152" i="11"/>
  <c r="L152" i="11"/>
  <c r="K152" i="11"/>
  <c r="J152" i="11"/>
  <c r="I152" i="11"/>
  <c r="M151" i="11"/>
  <c r="L151" i="11"/>
  <c r="K151" i="11"/>
  <c r="J151" i="11"/>
  <c r="I151" i="11"/>
  <c r="M150" i="11"/>
  <c r="L150" i="11"/>
  <c r="K150" i="11"/>
  <c r="J150" i="11"/>
  <c r="I150" i="11"/>
  <c r="M149" i="11"/>
  <c r="L149" i="11"/>
  <c r="K149" i="11"/>
  <c r="J149" i="11"/>
  <c r="I149" i="11"/>
  <c r="M148" i="11"/>
  <c r="L148" i="11"/>
  <c r="K148" i="11"/>
  <c r="J148" i="11"/>
  <c r="I148" i="11"/>
  <c r="M147" i="11"/>
  <c r="L147" i="11"/>
  <c r="K147" i="11"/>
  <c r="J147" i="11"/>
  <c r="I147" i="11"/>
  <c r="M146" i="11"/>
  <c r="L146" i="11"/>
  <c r="K146" i="11"/>
  <c r="J146" i="11"/>
  <c r="I146" i="11"/>
  <c r="M145" i="11"/>
  <c r="L145" i="11"/>
  <c r="K145" i="11"/>
  <c r="J145" i="11"/>
  <c r="I145" i="11"/>
  <c r="M144" i="11"/>
  <c r="L144" i="11"/>
  <c r="K144" i="11"/>
  <c r="J144" i="11"/>
  <c r="I144" i="11"/>
  <c r="M143" i="11"/>
  <c r="L143" i="11"/>
  <c r="K143" i="11"/>
  <c r="J143" i="11"/>
  <c r="I143" i="11"/>
  <c r="M142" i="11"/>
  <c r="L142" i="11"/>
  <c r="K142" i="11"/>
  <c r="J142" i="11"/>
  <c r="I142" i="11"/>
  <c r="M141" i="11"/>
  <c r="L141" i="11"/>
  <c r="K141" i="11"/>
  <c r="J141" i="11"/>
  <c r="I141" i="11"/>
  <c r="M140" i="11"/>
  <c r="L140" i="11"/>
  <c r="K140" i="11"/>
  <c r="J140" i="11"/>
  <c r="I140" i="11"/>
  <c r="M139" i="11"/>
  <c r="L139" i="11"/>
  <c r="K139" i="11"/>
  <c r="J139" i="11"/>
  <c r="I139" i="11"/>
  <c r="M138" i="11"/>
  <c r="L138" i="11"/>
  <c r="K138" i="11"/>
  <c r="J138" i="11"/>
  <c r="I138" i="11"/>
  <c r="M137" i="11"/>
  <c r="L137" i="11"/>
  <c r="K137" i="11"/>
  <c r="J137" i="11"/>
  <c r="I137" i="11"/>
  <c r="M136" i="11"/>
  <c r="L136" i="11"/>
  <c r="K136" i="11"/>
  <c r="J136" i="11"/>
  <c r="I136" i="11"/>
  <c r="M135" i="11"/>
  <c r="L135" i="11"/>
  <c r="K135" i="11"/>
  <c r="J135" i="11"/>
  <c r="I135" i="11"/>
  <c r="M134" i="11"/>
  <c r="L134" i="11"/>
  <c r="K134" i="11"/>
  <c r="J134" i="11"/>
  <c r="I134" i="11"/>
  <c r="M133" i="11"/>
  <c r="L133" i="11"/>
  <c r="K133" i="11"/>
  <c r="J133" i="11"/>
  <c r="I133" i="11"/>
  <c r="M132" i="11"/>
  <c r="L132" i="11"/>
  <c r="K132" i="11"/>
  <c r="J132" i="11"/>
  <c r="I132" i="11"/>
  <c r="M131" i="11"/>
  <c r="L131" i="11"/>
  <c r="K131" i="11"/>
  <c r="J131" i="11"/>
  <c r="I131" i="11"/>
  <c r="M130" i="11"/>
  <c r="L130" i="11"/>
  <c r="K130" i="11"/>
  <c r="J130" i="11"/>
  <c r="I130" i="11"/>
  <c r="M129" i="11"/>
  <c r="L129" i="11"/>
  <c r="K129" i="11"/>
  <c r="J129" i="11"/>
  <c r="I129" i="11"/>
  <c r="M128" i="11"/>
  <c r="L128" i="11"/>
  <c r="K128" i="11"/>
  <c r="J128" i="11"/>
  <c r="I128" i="11"/>
  <c r="M127" i="11"/>
  <c r="L127" i="11"/>
  <c r="K127" i="11"/>
  <c r="J127" i="11"/>
  <c r="I127" i="11"/>
  <c r="M126" i="11"/>
  <c r="L126" i="11"/>
  <c r="K126" i="11"/>
  <c r="J126" i="11"/>
  <c r="I126" i="11"/>
  <c r="M125" i="11"/>
  <c r="L125" i="11"/>
  <c r="K125" i="11"/>
  <c r="J125" i="11"/>
  <c r="I125" i="11"/>
  <c r="M124" i="11"/>
  <c r="L124" i="11"/>
  <c r="K124" i="11"/>
  <c r="J124" i="11"/>
  <c r="I124" i="11"/>
  <c r="M123" i="11"/>
  <c r="L123" i="11"/>
  <c r="K123" i="11"/>
  <c r="J123" i="11"/>
  <c r="I123" i="11"/>
  <c r="M122" i="11"/>
  <c r="L122" i="11"/>
  <c r="K122" i="11"/>
  <c r="J122" i="11"/>
  <c r="I122" i="11"/>
  <c r="M121" i="11"/>
  <c r="L121" i="11"/>
  <c r="K121" i="11"/>
  <c r="J121" i="11"/>
  <c r="I121" i="11"/>
  <c r="M120" i="11"/>
  <c r="L120" i="11"/>
  <c r="K120" i="11"/>
  <c r="J120" i="11"/>
  <c r="I120" i="11"/>
  <c r="M119" i="11"/>
  <c r="L119" i="11"/>
  <c r="K119" i="11"/>
  <c r="J119" i="11"/>
  <c r="I119" i="11"/>
  <c r="M118" i="11"/>
  <c r="L118" i="11"/>
  <c r="K118" i="11"/>
  <c r="J118" i="11"/>
  <c r="I118" i="11"/>
  <c r="M117" i="11"/>
  <c r="L117" i="11"/>
  <c r="K117" i="11"/>
  <c r="J117" i="11"/>
  <c r="I117" i="11"/>
  <c r="M116" i="11"/>
  <c r="L116" i="11"/>
  <c r="K116" i="11"/>
  <c r="J116" i="11"/>
  <c r="I116" i="11"/>
  <c r="M115" i="11"/>
  <c r="L115" i="11"/>
  <c r="K115" i="11"/>
  <c r="J115" i="11"/>
  <c r="I115" i="11"/>
  <c r="M114" i="11"/>
  <c r="L114" i="11"/>
  <c r="K114" i="11"/>
  <c r="J114" i="11"/>
  <c r="I114" i="11"/>
  <c r="M113" i="11"/>
  <c r="L113" i="11"/>
  <c r="K113" i="11"/>
  <c r="J113" i="11"/>
  <c r="I113" i="11"/>
  <c r="M112" i="11"/>
  <c r="L112" i="11"/>
  <c r="K112" i="11"/>
  <c r="J112" i="11"/>
  <c r="I112" i="11"/>
  <c r="M111" i="11"/>
  <c r="L111" i="11"/>
  <c r="K111" i="11"/>
  <c r="J111" i="11"/>
  <c r="I111" i="11"/>
  <c r="M110" i="11"/>
  <c r="L110" i="11"/>
  <c r="K110" i="11"/>
  <c r="J110" i="11"/>
  <c r="I110" i="11"/>
  <c r="M109" i="11"/>
  <c r="L109" i="11"/>
  <c r="K109" i="11"/>
  <c r="J109" i="11"/>
  <c r="I109" i="11"/>
  <c r="M108" i="11"/>
  <c r="L108" i="11"/>
  <c r="K108" i="11"/>
  <c r="J108" i="11"/>
  <c r="I108" i="11"/>
  <c r="M107" i="11"/>
  <c r="L107" i="11"/>
  <c r="K107" i="11"/>
  <c r="J107" i="11"/>
  <c r="I107" i="11"/>
  <c r="M106" i="11"/>
  <c r="L106" i="11"/>
  <c r="K106" i="11"/>
  <c r="J106" i="11"/>
  <c r="I106" i="11"/>
  <c r="M105" i="11"/>
  <c r="L105" i="11"/>
  <c r="K105" i="11"/>
  <c r="J105" i="11"/>
  <c r="I105" i="11"/>
  <c r="M104" i="11"/>
  <c r="L104" i="11"/>
  <c r="K104" i="11"/>
  <c r="J104" i="11"/>
  <c r="I104" i="11"/>
  <c r="M103" i="11"/>
  <c r="L103" i="11"/>
  <c r="K103" i="11"/>
  <c r="J103" i="11"/>
  <c r="I103" i="11"/>
  <c r="M102" i="11"/>
  <c r="L102" i="11"/>
  <c r="K102" i="11"/>
  <c r="J102" i="11"/>
  <c r="I102" i="11"/>
  <c r="M101" i="11"/>
  <c r="L101" i="11"/>
  <c r="K101" i="11"/>
  <c r="J101" i="11"/>
  <c r="I101" i="11"/>
  <c r="M100" i="11"/>
  <c r="L100" i="11"/>
  <c r="K100" i="11"/>
  <c r="J100" i="11"/>
  <c r="I100" i="11"/>
  <c r="M99" i="11"/>
  <c r="L99" i="11"/>
  <c r="K99" i="11"/>
  <c r="J99" i="11"/>
  <c r="I99" i="11"/>
  <c r="M98" i="11"/>
  <c r="L98" i="11"/>
  <c r="K98" i="11"/>
  <c r="J98" i="11"/>
  <c r="I98" i="11"/>
  <c r="M97" i="11"/>
  <c r="L97" i="11"/>
  <c r="K97" i="11"/>
  <c r="J97" i="11"/>
  <c r="I97" i="11"/>
  <c r="M96" i="11"/>
  <c r="L96" i="11"/>
  <c r="K96" i="11"/>
  <c r="J96" i="11"/>
  <c r="I96" i="11"/>
  <c r="M95" i="11"/>
  <c r="L95" i="11"/>
  <c r="K95" i="11"/>
  <c r="J95" i="11"/>
  <c r="I95" i="11"/>
  <c r="M94" i="11"/>
  <c r="L94" i="11"/>
  <c r="K94" i="11"/>
  <c r="J94" i="11"/>
  <c r="I94" i="11"/>
  <c r="M93" i="11"/>
  <c r="L93" i="11"/>
  <c r="K93" i="11"/>
  <c r="J93" i="11"/>
  <c r="I93" i="11"/>
  <c r="M92" i="11"/>
  <c r="L92" i="11"/>
  <c r="K92" i="11"/>
  <c r="J92" i="11"/>
  <c r="I92" i="11"/>
  <c r="M91" i="11"/>
  <c r="L91" i="11"/>
  <c r="K91" i="11"/>
  <c r="J91" i="11"/>
  <c r="I91" i="11"/>
  <c r="M90" i="11"/>
  <c r="L90" i="11"/>
  <c r="K90" i="11"/>
  <c r="J90" i="11"/>
  <c r="I90" i="11"/>
  <c r="M89" i="11"/>
  <c r="L89" i="11"/>
  <c r="K89" i="11"/>
  <c r="J89" i="11"/>
  <c r="I89" i="11"/>
  <c r="M88" i="11"/>
  <c r="L88" i="11"/>
  <c r="K88" i="11"/>
  <c r="J88" i="11"/>
  <c r="I88" i="11"/>
  <c r="M87" i="11"/>
  <c r="L87" i="11"/>
  <c r="K87" i="11"/>
  <c r="J87" i="11"/>
  <c r="I87" i="11"/>
  <c r="M86" i="11"/>
  <c r="L86" i="11"/>
  <c r="K86" i="11"/>
  <c r="J86" i="11"/>
  <c r="I86" i="11"/>
  <c r="M85" i="11"/>
  <c r="L85" i="11"/>
  <c r="K85" i="11"/>
  <c r="J85" i="11"/>
  <c r="I85" i="11"/>
  <c r="M84" i="11"/>
  <c r="L84" i="11"/>
  <c r="K84" i="11"/>
  <c r="J84" i="11"/>
  <c r="I84" i="11"/>
  <c r="M83" i="11"/>
  <c r="L83" i="11"/>
  <c r="K83" i="11"/>
  <c r="J83" i="11"/>
  <c r="I83" i="11"/>
  <c r="M82" i="11"/>
  <c r="L82" i="11"/>
  <c r="K82" i="11"/>
  <c r="J82" i="11"/>
  <c r="I82" i="11"/>
  <c r="M81" i="11"/>
  <c r="L81" i="11"/>
  <c r="K81" i="11"/>
  <c r="J81" i="11"/>
  <c r="I81" i="11"/>
  <c r="M80" i="11"/>
  <c r="L80" i="11"/>
  <c r="K80" i="11"/>
  <c r="J80" i="11"/>
  <c r="I80" i="11"/>
  <c r="M79" i="11"/>
  <c r="L79" i="11"/>
  <c r="K79" i="11"/>
  <c r="J79" i="11"/>
  <c r="I79" i="11"/>
  <c r="M78" i="11"/>
  <c r="L78" i="11"/>
  <c r="K78" i="11"/>
  <c r="J78" i="11"/>
  <c r="I78" i="11"/>
  <c r="M77" i="11"/>
  <c r="L77" i="11"/>
  <c r="K77" i="11"/>
  <c r="J77" i="11"/>
  <c r="I77" i="11"/>
  <c r="M76" i="11"/>
  <c r="L76" i="11"/>
  <c r="K76" i="11"/>
  <c r="J76" i="11"/>
  <c r="I76" i="11"/>
  <c r="M75" i="11"/>
  <c r="L75" i="11"/>
  <c r="K75" i="11"/>
  <c r="J75" i="11"/>
  <c r="I75" i="11"/>
  <c r="M74" i="11"/>
  <c r="L74" i="11"/>
  <c r="K74" i="11"/>
  <c r="J74" i="11"/>
  <c r="I74" i="11"/>
  <c r="M73" i="11"/>
  <c r="L73" i="11"/>
  <c r="K73" i="11"/>
  <c r="J73" i="11"/>
  <c r="I73" i="11"/>
  <c r="M72" i="11"/>
  <c r="L72" i="11"/>
  <c r="K72" i="11"/>
  <c r="J72" i="11"/>
  <c r="I72" i="11"/>
  <c r="M71" i="11"/>
  <c r="L71" i="11"/>
  <c r="K71" i="11"/>
  <c r="J71" i="11"/>
  <c r="I71" i="11"/>
  <c r="M70" i="11"/>
  <c r="L70" i="11"/>
  <c r="K70" i="11"/>
  <c r="J70" i="11"/>
  <c r="I70" i="11"/>
  <c r="M69" i="11"/>
  <c r="L69" i="11"/>
  <c r="K69" i="11"/>
  <c r="J69" i="11"/>
  <c r="I69" i="11"/>
  <c r="M68" i="11"/>
  <c r="L68" i="11"/>
  <c r="K68" i="11"/>
  <c r="J68" i="11"/>
  <c r="I68" i="11"/>
  <c r="M67" i="11"/>
  <c r="L67" i="11"/>
  <c r="K67" i="11"/>
  <c r="J67" i="11"/>
  <c r="I67" i="11"/>
  <c r="M66" i="11"/>
  <c r="L66" i="11"/>
  <c r="K66" i="11"/>
  <c r="J66" i="11"/>
  <c r="I66" i="11"/>
  <c r="M65" i="11"/>
  <c r="L65" i="11"/>
  <c r="K65" i="11"/>
  <c r="J65" i="11"/>
  <c r="I65" i="11"/>
  <c r="M64" i="11"/>
  <c r="L64" i="11"/>
  <c r="K64" i="11"/>
  <c r="J64" i="11"/>
  <c r="I64" i="11"/>
  <c r="M63" i="11"/>
  <c r="L63" i="11"/>
  <c r="K63" i="11"/>
  <c r="J63" i="11"/>
  <c r="I63" i="11"/>
  <c r="M62" i="11"/>
  <c r="L62" i="11"/>
  <c r="K62" i="11"/>
  <c r="J62" i="11"/>
  <c r="I62" i="11"/>
  <c r="M61" i="11"/>
  <c r="L61" i="11"/>
  <c r="K61" i="11"/>
  <c r="J61" i="11"/>
  <c r="I61" i="11"/>
  <c r="M60" i="11"/>
  <c r="L60" i="11"/>
  <c r="K60" i="11"/>
  <c r="J60" i="11"/>
  <c r="I60" i="11"/>
  <c r="M59" i="11"/>
  <c r="L59" i="11"/>
  <c r="K59" i="11"/>
  <c r="J59" i="11"/>
  <c r="I59" i="11"/>
  <c r="M58" i="11"/>
  <c r="L58" i="11"/>
  <c r="K58" i="11"/>
  <c r="J58" i="11"/>
  <c r="I58" i="11"/>
  <c r="M57" i="11"/>
  <c r="L57" i="11"/>
  <c r="K57" i="11"/>
  <c r="J57" i="11"/>
  <c r="I57" i="11"/>
  <c r="M56" i="11"/>
  <c r="L56" i="11"/>
  <c r="K56" i="11"/>
  <c r="J56" i="11"/>
  <c r="I56" i="11"/>
  <c r="M55" i="11"/>
  <c r="L55" i="11"/>
  <c r="K55" i="11"/>
  <c r="J55" i="11"/>
  <c r="I55" i="11"/>
  <c r="M54" i="11"/>
  <c r="L54" i="11"/>
  <c r="K54" i="11"/>
  <c r="J54" i="11"/>
  <c r="I54" i="11"/>
  <c r="M53" i="11"/>
  <c r="L53" i="11"/>
  <c r="K53" i="11"/>
  <c r="J53" i="11"/>
  <c r="I53" i="11"/>
  <c r="M52" i="11"/>
  <c r="L52" i="11"/>
  <c r="K52" i="11"/>
  <c r="J52" i="11"/>
  <c r="I52" i="11"/>
  <c r="M51" i="11"/>
  <c r="L51" i="11"/>
  <c r="K51" i="11"/>
  <c r="J51" i="11"/>
  <c r="I51" i="11"/>
  <c r="M50" i="11"/>
  <c r="L50" i="11"/>
  <c r="K50" i="11"/>
  <c r="J50" i="11"/>
  <c r="I50" i="11"/>
  <c r="M49" i="11"/>
  <c r="L49" i="11"/>
  <c r="K49" i="11"/>
  <c r="J49" i="11"/>
  <c r="I49" i="11"/>
  <c r="M48" i="11"/>
  <c r="L48" i="11"/>
  <c r="K48" i="11"/>
  <c r="J48" i="11"/>
  <c r="I48" i="11"/>
  <c r="M47" i="11"/>
  <c r="L47" i="11"/>
  <c r="K47" i="11"/>
  <c r="J47" i="11"/>
  <c r="I47" i="11"/>
  <c r="M46" i="11"/>
  <c r="L46" i="11"/>
  <c r="K46" i="11"/>
  <c r="J46" i="11"/>
  <c r="I46" i="11"/>
  <c r="M45" i="11"/>
  <c r="L45" i="11"/>
  <c r="K45" i="11"/>
  <c r="J45" i="11"/>
  <c r="I45" i="11"/>
  <c r="M44" i="11"/>
  <c r="L44" i="11"/>
  <c r="K44" i="11"/>
  <c r="J44" i="11"/>
  <c r="I44" i="11"/>
  <c r="M43" i="11"/>
  <c r="L43" i="11"/>
  <c r="K43" i="11"/>
  <c r="J43" i="11"/>
  <c r="I43" i="11"/>
  <c r="M42" i="11"/>
  <c r="L42" i="11"/>
  <c r="K42" i="11"/>
  <c r="J42" i="11"/>
  <c r="I42" i="11"/>
  <c r="M41" i="11"/>
  <c r="L41" i="11"/>
  <c r="K41" i="11"/>
  <c r="J41" i="11"/>
  <c r="I41" i="11"/>
  <c r="M40" i="11"/>
  <c r="L40" i="11"/>
  <c r="K40" i="11"/>
  <c r="J40" i="11"/>
  <c r="I40" i="11"/>
  <c r="M39" i="11"/>
  <c r="L39" i="11"/>
  <c r="K39" i="11"/>
  <c r="J39" i="11"/>
  <c r="I39" i="11"/>
  <c r="M38" i="11"/>
  <c r="L38" i="11"/>
  <c r="K38" i="11"/>
  <c r="J38" i="11"/>
  <c r="I38" i="11"/>
  <c r="M37" i="11"/>
  <c r="L37" i="11"/>
  <c r="K37" i="11"/>
  <c r="J37" i="11"/>
  <c r="I37" i="11"/>
  <c r="M36" i="11"/>
  <c r="L36" i="11"/>
  <c r="K36" i="11"/>
  <c r="J36" i="11"/>
  <c r="I36" i="11"/>
  <c r="M35" i="11"/>
  <c r="L35" i="11"/>
  <c r="K35" i="11"/>
  <c r="J35" i="11"/>
  <c r="I35" i="11"/>
  <c r="M34" i="11"/>
  <c r="L34" i="11"/>
  <c r="K34" i="11"/>
  <c r="J34" i="11"/>
  <c r="I34" i="11"/>
  <c r="M33" i="11"/>
  <c r="L33" i="11"/>
  <c r="K33" i="11"/>
  <c r="J33" i="11"/>
  <c r="I33" i="11"/>
  <c r="M32" i="11"/>
  <c r="L32" i="11"/>
  <c r="K32" i="11"/>
  <c r="J32" i="11"/>
  <c r="I32" i="11"/>
  <c r="M31" i="11"/>
  <c r="L31" i="11"/>
  <c r="K31" i="11"/>
  <c r="J31" i="11"/>
  <c r="I31" i="11"/>
  <c r="M30" i="11"/>
  <c r="L30" i="11"/>
  <c r="K30" i="11"/>
  <c r="J30" i="11"/>
  <c r="I30" i="11"/>
  <c r="M29" i="11"/>
  <c r="L29" i="11"/>
  <c r="K29" i="11"/>
  <c r="J29" i="11"/>
  <c r="I29" i="11"/>
  <c r="M28" i="11"/>
  <c r="L28" i="11"/>
  <c r="K28" i="11"/>
  <c r="J28" i="11"/>
  <c r="I28" i="11"/>
  <c r="M27" i="11"/>
  <c r="L27" i="11"/>
  <c r="K27" i="11"/>
  <c r="J27" i="11"/>
  <c r="I27" i="11"/>
  <c r="M26" i="11"/>
  <c r="L26" i="11"/>
  <c r="K26" i="11"/>
  <c r="J26" i="11"/>
  <c r="I26" i="11"/>
  <c r="M25" i="11"/>
  <c r="L25" i="11"/>
  <c r="K25" i="11"/>
  <c r="J25" i="11"/>
  <c r="I25" i="11"/>
  <c r="M24" i="11"/>
  <c r="L24" i="11"/>
  <c r="K24" i="11"/>
  <c r="J24" i="11"/>
  <c r="I24" i="11"/>
  <c r="M23" i="11"/>
  <c r="L23" i="11"/>
  <c r="K23" i="11"/>
  <c r="J23" i="11"/>
  <c r="I23" i="11"/>
  <c r="M22" i="11"/>
  <c r="L22" i="11"/>
  <c r="K22" i="11"/>
  <c r="J22" i="11"/>
  <c r="I22" i="11"/>
  <c r="M21" i="11"/>
  <c r="L21" i="11"/>
  <c r="K21" i="11"/>
  <c r="J21" i="11"/>
  <c r="I21" i="11"/>
  <c r="M20" i="11"/>
  <c r="L20" i="11"/>
  <c r="K20" i="11"/>
  <c r="J20" i="11"/>
  <c r="I20" i="11"/>
  <c r="M19" i="11"/>
  <c r="L19" i="11"/>
  <c r="K19" i="11"/>
  <c r="J19" i="11"/>
  <c r="I19" i="11"/>
  <c r="M18" i="11"/>
  <c r="L18" i="11"/>
  <c r="K18" i="11"/>
  <c r="J18" i="11"/>
  <c r="I18" i="11"/>
  <c r="M17" i="11"/>
  <c r="L17" i="11"/>
  <c r="K17" i="11"/>
  <c r="J17" i="11"/>
  <c r="I17" i="11"/>
  <c r="M16" i="11"/>
  <c r="L16" i="11"/>
  <c r="K16" i="11"/>
  <c r="J16" i="11"/>
  <c r="I16" i="11"/>
  <c r="M15" i="11"/>
  <c r="L15" i="11"/>
  <c r="K15" i="11"/>
  <c r="J15" i="11"/>
  <c r="I15" i="11"/>
  <c r="M14" i="11"/>
  <c r="L14" i="11"/>
  <c r="K14" i="11"/>
  <c r="J14" i="11"/>
  <c r="I14" i="11"/>
  <c r="M13" i="11"/>
  <c r="L13" i="11"/>
  <c r="K13" i="11"/>
  <c r="J13" i="11"/>
  <c r="I13" i="11"/>
  <c r="M12" i="11"/>
  <c r="L12" i="11"/>
  <c r="K12" i="11"/>
  <c r="J12" i="11"/>
  <c r="I12" i="11"/>
  <c r="M11" i="11"/>
  <c r="L11" i="11"/>
  <c r="K11" i="11"/>
  <c r="J11" i="11"/>
  <c r="I11" i="11"/>
  <c r="M10" i="11"/>
  <c r="L10" i="11"/>
  <c r="K10" i="11"/>
  <c r="J10" i="11"/>
  <c r="I10" i="11"/>
  <c r="M9" i="11"/>
  <c r="L9" i="11"/>
  <c r="K9" i="11"/>
  <c r="J9" i="11"/>
  <c r="I9" i="11"/>
  <c r="M8" i="11"/>
  <c r="L8" i="11"/>
  <c r="K8" i="11"/>
  <c r="J8" i="11"/>
  <c r="I8" i="11"/>
  <c r="M7" i="11"/>
  <c r="L7" i="11"/>
  <c r="K7" i="11"/>
  <c r="J7" i="11"/>
  <c r="I7" i="11"/>
  <c r="M6" i="11"/>
  <c r="L6" i="11"/>
  <c r="K6" i="11"/>
  <c r="J6" i="11"/>
  <c r="I6" i="11"/>
  <c r="G64" i="3"/>
  <c r="F64" i="3"/>
  <c r="E64" i="3"/>
  <c r="D64" i="3"/>
  <c r="G57" i="3"/>
  <c r="F57" i="3"/>
  <c r="E57" i="3"/>
  <c r="D57" i="3"/>
  <c r="G50" i="3"/>
  <c r="F50" i="3"/>
  <c r="E50" i="3"/>
  <c r="D50" i="3"/>
  <c r="G43" i="3"/>
  <c r="F43" i="3"/>
  <c r="E43" i="3"/>
  <c r="D43" i="3"/>
  <c r="G36" i="3"/>
  <c r="F36" i="3"/>
  <c r="E36" i="3"/>
  <c r="D36" i="3"/>
  <c r="G29" i="3"/>
  <c r="F29" i="3"/>
  <c r="E29" i="3"/>
  <c r="D29" i="3"/>
  <c r="G22" i="3"/>
  <c r="F22" i="3"/>
  <c r="E22" i="3"/>
  <c r="D22" i="3"/>
  <c r="G15" i="3"/>
  <c r="F15" i="3"/>
  <c r="E15" i="3"/>
  <c r="D15" i="3"/>
  <c r="G8" i="3"/>
  <c r="F8" i="3"/>
  <c r="E8" i="3"/>
  <c r="D8" i="3"/>
  <c r="G5" i="3"/>
  <c r="F5" i="3"/>
  <c r="E5" i="3"/>
  <c r="D5" i="3"/>
  <c r="H68" i="3" l="1"/>
  <c r="H54" i="3"/>
  <c r="H33" i="3"/>
  <c r="H12" i="3"/>
  <c r="H7" i="3"/>
  <c r="H11" i="3"/>
  <c r="H10" i="3"/>
  <c r="H9" i="3"/>
  <c r="H67" i="3"/>
  <c r="E25" i="3"/>
  <c r="C683" i="13"/>
  <c r="E683" i="12"/>
  <c r="F683" i="11"/>
  <c r="D683" i="14"/>
  <c r="E683" i="14"/>
  <c r="F683" i="14"/>
  <c r="G683" i="14"/>
  <c r="F23" i="3"/>
  <c r="E683" i="13"/>
  <c r="D683" i="13"/>
  <c r="D683" i="12"/>
  <c r="F683" i="12"/>
  <c r="C683" i="12"/>
  <c r="G683" i="11"/>
  <c r="D25" i="3"/>
  <c r="E683" i="11"/>
  <c r="H49" i="3"/>
  <c r="H38" i="3"/>
  <c r="C683" i="11"/>
  <c r="G683" i="13"/>
  <c r="H59" i="3"/>
  <c r="D683" i="11"/>
  <c r="H21" i="3"/>
  <c r="H53" i="3"/>
  <c r="F683" i="13"/>
  <c r="H58" i="3"/>
  <c r="F25" i="3"/>
  <c r="H35" i="3"/>
  <c r="H39" i="3"/>
  <c r="H55" i="3"/>
  <c r="H16" i="3"/>
  <c r="D24" i="3"/>
  <c r="G25" i="3"/>
  <c r="H40" i="3"/>
  <c r="H44" i="3"/>
  <c r="H56" i="3"/>
  <c r="H60" i="3"/>
  <c r="G683" i="12"/>
  <c r="C683" i="14"/>
  <c r="H13" i="3"/>
  <c r="H17" i="3"/>
  <c r="H41" i="3"/>
  <c r="H45" i="3"/>
  <c r="H61" i="3"/>
  <c r="H65" i="3"/>
  <c r="H37" i="3"/>
  <c r="H6" i="3"/>
  <c r="H34" i="3"/>
  <c r="H14" i="3"/>
  <c r="H18" i="3"/>
  <c r="F24" i="3"/>
  <c r="H26" i="3"/>
  <c r="H30" i="3"/>
  <c r="H42" i="3"/>
  <c r="H46" i="3"/>
  <c r="H62" i="3"/>
  <c r="H66" i="3"/>
  <c r="H19" i="3"/>
  <c r="H27" i="3"/>
  <c r="H31" i="3"/>
  <c r="H47" i="3"/>
  <c r="H51" i="3"/>
  <c r="H63" i="3"/>
  <c r="H20" i="3"/>
  <c r="E23" i="3"/>
  <c r="H28" i="3"/>
  <c r="H32" i="3"/>
  <c r="H48" i="3"/>
  <c r="H52" i="3"/>
  <c r="H23" i="3" l="1"/>
  <c r="H64" i="3"/>
  <c r="H43" i="3"/>
  <c r="H25" i="3"/>
  <c r="H22" i="3"/>
  <c r="H36" i="3"/>
  <c r="H15" i="3"/>
  <c r="H24" i="3"/>
  <c r="H8" i="3"/>
  <c r="H50" i="3"/>
  <c r="H57" i="3"/>
  <c r="H2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D6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how to average the occupancy??</t>
        </r>
      </text>
    </comment>
  </commentList>
</comments>
</file>

<file path=xl/sharedStrings.xml><?xml version="1.0" encoding="utf-8"?>
<sst xmlns="http://schemas.openxmlformats.org/spreadsheetml/2006/main" count="780" uniqueCount="177">
  <si>
    <t>Haifa Report
Table of Contents</t>
  </si>
  <si>
    <t>1. Data Overview</t>
  </si>
  <si>
    <t>Return to ToC</t>
  </si>
  <si>
    <t>Mode</t>
  </si>
  <si>
    <t>Parameter</t>
  </si>
  <si>
    <t>AM</t>
  </si>
  <si>
    <t>OP</t>
  </si>
  <si>
    <t>PM</t>
  </si>
  <si>
    <t>Late &amp;
Early</t>
  </si>
  <si>
    <t>DAILY</t>
  </si>
  <si>
    <t>Car</t>
  </si>
  <si>
    <t>Vehicle*Km</t>
  </si>
  <si>
    <t>Veh*Hour</t>
  </si>
  <si>
    <t>Veh Speed</t>
  </si>
  <si>
    <t>Drivers</t>
  </si>
  <si>
    <t>Passengers</t>
  </si>
  <si>
    <t>Users</t>
  </si>
  <si>
    <t>Occupancy</t>
  </si>
  <si>
    <t>Truck</t>
  </si>
  <si>
    <t>Total: 
Car+
Truck</t>
  </si>
  <si>
    <t>Bus</t>
  </si>
  <si>
    <t>Pass*Km</t>
  </si>
  <si>
    <t>Pass*Hour</t>
  </si>
  <si>
    <t>Boarding</t>
  </si>
  <si>
    <t>Matronit</t>
  </si>
  <si>
    <t>Sherut</t>
  </si>
  <si>
    <t>Train</t>
  </si>
  <si>
    <t>Carmelit</t>
  </si>
  <si>
    <t>Total
Public Transport</t>
  </si>
  <si>
    <t>Inner Tours:</t>
  </si>
  <si>
    <t>TOTAL Inner Auto Tours</t>
  </si>
  <si>
    <t>TOTAL Inner Transit Tours</t>
  </si>
  <si>
    <t>Number of Lines</t>
  </si>
  <si>
    <t>Demand</t>
  </si>
  <si>
    <t>Type</t>
  </si>
  <si>
    <t>Car*Km</t>
  </si>
  <si>
    <t>Car*Hour</t>
  </si>
  <si>
    <t>Veh*Km</t>
  </si>
  <si>
    <t>Time
of
Day</t>
  </si>
  <si>
    <t>Link</t>
  </si>
  <si>
    <t>Km</t>
  </si>
  <si>
    <t>Car*Km (at V/C)</t>
  </si>
  <si>
    <t>Speed av.</t>
  </si>
  <si>
    <t>Ring</t>
  </si>
  <si>
    <t>Total</t>
  </si>
  <si>
    <r>
      <t xml:space="preserve">V/C </t>
    </r>
    <r>
      <rPr>
        <sz val="11"/>
        <color theme="1"/>
        <rFont val="Calibri"/>
        <family val="2"/>
      </rPr>
      <t>≤</t>
    </r>
    <r>
      <rPr>
        <sz val="11"/>
        <color theme="1"/>
        <rFont val="Calibri"/>
        <family val="2"/>
        <charset val="177"/>
        <scheme val="minor"/>
      </rPr>
      <t xml:space="preserve"> 0.75</t>
    </r>
  </si>
  <si>
    <r>
      <t xml:space="preserve">0.75 </t>
    </r>
    <r>
      <rPr>
        <sz val="11"/>
        <color theme="1"/>
        <rFont val="Arial"/>
        <family val="2"/>
      </rPr>
      <t>&lt;</t>
    </r>
    <r>
      <rPr>
        <sz val="11"/>
        <color theme="1"/>
        <rFont val="Calibri"/>
        <family val="2"/>
        <charset val="177"/>
        <scheme val="minor"/>
      </rPr>
      <t xml:space="preserve"> V/C ≤ 1.0</t>
    </r>
  </si>
  <si>
    <t>1.0 &lt; V/C ≤1.25</t>
  </si>
  <si>
    <t xml:space="preserve"> 1.25 &lt; V/C</t>
  </si>
  <si>
    <t xml:space="preserve">  km/h</t>
  </si>
  <si>
    <t>Metropolin Rings2</t>
  </si>
  <si>
    <t>Metropolin Rings3</t>
  </si>
  <si>
    <t>Metropolin Ring4</t>
  </si>
  <si>
    <t>Late /
 Early Morning</t>
  </si>
  <si>
    <t>From</t>
  </si>
  <si>
    <t>To</t>
  </si>
  <si>
    <t>Driver 
Demand</t>
  </si>
  <si>
    <t>Car 
Passenger</t>
  </si>
  <si>
    <t>Transit 
Demand</t>
  </si>
  <si>
    <t>P&amp;R 
Demand</t>
  </si>
  <si>
    <t xml:space="preserve"> K&amp;R 
Demand</t>
  </si>
  <si>
    <t>%</t>
  </si>
  <si>
    <t>Percentage</t>
  </si>
  <si>
    <t>Length</t>
  </si>
  <si>
    <t>Auto 
Volume</t>
  </si>
  <si>
    <t>Auto
 Time</t>
  </si>
  <si>
    <t>Transit 
Volume</t>
  </si>
  <si>
    <t>Transit  
Passenger
 Hours</t>
  </si>
  <si>
    <t>Transit 
Vehicles</t>
  </si>
  <si>
    <t>Haiz1</t>
  </si>
  <si>
    <t>Haiz2</t>
  </si>
  <si>
    <t>Haiz3</t>
  </si>
  <si>
    <t>Haiz4</t>
  </si>
  <si>
    <t>Late
/
Early</t>
  </si>
  <si>
    <t>Zone</t>
  </si>
  <si>
    <t>mode</t>
  </si>
  <si>
    <t>IniBoard</t>
  </si>
  <si>
    <t>Sum of IniBoard</t>
  </si>
  <si>
    <t>Sum of Boarding</t>
  </si>
  <si>
    <t>Sum of Pass*Km</t>
  </si>
  <si>
    <t>Sum of Pass*Hour</t>
  </si>
  <si>
    <t>(blank)</t>
  </si>
  <si>
    <t>Grand Total</t>
  </si>
  <si>
    <t>Superzone</t>
  </si>
  <si>
    <t>Category</t>
  </si>
  <si>
    <t>Units</t>
  </si>
  <si>
    <t>AM (1 hr)</t>
  </si>
  <si>
    <t>Car driver:</t>
  </si>
  <si>
    <t xml:space="preserve"> </t>
  </si>
  <si>
    <t>Car passenger:</t>
  </si>
  <si>
    <t>Commercial vehicle:</t>
  </si>
  <si>
    <t>Transit volume (all modes):</t>
  </si>
  <si>
    <t>Transit volume (bus &amp; taxi &amp; matronit):</t>
  </si>
  <si>
    <t>Truck:</t>
  </si>
  <si>
    <t>Total Volume:</t>
  </si>
  <si>
    <t>Alternate Transit Volume (all modes):</t>
  </si>
  <si>
    <t>Bus (b):</t>
  </si>
  <si>
    <t>Cable Car (c):</t>
  </si>
  <si>
    <t>Matronit (m):</t>
  </si>
  <si>
    <t>Light-Rail (n):</t>
  </si>
  <si>
    <t>Carmelit (s):</t>
  </si>
  <si>
    <t>Train (t):</t>
  </si>
  <si>
    <t>OP (1 hr)</t>
  </si>
  <si>
    <t>PM (1 hr)</t>
  </si>
  <si>
    <t>Late&amp;Early (1 hr)</t>
  </si>
  <si>
    <t>Boardings</t>
  </si>
  <si>
    <t>PT USAGE:</t>
  </si>
  <si>
    <t>Passenger*Km</t>
  </si>
  <si>
    <t>Passenger*Hr</t>
  </si>
  <si>
    <t>Average passenger speed</t>
  </si>
  <si>
    <t>Average trip length</t>
  </si>
  <si>
    <t>Average trip time</t>
  </si>
  <si>
    <t>PT SUPPLY:</t>
  </si>
  <si>
    <t>Vehicles*km</t>
  </si>
  <si>
    <t>Vehicles*hr</t>
  </si>
  <si>
    <t>Average Vehicle speed</t>
  </si>
  <si>
    <t>Number of Vehicles</t>
  </si>
  <si>
    <t>Vehicle Vehicle Trips</t>
  </si>
  <si>
    <t>Average Headway</t>
  </si>
  <si>
    <t>Total line length</t>
  </si>
  <si>
    <t>Vehicle-kilometers</t>
  </si>
  <si>
    <t>Vehicle-hours</t>
  </si>
  <si>
    <t>Average period speed</t>
  </si>
  <si>
    <t>Demand (core)</t>
  </si>
  <si>
    <t>Daily length(core)</t>
  </si>
  <si>
    <t>Daily time(core)</t>
  </si>
  <si>
    <t>Average speed (core)</t>
  </si>
  <si>
    <t>Average trip length (core)</t>
  </si>
  <si>
    <t>Average trip time (core)</t>
  </si>
  <si>
    <t>Sherut (i):</t>
  </si>
  <si>
    <t>lines</t>
  </si>
  <si>
    <t>3. Inner Report</t>
  </si>
  <si>
    <t>4.a) AM Summary</t>
  </si>
  <si>
    <t>4.b) OP Summary</t>
  </si>
  <si>
    <t>4.c) PM Summary</t>
  </si>
  <si>
    <t>4.d) Late&amp;Early Summary</t>
  </si>
  <si>
    <t>5.a) Car VoC Links</t>
  </si>
  <si>
    <t>5.b) Car Voc Intersections</t>
  </si>
  <si>
    <t>6.a) Demand AM</t>
  </si>
  <si>
    <t>6.b) Demand OP</t>
  </si>
  <si>
    <t>6.c) Demand PM</t>
  </si>
  <si>
    <t>6.d) Demand Late&amp;Early</t>
  </si>
  <si>
    <t>7. Haiz</t>
  </si>
  <si>
    <t>8.a) Transit AM</t>
  </si>
  <si>
    <t>8.b) Transit OP</t>
  </si>
  <si>
    <t>2. Summary Report</t>
  </si>
  <si>
    <t>8.c) Transit PM</t>
  </si>
  <si>
    <t>8.d) Transit Late&amp;Early</t>
  </si>
  <si>
    <t>SZ number</t>
  </si>
  <si>
    <t>SZ name</t>
  </si>
  <si>
    <t>נהריה</t>
  </si>
  <si>
    <t>עכו</t>
  </si>
  <si>
    <t>כרמיאל</t>
  </si>
  <si>
    <t>שפרעם</t>
  </si>
  <si>
    <t>קרית ים</t>
  </si>
  <si>
    <t>קרית מוצקין</t>
  </si>
  <si>
    <t>קרית ביאליק</t>
  </si>
  <si>
    <t>קרית חיים</t>
  </si>
  <si>
    <t>קרית אתא</t>
  </si>
  <si>
    <t>כפר מנדא</t>
  </si>
  <si>
    <t>זבולון</t>
  </si>
  <si>
    <t>חיפה מפרץ</t>
  </si>
  <si>
    <t>חיפה עיר תחתית</t>
  </si>
  <si>
    <t>חיפה הדר-כרמל</t>
  </si>
  <si>
    <t>חיפה מערב</t>
  </si>
  <si>
    <t>חיפה כרמל</t>
  </si>
  <si>
    <t>חיפה נווה שאנן</t>
  </si>
  <si>
    <t>נשר</t>
  </si>
  <si>
    <t>נצרת</t>
  </si>
  <si>
    <t>נצרת-עילית</t>
  </si>
  <si>
    <t>מגדל העמק</t>
  </si>
  <si>
    <t>יוקנעם</t>
  </si>
  <si>
    <t>דלית אל כרמל</t>
  </si>
  <si>
    <t>חוף הכרמל</t>
  </si>
  <si>
    <t>זכרון יעקב</t>
  </si>
  <si>
    <t>סכנין</t>
  </si>
  <si>
    <t>Late&amp;Early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</si>
</sst>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"/>
    <numFmt numFmtId="165" formatCode="#,##0.0"/>
    <numFmt numFmtId="166" formatCode="0.0%"/>
    <numFmt numFmtId="167" formatCode="_ * #,##0.0_ ;_ * \-#,##0.0_ ;_ * &quot;-&quot;??_ ;_ @_ "/>
  </numFmts>
  <fonts count="15" x14ac:knownFonts="1"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b/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charset val="177"/>
      <scheme val="minor"/>
    </font>
    <font>
      <b/>
      <sz val="10"/>
      <color rgb="FFFF000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</cellStyleXfs>
  <cellXfs count="165">
    <xf numFmtId="0" fontId="0" fillId="0" borderId="0" xfId="0"/>
    <xf numFmtId="0" fontId="4" fillId="3" borderId="1" xfId="2" applyFill="1" applyBorder="1" applyAlignment="1">
      <alignment horizontal="left" vertical="center"/>
    </xf>
    <xf numFmtId="0" fontId="4" fillId="3" borderId="3" xfId="2" applyFill="1" applyBorder="1" applyAlignment="1">
      <alignment horizontal="left" vertical="center"/>
    </xf>
    <xf numFmtId="0" fontId="4" fillId="3" borderId="4" xfId="2" applyFill="1" applyBorder="1" applyAlignment="1">
      <alignment horizontal="left" vertical="center"/>
    </xf>
    <xf numFmtId="0" fontId="4" fillId="3" borderId="5" xfId="2" applyFill="1" applyBorder="1" applyAlignment="1">
      <alignment horizontal="left" vertical="center"/>
    </xf>
    <xf numFmtId="0" fontId="4" fillId="3" borderId="6" xfId="2" applyFill="1" applyBorder="1" applyAlignment="1">
      <alignment horizontal="left"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4" fillId="2" borderId="7" xfId="2" applyFill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14" fontId="0" fillId="0" borderId="8" xfId="0" applyNumberFormat="1" applyBorder="1" applyAlignment="1">
      <alignment vertical="center"/>
    </xf>
    <xf numFmtId="0" fontId="6" fillId="0" borderId="10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6" fillId="0" borderId="12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 wrapText="1"/>
    </xf>
    <xf numFmtId="164" fontId="6" fillId="0" borderId="15" xfId="0" applyNumberFormat="1" applyFont="1" applyFill="1" applyBorder="1" applyAlignment="1">
      <alignment vertical="center"/>
    </xf>
    <xf numFmtId="164" fontId="6" fillId="0" borderId="16" xfId="0" applyNumberFormat="1" applyFont="1" applyFill="1" applyBorder="1" applyAlignment="1">
      <alignment vertical="center"/>
    </xf>
    <xf numFmtId="164" fontId="6" fillId="0" borderId="17" xfId="0" applyNumberFormat="1" applyFont="1" applyFill="1" applyBorder="1" applyAlignment="1">
      <alignment vertical="center"/>
    </xf>
    <xf numFmtId="164" fontId="6" fillId="0" borderId="5" xfId="0" applyNumberFormat="1" applyFont="1" applyFill="1" applyBorder="1" applyAlignment="1">
      <alignment vertical="center"/>
    </xf>
    <xf numFmtId="0" fontId="7" fillId="0" borderId="19" xfId="0" applyFont="1" applyFill="1" applyBorder="1" applyAlignment="1">
      <alignment horizontal="left" vertical="center" indent="1"/>
    </xf>
    <xf numFmtId="165" fontId="8" fillId="0" borderId="20" xfId="0" applyNumberFormat="1" applyFont="1" applyFill="1" applyBorder="1" applyAlignment="1">
      <alignment horizontal="center" vertical="center"/>
    </xf>
    <xf numFmtId="165" fontId="8" fillId="0" borderId="21" xfId="0" applyNumberFormat="1" applyFont="1" applyFill="1" applyBorder="1" applyAlignment="1">
      <alignment horizontal="center" vertical="center"/>
    </xf>
    <xf numFmtId="165" fontId="8" fillId="0" borderId="22" xfId="0" applyNumberFormat="1" applyFont="1" applyFill="1" applyBorder="1" applyAlignment="1">
      <alignment horizontal="center" vertical="center"/>
    </xf>
    <xf numFmtId="165" fontId="8" fillId="0" borderId="23" xfId="0" applyNumberFormat="1" applyFont="1" applyFill="1" applyBorder="1" applyAlignment="1">
      <alignment horizontal="center" vertical="center"/>
    </xf>
    <xf numFmtId="0" fontId="7" fillId="0" borderId="24" xfId="0" applyFont="1" applyFill="1" applyBorder="1" applyAlignment="1">
      <alignment horizontal="left" vertical="center" indent="1"/>
    </xf>
    <xf numFmtId="165" fontId="8" fillId="0" borderId="25" xfId="0" applyNumberFormat="1" applyFont="1" applyFill="1" applyBorder="1" applyAlignment="1">
      <alignment horizontal="center" vertical="center"/>
    </xf>
    <xf numFmtId="165" fontId="8" fillId="0" borderId="26" xfId="0" applyNumberFormat="1" applyFont="1" applyFill="1" applyBorder="1" applyAlignment="1">
      <alignment horizontal="center" vertical="center"/>
    </xf>
    <xf numFmtId="165" fontId="8" fillId="0" borderId="27" xfId="0" applyNumberFormat="1" applyFont="1" applyFill="1" applyBorder="1" applyAlignment="1">
      <alignment horizontal="center" vertical="center"/>
    </xf>
    <xf numFmtId="165" fontId="8" fillId="0" borderId="3" xfId="0" applyNumberFormat="1" applyFont="1" applyFill="1" applyBorder="1" applyAlignment="1">
      <alignment horizontal="center" vertical="center"/>
    </xf>
    <xf numFmtId="0" fontId="0" fillId="0" borderId="24" xfId="0" applyFill="1" applyBorder="1" applyAlignment="1">
      <alignment horizontal="left" vertical="center" indent="1"/>
    </xf>
    <xf numFmtId="0" fontId="0" fillId="0" borderId="25" xfId="0" applyBorder="1"/>
    <xf numFmtId="0" fontId="0" fillId="0" borderId="24" xfId="0" applyBorder="1"/>
    <xf numFmtId="0" fontId="0" fillId="0" borderId="14" xfId="0" applyBorder="1"/>
    <xf numFmtId="165" fontId="8" fillId="0" borderId="28" xfId="0" applyNumberFormat="1" applyFont="1" applyFill="1" applyBorder="1" applyAlignment="1">
      <alignment horizontal="center" vertical="center"/>
    </xf>
    <xf numFmtId="165" fontId="8" fillId="0" borderId="29" xfId="0" applyNumberFormat="1" applyFont="1" applyFill="1" applyBorder="1" applyAlignment="1">
      <alignment horizontal="center" vertical="center"/>
    </xf>
    <xf numFmtId="0" fontId="7" fillId="0" borderId="31" xfId="0" applyFont="1" applyFill="1" applyBorder="1" applyAlignment="1">
      <alignment horizontal="left" vertical="center" indent="1"/>
    </xf>
    <xf numFmtId="165" fontId="8" fillId="0" borderId="32" xfId="0" applyNumberFormat="1" applyFont="1" applyFill="1" applyBorder="1" applyAlignment="1">
      <alignment horizontal="center" vertical="center"/>
    </xf>
    <xf numFmtId="165" fontId="8" fillId="0" borderId="33" xfId="0" applyNumberFormat="1" applyFont="1" applyFill="1" applyBorder="1" applyAlignment="1">
      <alignment horizontal="center" vertical="center"/>
    </xf>
    <xf numFmtId="165" fontId="8" fillId="0" borderId="34" xfId="0" applyNumberFormat="1" applyFont="1" applyFill="1" applyBorder="1" applyAlignment="1">
      <alignment horizontal="center" vertical="center"/>
    </xf>
    <xf numFmtId="165" fontId="8" fillId="0" borderId="35" xfId="0" applyNumberFormat="1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left" vertical="center" indent="1"/>
    </xf>
    <xf numFmtId="165" fontId="8" fillId="0" borderId="36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left" vertical="center" indent="1"/>
    </xf>
    <xf numFmtId="165" fontId="8" fillId="0" borderId="37" xfId="0" applyNumberFormat="1" applyFont="1" applyFill="1" applyBorder="1" applyAlignment="1">
      <alignment horizontal="center" vertical="center"/>
    </xf>
    <xf numFmtId="0" fontId="0" fillId="0" borderId="3" xfId="0" applyFill="1" applyBorder="1" applyAlignment="1">
      <alignment horizontal="left" vertical="center" indent="1"/>
    </xf>
    <xf numFmtId="0" fontId="7" fillId="0" borderId="35" xfId="0" applyFont="1" applyFill="1" applyBorder="1" applyAlignment="1">
      <alignment horizontal="left" vertical="center" indent="1"/>
    </xf>
    <xf numFmtId="165" fontId="8" fillId="0" borderId="38" xfId="0" applyNumberFormat="1" applyFont="1" applyFill="1" applyBorder="1" applyAlignment="1">
      <alignment horizontal="center" vertical="center"/>
    </xf>
    <xf numFmtId="0" fontId="0" fillId="0" borderId="23" xfId="0" applyFill="1" applyBorder="1" applyAlignment="1">
      <alignment horizontal="left" vertical="center" indent="1"/>
    </xf>
    <xf numFmtId="165" fontId="8" fillId="0" borderId="39" xfId="0" applyNumberFormat="1" applyFont="1" applyFill="1" applyBorder="1" applyAlignment="1">
      <alignment horizontal="center" vertical="center"/>
    </xf>
    <xf numFmtId="3" fontId="8" fillId="0" borderId="38" xfId="0" applyNumberFormat="1" applyFont="1" applyFill="1" applyBorder="1" applyAlignment="1">
      <alignment horizontal="center" vertical="center"/>
    </xf>
    <xf numFmtId="3" fontId="8" fillId="0" borderId="40" xfId="0" applyNumberFormat="1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0" fillId="0" borderId="41" xfId="0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0" fillId="0" borderId="43" xfId="0" applyNumberFormat="1" applyBorder="1" applyAlignment="1">
      <alignment horizontal="center" vertical="center"/>
    </xf>
    <xf numFmtId="164" fontId="0" fillId="0" borderId="42" xfId="0" applyNumberFormat="1" applyBorder="1" applyAlignment="1">
      <alignment horizontal="center" vertical="center"/>
    </xf>
    <xf numFmtId="164" fontId="0" fillId="0" borderId="44" xfId="0" applyNumberFormat="1" applyBorder="1" applyAlignment="1">
      <alignment horizontal="center" vertical="center"/>
    </xf>
    <xf numFmtId="164" fontId="0" fillId="0" borderId="45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164" fontId="9" fillId="0" borderId="29" xfId="0" applyNumberFormat="1" applyFont="1" applyBorder="1" applyAlignment="1">
      <alignment horizontal="center" vertical="center"/>
    </xf>
    <xf numFmtId="164" fontId="9" fillId="0" borderId="8" xfId="0" applyNumberFormat="1" applyFont="1" applyBorder="1" applyAlignment="1">
      <alignment horizontal="center" vertical="center"/>
    </xf>
    <xf numFmtId="164" fontId="9" fillId="0" borderId="46" xfId="0" applyNumberFormat="1" applyFont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9" fillId="0" borderId="29" xfId="0" applyFont="1" applyBorder="1" applyAlignment="1">
      <alignment horizontal="center" vertical="center"/>
    </xf>
    <xf numFmtId="14" fontId="0" fillId="0" borderId="0" xfId="0" applyNumberForma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0" borderId="43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9" fontId="0" fillId="0" borderId="45" xfId="1" applyFont="1" applyBorder="1" applyAlignment="1">
      <alignment horizontal="center" vertical="center"/>
    </xf>
    <xf numFmtId="9" fontId="0" fillId="0" borderId="0" xfId="1" applyFont="1" applyBorder="1" applyAlignment="1">
      <alignment horizontal="center" vertical="center"/>
    </xf>
    <xf numFmtId="9" fontId="0" fillId="0" borderId="15" xfId="1" applyFont="1" applyBorder="1" applyAlignment="1">
      <alignment horizontal="center" vertical="center"/>
    </xf>
    <xf numFmtId="9" fontId="0" fillId="0" borderId="29" xfId="1" applyFont="1" applyBorder="1" applyAlignment="1">
      <alignment horizontal="center" vertical="center"/>
    </xf>
    <xf numFmtId="9" fontId="0" fillId="0" borderId="8" xfId="1" applyFont="1" applyBorder="1" applyAlignment="1">
      <alignment horizontal="center" vertical="center"/>
    </xf>
    <xf numFmtId="9" fontId="0" fillId="0" borderId="46" xfId="1" applyFont="1" applyBorder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166" fontId="3" fillId="0" borderId="0" xfId="1" applyNumberFormat="1" applyFont="1" applyAlignment="1">
      <alignment horizontal="center" vertical="center"/>
    </xf>
    <xf numFmtId="0" fontId="0" fillId="0" borderId="15" xfId="0" applyBorder="1"/>
    <xf numFmtId="0" fontId="0" fillId="0" borderId="8" xfId="0" applyBorder="1"/>
    <xf numFmtId="0" fontId="0" fillId="0" borderId="46" xfId="0" applyBorder="1"/>
    <xf numFmtId="0" fontId="0" fillId="0" borderId="45" xfId="0" applyBorder="1"/>
    <xf numFmtId="0" fontId="0" fillId="0" borderId="29" xfId="0" applyBorder="1"/>
    <xf numFmtId="14" fontId="0" fillId="0" borderId="0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9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164" fontId="0" fillId="0" borderId="8" xfId="0" applyNumberFormat="1" applyBorder="1" applyAlignment="1">
      <alignment horizontal="center" vertical="center"/>
    </xf>
    <xf numFmtId="164" fontId="0" fillId="0" borderId="46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42" xfId="0" applyBorder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8" fillId="6" borderId="38" xfId="0" applyNumberFormat="1" applyFont="1" applyFill="1" applyBorder="1" applyAlignment="1">
      <alignment horizontal="center" vertical="center"/>
    </xf>
    <xf numFmtId="0" fontId="0" fillId="6" borderId="3" xfId="0" applyFill="1" applyBorder="1" applyAlignment="1">
      <alignment horizontal="left" vertical="center" indent="1"/>
    </xf>
    <xf numFmtId="165" fontId="8" fillId="6" borderId="37" xfId="0" applyNumberFormat="1" applyFont="1" applyFill="1" applyBorder="1" applyAlignment="1">
      <alignment horizontal="center" vertical="center"/>
    </xf>
    <xf numFmtId="165" fontId="8" fillId="6" borderId="26" xfId="0" applyNumberFormat="1" applyFont="1" applyFill="1" applyBorder="1" applyAlignment="1">
      <alignment horizontal="center" vertical="center"/>
    </xf>
    <xf numFmtId="165" fontId="8" fillId="6" borderId="2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4" applyNumberFormat="1" applyFont="1"/>
    <xf numFmtId="0" fontId="0" fillId="0" borderId="2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center" vertical="center"/>
    </xf>
    <xf numFmtId="0" fontId="3" fillId="5" borderId="30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4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44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</cellXfs>
  <cellStyles count="6">
    <cellStyle name="Comma" xfId="4" builtinId="3"/>
    <cellStyle name="Comma 2" xfId="3" xr:uid="{C034B54F-8AAC-403A-928A-BD307B7BB6D4}"/>
    <cellStyle name="Hyperlink" xfId="2" builtinId="8"/>
    <cellStyle name="Normal" xfId="0" builtinId="0"/>
    <cellStyle name="Normal 2" xfId="5" xr:uid="{BC0E66A9-2894-4B61-8F58-B715339D29F8}"/>
    <cellStyle name="Percent" xfId="1" builtinId="5"/>
  </cellStyles>
  <dxfs count="126">
    <dxf>
      <numFmt numFmtId="171" formatCode="0.000000"/>
    </dxf>
    <dxf>
      <numFmt numFmtId="170" formatCode="0.00000"/>
    </dxf>
    <dxf>
      <numFmt numFmtId="169" formatCode="0.0000"/>
    </dxf>
    <dxf>
      <numFmt numFmtId="168" formatCode="0.000"/>
    </dxf>
    <dxf>
      <numFmt numFmtId="2" formatCode="0.00"/>
    </dxf>
    <dxf>
      <numFmt numFmtId="164" formatCode="0.0"/>
    </dxf>
    <dxf>
      <numFmt numFmtId="171" formatCode="0.000000"/>
    </dxf>
    <dxf>
      <numFmt numFmtId="170" formatCode="0.00000"/>
    </dxf>
    <dxf>
      <numFmt numFmtId="169" formatCode="0.0000"/>
    </dxf>
    <dxf>
      <numFmt numFmtId="168" formatCode="0.000"/>
    </dxf>
    <dxf>
      <numFmt numFmtId="2" formatCode="0.00"/>
    </dxf>
    <dxf>
      <numFmt numFmtId="164" formatCode="0.0"/>
    </dxf>
    <dxf>
      <numFmt numFmtId="171" formatCode="0.000000"/>
    </dxf>
    <dxf>
      <numFmt numFmtId="170" formatCode="0.00000"/>
    </dxf>
    <dxf>
      <numFmt numFmtId="169" formatCode="0.0000"/>
    </dxf>
    <dxf>
      <numFmt numFmtId="168" formatCode="0.000"/>
    </dxf>
    <dxf>
      <numFmt numFmtId="2" formatCode="0.00"/>
    </dxf>
    <dxf>
      <numFmt numFmtId="164" formatCode="0.0"/>
    </dxf>
    <dxf>
      <numFmt numFmtId="171" formatCode="0.000000"/>
    </dxf>
    <dxf>
      <numFmt numFmtId="170" formatCode="0.00000"/>
    </dxf>
    <dxf>
      <numFmt numFmtId="169" formatCode="0.0000"/>
    </dxf>
    <dxf>
      <numFmt numFmtId="168" formatCode="0.000"/>
    </dxf>
    <dxf>
      <numFmt numFmtId="2" formatCode="0.00"/>
    </dxf>
    <dxf>
      <numFmt numFmtId="164" formatCode="0.0"/>
    </dxf>
    <dxf>
      <numFmt numFmtId="171" formatCode="0.000000"/>
    </dxf>
    <dxf>
      <numFmt numFmtId="170" formatCode="0.00000"/>
    </dxf>
    <dxf>
      <numFmt numFmtId="169" formatCode="0.0000"/>
    </dxf>
    <dxf>
      <numFmt numFmtId="168" formatCode="0.000"/>
    </dxf>
    <dxf>
      <numFmt numFmtId="2" formatCode="0.00"/>
    </dxf>
    <dxf>
      <numFmt numFmtId="164" formatCode="0.0"/>
    </dxf>
    <dxf>
      <numFmt numFmtId="171" formatCode="0.000000"/>
    </dxf>
    <dxf>
      <numFmt numFmtId="170" formatCode="0.00000"/>
    </dxf>
    <dxf>
      <numFmt numFmtId="169" formatCode="0.0000"/>
    </dxf>
    <dxf>
      <numFmt numFmtId="168" formatCode="0.000"/>
    </dxf>
    <dxf>
      <numFmt numFmtId="2" formatCode="0.00"/>
    </dxf>
    <dxf>
      <numFmt numFmtId="164" formatCode="0.0"/>
    </dxf>
    <dxf>
      <numFmt numFmtId="171" formatCode="0.000000"/>
    </dxf>
    <dxf>
      <numFmt numFmtId="170" formatCode="0.00000"/>
    </dxf>
    <dxf>
      <numFmt numFmtId="169" formatCode="0.0000"/>
    </dxf>
    <dxf>
      <numFmt numFmtId="168" formatCode="0.000"/>
    </dxf>
    <dxf>
      <numFmt numFmtId="2" formatCode="0.00"/>
    </dxf>
    <dxf>
      <numFmt numFmtId="164" formatCode="0.0"/>
    </dxf>
    <dxf>
      <numFmt numFmtId="171" formatCode="0.000000"/>
    </dxf>
    <dxf>
      <numFmt numFmtId="170" formatCode="0.00000"/>
    </dxf>
    <dxf>
      <numFmt numFmtId="169" formatCode="0.0000"/>
    </dxf>
    <dxf>
      <numFmt numFmtId="168" formatCode="0.000"/>
    </dxf>
    <dxf>
      <numFmt numFmtId="2" formatCode="0.00"/>
    </dxf>
    <dxf>
      <numFmt numFmtId="164" formatCode="0.0"/>
    </dxf>
    <dxf>
      <numFmt numFmtId="171" formatCode="0.000000"/>
    </dxf>
    <dxf>
      <numFmt numFmtId="170" formatCode="0.00000"/>
    </dxf>
    <dxf>
      <numFmt numFmtId="169" formatCode="0.0000"/>
    </dxf>
    <dxf>
      <numFmt numFmtId="168" formatCode="0.000"/>
    </dxf>
    <dxf>
      <numFmt numFmtId="2" formatCode="0.00"/>
    </dxf>
    <dxf>
      <numFmt numFmtId="164" formatCode="0.0"/>
    </dxf>
    <dxf>
      <numFmt numFmtId="171" formatCode="0.000000"/>
    </dxf>
    <dxf>
      <numFmt numFmtId="170" formatCode="0.00000"/>
    </dxf>
    <dxf>
      <numFmt numFmtId="169" formatCode="0.0000"/>
    </dxf>
    <dxf>
      <numFmt numFmtId="168" formatCode="0.000"/>
    </dxf>
    <dxf>
      <numFmt numFmtId="2" formatCode="0.00"/>
    </dxf>
    <dxf>
      <numFmt numFmtId="164" formatCode="0.0"/>
    </dxf>
    <dxf>
      <numFmt numFmtId="171" formatCode="0.000000"/>
    </dxf>
    <dxf>
      <numFmt numFmtId="170" formatCode="0.00000"/>
    </dxf>
    <dxf>
      <numFmt numFmtId="169" formatCode="0.0000"/>
    </dxf>
    <dxf>
      <numFmt numFmtId="168" formatCode="0.000"/>
    </dxf>
    <dxf>
      <numFmt numFmtId="2" formatCode="0.00"/>
    </dxf>
    <dxf>
      <numFmt numFmtId="164" formatCode="0.0"/>
    </dxf>
    <dxf>
      <numFmt numFmtId="171" formatCode="0.000000"/>
    </dxf>
    <dxf>
      <numFmt numFmtId="170" formatCode="0.00000"/>
    </dxf>
    <dxf>
      <numFmt numFmtId="169" formatCode="0.0000"/>
    </dxf>
    <dxf>
      <numFmt numFmtId="168" formatCode="0.000"/>
    </dxf>
    <dxf>
      <numFmt numFmtId="2" formatCode="0.00"/>
    </dxf>
    <dxf>
      <numFmt numFmtId="164" formatCode="0.0"/>
    </dxf>
    <dxf>
      <numFmt numFmtId="171" formatCode="0.000000"/>
    </dxf>
    <dxf>
      <numFmt numFmtId="170" formatCode="0.00000"/>
    </dxf>
    <dxf>
      <numFmt numFmtId="169" formatCode="0.0000"/>
    </dxf>
    <dxf>
      <numFmt numFmtId="168" formatCode="0.000"/>
    </dxf>
    <dxf>
      <numFmt numFmtId="2" formatCode="0.00"/>
    </dxf>
    <dxf>
      <numFmt numFmtId="164" formatCode="0.0"/>
    </dxf>
    <dxf>
      <numFmt numFmtId="164" formatCode="0.0"/>
    </dxf>
    <dxf>
      <numFmt numFmtId="2" formatCode="0.00"/>
    </dxf>
    <dxf>
      <numFmt numFmtId="168" formatCode="0.000"/>
    </dxf>
    <dxf>
      <numFmt numFmtId="169" formatCode="0.0000"/>
    </dxf>
    <dxf>
      <numFmt numFmtId="170" formatCode="0.00000"/>
    </dxf>
    <dxf>
      <numFmt numFmtId="171" formatCode="0.000000"/>
    </dxf>
    <dxf>
      <numFmt numFmtId="164" formatCode="0.0"/>
    </dxf>
    <dxf>
      <numFmt numFmtId="2" formatCode="0.00"/>
    </dxf>
    <dxf>
      <numFmt numFmtId="168" formatCode="0.000"/>
    </dxf>
    <dxf>
      <numFmt numFmtId="169" formatCode="0.0000"/>
    </dxf>
    <dxf>
      <numFmt numFmtId="170" formatCode="0.00000"/>
    </dxf>
    <dxf>
      <numFmt numFmtId="171" formatCode="0.000000"/>
    </dxf>
    <dxf>
      <numFmt numFmtId="164" formatCode="0.0"/>
    </dxf>
    <dxf>
      <numFmt numFmtId="2" formatCode="0.00"/>
    </dxf>
    <dxf>
      <numFmt numFmtId="168" formatCode="0.000"/>
    </dxf>
    <dxf>
      <numFmt numFmtId="169" formatCode="0.0000"/>
    </dxf>
    <dxf>
      <numFmt numFmtId="170" formatCode="0.00000"/>
    </dxf>
    <dxf>
      <numFmt numFmtId="171" formatCode="0.000000"/>
    </dxf>
    <dxf>
      <numFmt numFmtId="164" formatCode="0.0"/>
    </dxf>
    <dxf>
      <numFmt numFmtId="2" formatCode="0.00"/>
    </dxf>
    <dxf>
      <numFmt numFmtId="168" formatCode="0.000"/>
    </dxf>
    <dxf>
      <numFmt numFmtId="169" formatCode="0.0000"/>
    </dxf>
    <dxf>
      <numFmt numFmtId="170" formatCode="0.00000"/>
    </dxf>
    <dxf>
      <numFmt numFmtId="171" formatCode="0.000000"/>
    </dxf>
    <dxf>
      <numFmt numFmtId="164" formatCode="0.0"/>
    </dxf>
    <dxf>
      <numFmt numFmtId="2" formatCode="0.00"/>
    </dxf>
    <dxf>
      <numFmt numFmtId="168" formatCode="0.000"/>
    </dxf>
    <dxf>
      <numFmt numFmtId="169" formatCode="0.0000"/>
    </dxf>
    <dxf>
      <numFmt numFmtId="170" formatCode="0.00000"/>
    </dxf>
    <dxf>
      <numFmt numFmtId="171" formatCode="0.000000"/>
    </dxf>
    <dxf>
      <numFmt numFmtId="164" formatCode="0.0"/>
    </dxf>
    <dxf>
      <numFmt numFmtId="2" formatCode="0.00"/>
    </dxf>
    <dxf>
      <numFmt numFmtId="168" formatCode="0.000"/>
    </dxf>
    <dxf>
      <numFmt numFmtId="169" formatCode="0.0000"/>
    </dxf>
    <dxf>
      <numFmt numFmtId="170" formatCode="0.00000"/>
    </dxf>
    <dxf>
      <numFmt numFmtId="171" formatCode="0.000000"/>
    </dxf>
    <dxf>
      <numFmt numFmtId="164" formatCode="0.0"/>
    </dxf>
    <dxf>
      <numFmt numFmtId="2" formatCode="0.00"/>
    </dxf>
    <dxf>
      <numFmt numFmtId="168" formatCode="0.000"/>
    </dxf>
    <dxf>
      <numFmt numFmtId="169" formatCode="0.0000"/>
    </dxf>
    <dxf>
      <numFmt numFmtId="170" formatCode="0.00000"/>
    </dxf>
    <dxf>
      <numFmt numFmtId="171" formatCode="0.000000"/>
    </dxf>
    <dxf>
      <numFmt numFmtId="164" formatCode="0.0"/>
    </dxf>
    <dxf>
      <numFmt numFmtId="2" formatCode="0.00"/>
    </dxf>
    <dxf>
      <numFmt numFmtId="168" formatCode="0.000"/>
    </dxf>
    <dxf>
      <numFmt numFmtId="169" formatCode="0.0000"/>
    </dxf>
    <dxf>
      <numFmt numFmtId="170" formatCode="0.00000"/>
    </dxf>
    <dxf>
      <numFmt numFmtId="171" formatCode="0.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289560</xdr:rowOff>
        </xdr:from>
        <xdr:to>
          <xdr:col>1</xdr:col>
          <xdr:colOff>0</xdr:colOff>
          <xdr:row>21</xdr:row>
          <xdr:rowOff>297180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riya Berlowitz" refreshedDate="43803.420626041669" createdVersion="6" refreshedVersion="6" minRefreshableVersion="3" recordCount="186" xr:uid="{00000000-000A-0000-FFFF-FFFF04000000}">
  <cacheSource type="worksheet">
    <worksheetSource ref="A4:F190" sheet="Transit AM"/>
  </cacheSource>
  <cacheFields count="6">
    <cacheField name="Zone" numFmtId="0">
      <sharedItems containsNonDate="0" containsString="0" containsBlank="1" containsNumber="1" containsInteger="1" minValue="1" maxValue="30" count="28">
        <m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21" u="1"/>
        <n v="22" u="1"/>
        <n v="1" u="1"/>
        <n v="23" u="1"/>
        <n v="3" u="1"/>
        <n v="8" u="1"/>
        <n v="24" u="1"/>
        <n v="25" u="1"/>
        <n v="9" u="1"/>
        <n v="26" u="1"/>
        <n v="10" u="1"/>
        <n v="11" u="1"/>
        <n v="30" u="1"/>
        <n v="4" u="1"/>
        <n v="12" u="1"/>
      </sharedItems>
    </cacheField>
    <cacheField name="mode" numFmtId="0">
      <sharedItems containsNonDate="0" containsBlank="1" count="17">
        <m/>
        <s v="Bus (b" u="1"/>
        <s v="s" u="1"/>
        <s v="Light-Rail (n)" u="1"/>
        <s v="CableCar (c)" u="1"/>
        <s v="Train (t)" u="1"/>
        <s v="c" u="1"/>
        <s v="Cable Car (c)" u="1"/>
        <s v="Matronit (m)" u="1"/>
        <s v="LightRail (n)" u="1"/>
        <s v="t" u="1"/>
        <s v="Taxi (i)" u="1"/>
        <s v="m" u="1"/>
        <s v="Carmelit (s)" u="1"/>
        <s v="i" u="1"/>
        <s v="b" u="1"/>
        <s v="n" u="1"/>
      </sharedItems>
    </cacheField>
    <cacheField name="IniBoard" numFmtId="0">
      <sharedItems containsNonDate="0" containsString="0" containsBlank="1"/>
    </cacheField>
    <cacheField name="Boarding" numFmtId="0">
      <sharedItems containsNonDate="0" containsString="0" containsBlank="1"/>
    </cacheField>
    <cacheField name="Pass*Km" numFmtId="0">
      <sharedItems containsNonDate="0" containsString="0" containsBlank="1"/>
    </cacheField>
    <cacheField name="Pass*Hou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riya Berlowitz" refreshedDate="43803.420626273146" createdVersion="6" refreshedVersion="6" minRefreshableVersion="3" recordCount="186" xr:uid="{00000000-000A-0000-FFFF-FFFF05000000}">
  <cacheSource type="worksheet">
    <worksheetSource ref="A4:F190" sheet="Transit OP"/>
  </cacheSource>
  <cacheFields count="6">
    <cacheField name="Zone" numFmtId="0">
      <sharedItems containsNonDate="0" containsString="0" containsBlank="1" containsNumber="1" containsInteger="1" minValue="1" maxValue="30" count="27">
        <m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21" u="1"/>
        <n v="22" u="1"/>
        <n v="1" u="1"/>
        <n v="23" u="1"/>
        <n v="3" u="1"/>
        <n v="8" u="1"/>
        <n v="24" u="1"/>
        <n v="25" u="1"/>
        <n v="9" u="1"/>
        <n v="10" u="1"/>
        <n v="11" u="1"/>
        <n v="30" u="1"/>
        <n v="4" u="1"/>
        <n v="12" u="1"/>
      </sharedItems>
    </cacheField>
    <cacheField name="mode" numFmtId="0">
      <sharedItems containsNonDate="0" containsBlank="1" count="17">
        <m/>
        <s v="Bus (b" u="1"/>
        <s v="s" u="1"/>
        <s v="Light-Rail (n)" u="1"/>
        <s v="CableCar (c)" u="1"/>
        <s v="Train (t)" u="1"/>
        <s v="c" u="1"/>
        <s v="Cable Car (c)" u="1"/>
        <s v="Matronit (m)" u="1"/>
        <s v="LightRail (n)" u="1"/>
        <s v="t" u="1"/>
        <s v="Taxi (i)" u="1"/>
        <s v="m" u="1"/>
        <s v="Carmelit (s)" u="1"/>
        <s v="i" u="1"/>
        <s v="b" u="1"/>
        <s v="n" u="1"/>
      </sharedItems>
    </cacheField>
    <cacheField name="IniBoard" numFmtId="164">
      <sharedItems containsNonDate="0" containsString="0" containsBlank="1"/>
    </cacheField>
    <cacheField name="Boarding" numFmtId="164">
      <sharedItems containsNonDate="0" containsString="0" containsBlank="1"/>
    </cacheField>
    <cacheField name="Pass*Km" numFmtId="164">
      <sharedItems containsNonDate="0" containsString="0" containsBlank="1"/>
    </cacheField>
    <cacheField name="Pass*Hour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riya Berlowitz" refreshedDate="43803.420626388892" createdVersion="6" refreshedVersion="6" minRefreshableVersion="3" recordCount="186" xr:uid="{00000000-000A-0000-FFFF-FFFF06000000}">
  <cacheSource type="worksheet">
    <worksheetSource ref="A4:F190" sheet="Transit PM"/>
  </cacheSource>
  <cacheFields count="6">
    <cacheField name="Zone" numFmtId="0">
      <sharedItems containsNonDate="0" containsString="0" containsBlank="1" containsNumber="1" containsInteger="1" minValue="1" maxValue="30" count="27">
        <m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21" u="1"/>
        <n v="22" u="1"/>
        <n v="1" u="1"/>
        <n v="23" u="1"/>
        <n v="3" u="1"/>
        <n v="8" u="1"/>
        <n v="24" u="1"/>
        <n v="25" u="1"/>
        <n v="9" u="1"/>
        <n v="10" u="1"/>
        <n v="11" u="1"/>
        <n v="30" u="1"/>
        <n v="4" u="1"/>
        <n v="12" u="1"/>
      </sharedItems>
    </cacheField>
    <cacheField name="mode" numFmtId="0">
      <sharedItems containsNonDate="0" containsBlank="1" count="17">
        <m/>
        <s v="Bus (b" u="1"/>
        <s v="s" u="1"/>
        <s v="Light-Rail (n)" u="1"/>
        <s v="CableCar (c)" u="1"/>
        <s v="Train (t)" u="1"/>
        <s v="c" u="1"/>
        <s v="Cable Car (c)" u="1"/>
        <s v="Matronit (m)" u="1"/>
        <s v="LightRail (n)" u="1"/>
        <s v="t" u="1"/>
        <s v="Taxi (i)" u="1"/>
        <s v="m" u="1"/>
        <s v="Carmelit (s)" u="1"/>
        <s v="i" u="1"/>
        <s v="b" u="1"/>
        <s v="n" u="1"/>
      </sharedItems>
    </cacheField>
    <cacheField name="IniBoard" numFmtId="164">
      <sharedItems containsNonDate="0" containsString="0" containsBlank="1"/>
    </cacheField>
    <cacheField name="Boarding" numFmtId="164">
      <sharedItems containsNonDate="0" containsString="0" containsBlank="1"/>
    </cacheField>
    <cacheField name="Pass*Km" numFmtId="164">
      <sharedItems containsNonDate="0" containsString="0" containsBlank="1"/>
    </cacheField>
    <cacheField name="Pass*Hour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riya Berlowitz" refreshedDate="43803.42062650463" createdVersion="6" refreshedVersion="6" minRefreshableVersion="3" recordCount="186" xr:uid="{00000000-000A-0000-FFFF-FFFF07000000}">
  <cacheSource type="worksheet">
    <worksheetSource ref="A4:F190" sheet="Transit Late&amp;Early"/>
  </cacheSource>
  <cacheFields count="6">
    <cacheField name="Zone" numFmtId="0">
      <sharedItems containsNonDate="0" containsString="0" containsBlank="1" containsNumber="1" containsInteger="1" minValue="1" maxValue="30" count="27">
        <m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21" u="1"/>
        <n v="22" u="1"/>
        <n v="1" u="1"/>
        <n v="23" u="1"/>
        <n v="3" u="1"/>
        <n v="8" u="1"/>
        <n v="24" u="1"/>
        <n v="25" u="1"/>
        <n v="9" u="1"/>
        <n v="10" u="1"/>
        <n v="11" u="1"/>
        <n v="30" u="1"/>
        <n v="4" u="1"/>
        <n v="12" u="1"/>
      </sharedItems>
    </cacheField>
    <cacheField name="mode" numFmtId="0">
      <sharedItems containsNonDate="0" containsBlank="1" count="17">
        <m/>
        <s v="Bus (b" u="1"/>
        <s v="s" u="1"/>
        <s v="Light-Rail (n)" u="1"/>
        <s v="CableCar (c)" u="1"/>
        <s v="Train (t)" u="1"/>
        <s v="c" u="1"/>
        <s v="Cable Car (c)" u="1"/>
        <s v="Matronit (m)" u="1"/>
        <s v="LightRail (n)" u="1"/>
        <s v="t" u="1"/>
        <s v="Taxi (i)" u="1"/>
        <s v="m" u="1"/>
        <s v="Carmelit (s)" u="1"/>
        <s v="i" u="1"/>
        <s v="b" u="1"/>
        <s v="n" u="1"/>
      </sharedItems>
    </cacheField>
    <cacheField name="IniBoard" numFmtId="164">
      <sharedItems containsNonDate="0" containsString="0" containsBlank="1"/>
    </cacheField>
    <cacheField name="Boarding" numFmtId="164">
      <sharedItems containsNonDate="0" containsString="0" containsBlank="1"/>
    </cacheField>
    <cacheField name="Pass*Km" numFmtId="164">
      <sharedItems containsNonDate="0" containsString="0" containsBlank="1"/>
    </cacheField>
    <cacheField name="Pass*Hour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6"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6"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6"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6"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  <r>
    <x v="0"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Superzone">
  <location ref="H16:L18" firstHeaderRow="0" firstDataRow="1" firstDataCol="1"/>
  <pivotFields count="6">
    <pivotField axis="axisRow" showAll="0">
      <items count="29">
        <item m="1" x="15"/>
        <item m="1" x="5"/>
        <item m="1" x="17"/>
        <item m="1" x="26"/>
        <item m="1" x="2"/>
        <item m="1" x="6"/>
        <item m="1" x="11"/>
        <item m="1" x="18"/>
        <item m="1" x="21"/>
        <item m="1" x="23"/>
        <item m="1" x="24"/>
        <item m="1" x="27"/>
        <item m="1" x="1"/>
        <item m="1" x="3"/>
        <item m="1" x="4"/>
        <item m="1" x="7"/>
        <item m="1" x="8"/>
        <item m="1" x="9"/>
        <item m="1" x="10"/>
        <item m="1" x="12"/>
        <item m="1" x="13"/>
        <item m="1" x="14"/>
        <item m="1" x="16"/>
        <item m="1" x="19"/>
        <item m="1" x="20"/>
        <item m="1" x="22"/>
        <item m="1" x="25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2">
    <i>
      <x v="2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IniBoard" fld="2" baseField="0" baseItem="0"/>
    <dataField name="Sum of Boarding" fld="3" baseField="0" baseItem="0"/>
    <dataField name="Sum of Pass*Km" fld="4" baseField="0" baseItem="0"/>
    <dataField name="Sum of Pass*Hour" fld="5" baseField="0" baseItem="0"/>
  </dataFields>
  <formats count="6">
    <format dxfId="119">
      <pivotArea outline="0" collapsedLevelsAreSubtotals="1" fieldPosition="0"/>
    </format>
    <format dxfId="118">
      <pivotArea outline="0" collapsedLevelsAreSubtotals="1" fieldPosition="0"/>
    </format>
    <format dxfId="117">
      <pivotArea outline="0" collapsedLevelsAreSubtotals="1" fieldPosition="0"/>
    </format>
    <format dxfId="116">
      <pivotArea outline="0" collapsedLevelsAreSubtotals="1" fieldPosition="0"/>
    </format>
    <format dxfId="115">
      <pivotArea outline="0" collapsedLevelsAreSubtotals="1" fieldPosition="0"/>
    </format>
    <format dxfId="1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Mode">
  <location ref="H5:L7" firstHeaderRow="0" firstDataRow="1" firstDataCol="1"/>
  <pivotFields count="6">
    <pivotField showAll="0"/>
    <pivotField axis="axisRow" showAll="0">
      <items count="18">
        <item m="1" x="15"/>
        <item m="1" x="6"/>
        <item m="1" x="14"/>
        <item m="1" x="12"/>
        <item m="1" x="16"/>
        <item m="1" x="2"/>
        <item m="1" x="10"/>
        <item x="0"/>
        <item m="1" x="1"/>
        <item m="1" x="7"/>
        <item m="1" x="11"/>
        <item m="1" x="8"/>
        <item m="1" x="3"/>
        <item m="1" x="13"/>
        <item m="1" x="5"/>
        <item m="1" x="4"/>
        <item m="1" x="9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1"/>
  </rowFields>
  <rowItems count="2">
    <i>
      <x v="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IniBoard" fld="2" baseField="0" baseItem="0"/>
    <dataField name="Sum of Boarding" fld="3" baseField="0" baseItem="0"/>
    <dataField name="Sum of Pass*Km" fld="4" baseField="0" baseItem="0"/>
    <dataField name="Sum of Pass*Hour" fld="5" baseField="0" baseItem="0"/>
  </dataFields>
  <formats count="6">
    <format dxfId="125">
      <pivotArea outline="0" collapsedLevelsAreSubtotals="1" fieldPosition="0"/>
    </format>
    <format dxfId="124">
      <pivotArea outline="0" collapsedLevelsAreSubtotals="1" fieldPosition="0"/>
    </format>
    <format dxfId="123">
      <pivotArea outline="0" collapsedLevelsAreSubtotals="1" fieldPosition="0"/>
    </format>
    <format dxfId="122">
      <pivotArea outline="0" collapsedLevelsAreSubtotals="1" fieldPosition="0"/>
    </format>
    <format dxfId="121">
      <pivotArea outline="0" collapsedLevelsAreSubtotals="1" fieldPosition="0"/>
    </format>
    <format dxfId="12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Superzone">
  <location ref="H16:L18" firstHeaderRow="0" firstDataRow="1" firstDataCol="1"/>
  <pivotFields count="6">
    <pivotField axis="axisRow" showAll="0">
      <items count="28">
        <item m="1" x="15"/>
        <item m="1" x="5"/>
        <item m="1" x="17"/>
        <item m="1" x="25"/>
        <item m="1" x="2"/>
        <item m="1" x="6"/>
        <item m="1" x="11"/>
        <item m="1" x="18"/>
        <item m="1" x="21"/>
        <item m="1" x="22"/>
        <item m="1" x="23"/>
        <item m="1" x="26"/>
        <item m="1" x="1"/>
        <item m="1" x="3"/>
        <item m="1" x="4"/>
        <item m="1" x="7"/>
        <item m="1" x="8"/>
        <item m="1" x="9"/>
        <item m="1" x="10"/>
        <item m="1" x="12"/>
        <item m="1" x="13"/>
        <item m="1" x="14"/>
        <item m="1" x="16"/>
        <item m="1" x="19"/>
        <item m="1" x="20"/>
        <item m="1" x="24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2">
    <i>
      <x v="2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IniBoard" fld="2" baseField="0" baseItem="0"/>
    <dataField name="Sum of Boarding" fld="3" baseField="0" baseItem="0"/>
    <dataField name="Sum of Pass*Km" fld="4" baseField="0" baseItem="0"/>
    <dataField name="Sum of Pass*Hour" fld="5" baseField="0" baseItem="0"/>
  </dataFields>
  <formats count="6">
    <format dxfId="107">
      <pivotArea outline="0" collapsedLevelsAreSubtotals="1" fieldPosition="0"/>
    </format>
    <format dxfId="106">
      <pivotArea outline="0" collapsedLevelsAreSubtotals="1" fieldPosition="0"/>
    </format>
    <format dxfId="105">
      <pivotArea outline="0" collapsedLevelsAreSubtotals="1" fieldPosition="0"/>
    </format>
    <format dxfId="104">
      <pivotArea outline="0" collapsedLevelsAreSubtotals="1" fieldPosition="0"/>
    </format>
    <format dxfId="103">
      <pivotArea outline="0" collapsedLevelsAreSubtotals="1" fieldPosition="0"/>
    </format>
    <format dxfId="10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Mode">
  <location ref="H5:L7" firstHeaderRow="0" firstDataRow="1" firstDataCol="1"/>
  <pivotFields count="6">
    <pivotField showAll="0"/>
    <pivotField axis="axisRow" showAll="0">
      <items count="18">
        <item m="1" x="15"/>
        <item m="1" x="6"/>
        <item m="1" x="14"/>
        <item m="1" x="12"/>
        <item m="1" x="16"/>
        <item m="1" x="2"/>
        <item m="1" x="10"/>
        <item x="0"/>
        <item m="1" x="1"/>
        <item m="1" x="7"/>
        <item m="1" x="11"/>
        <item m="1" x="8"/>
        <item m="1" x="3"/>
        <item m="1" x="13"/>
        <item m="1" x="5"/>
        <item m="1" x="4"/>
        <item m="1" x="9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1"/>
  </rowFields>
  <rowItems count="2">
    <i>
      <x v="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IniBoard" fld="2" baseField="0" baseItem="0"/>
    <dataField name="Sum of Boarding" fld="3" baseField="0" baseItem="0"/>
    <dataField name="Sum of Pass*Km" fld="4" baseField="0" baseItem="0"/>
    <dataField name="Sum of Pass*Hour" fld="5" baseField="0" baseItem="0"/>
  </dataFields>
  <formats count="6">
    <format dxfId="60">
      <pivotArea outline="0" collapsedLevelsAreSubtotals="1" fieldPosition="0"/>
    </format>
    <format dxfId="61">
      <pivotArea outline="0" collapsedLevelsAreSubtotals="1" fieldPosition="0"/>
    </format>
    <format dxfId="62">
      <pivotArea outline="0" collapsedLevelsAreSubtotals="1" fieldPosition="0"/>
    </format>
    <format dxfId="63">
      <pivotArea outline="0" collapsedLevelsAreSubtotals="1" fieldPosition="0"/>
    </format>
    <format dxfId="64">
      <pivotArea outline="0" collapsedLevelsAreSubtotals="1" fieldPosition="0"/>
    </format>
    <format dxfId="6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1000000}" name="PivotTable4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Superzone">
  <location ref="H16:L18" firstHeaderRow="0" firstDataRow="1" firstDataCol="1"/>
  <pivotFields count="6">
    <pivotField axis="axisRow" showAll="0">
      <items count="28">
        <item m="1" x="15"/>
        <item m="1" x="5"/>
        <item m="1" x="17"/>
        <item m="1" x="25"/>
        <item m="1" x="2"/>
        <item m="1" x="6"/>
        <item m="1" x="11"/>
        <item m="1" x="18"/>
        <item m="1" x="21"/>
        <item m="1" x="22"/>
        <item m="1" x="23"/>
        <item m="1" x="26"/>
        <item m="1" x="1"/>
        <item m="1" x="3"/>
        <item m="1" x="4"/>
        <item m="1" x="7"/>
        <item m="1" x="8"/>
        <item m="1" x="9"/>
        <item m="1" x="10"/>
        <item m="1" x="12"/>
        <item m="1" x="13"/>
        <item m="1" x="14"/>
        <item m="1" x="16"/>
        <item m="1" x="19"/>
        <item m="1" x="20"/>
        <item m="1" x="24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2">
    <i>
      <x v="2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IniBoard" fld="2" baseField="0" baseItem="0"/>
    <dataField name="Sum of Boarding" fld="3" baseField="0" baseItem="0"/>
    <dataField name="Sum of Pass*Km" fld="4" baseField="0" baseItem="0"/>
    <dataField name="Sum of Pass*Hour" fld="5" baseField="0" baseItem="0"/>
  </dataFields>
  <formats count="6">
    <format dxfId="95">
      <pivotArea outline="0" collapsedLevelsAreSubtotals="1" fieldPosition="0"/>
    </format>
    <format dxfId="94">
      <pivotArea outline="0" collapsedLevelsAreSubtotals="1" fieldPosition="0"/>
    </format>
    <format dxfId="93">
      <pivotArea outline="0" collapsedLevelsAreSubtotals="1" fieldPosition="0"/>
    </format>
    <format dxfId="92">
      <pivotArea outline="0" collapsedLevelsAreSubtotals="1" fieldPosition="0"/>
    </format>
    <format dxfId="91">
      <pivotArea outline="0" collapsedLevelsAreSubtotals="1" fieldPosition="0"/>
    </format>
    <format dxfId="9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PivotTable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Mode">
  <location ref="H5:L7" firstHeaderRow="0" firstDataRow="1" firstDataCol="1"/>
  <pivotFields count="6">
    <pivotField showAll="0"/>
    <pivotField axis="axisRow" showAll="0">
      <items count="18">
        <item m="1" x="15"/>
        <item m="1" x="6"/>
        <item m="1" x="14"/>
        <item m="1" x="12"/>
        <item m="1" x="16"/>
        <item m="1" x="2"/>
        <item m="1" x="10"/>
        <item x="0"/>
        <item m="1" x="1"/>
        <item m="1" x="7"/>
        <item m="1" x="11"/>
        <item m="1" x="8"/>
        <item m="1" x="3"/>
        <item m="1" x="13"/>
        <item m="1" x="5"/>
        <item m="1" x="4"/>
        <item m="1" x="9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1"/>
  </rowFields>
  <rowItems count="2">
    <i>
      <x v="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IniBoard" fld="2" baseField="0" baseItem="0"/>
    <dataField name="Sum of Boarding" fld="3" baseField="0" baseItem="0"/>
    <dataField name="Sum of Pass*Km" fld="4" baseField="0" baseItem="0"/>
    <dataField name="Sum of Pass*Hour" fld="5" baseField="0" baseItem="0"/>
  </dataFields>
  <formats count="6">
    <format dxfId="72">
      <pivotArea outline="0" collapsedLevelsAreSubtotals="1" fieldPosition="0"/>
    </format>
    <format dxfId="73">
      <pivotArea outline="0" collapsedLevelsAreSubtotals="1" fieldPosition="0"/>
    </format>
    <format dxfId="74">
      <pivotArea outline="0" collapsedLevelsAreSubtotals="1" fieldPosition="0"/>
    </format>
    <format dxfId="75">
      <pivotArea outline="0" collapsedLevelsAreSubtotals="1" fieldPosition="0"/>
    </format>
    <format dxfId="76">
      <pivotArea outline="0" collapsedLevelsAreSubtotals="1" fieldPosition="0"/>
    </format>
    <format dxfId="7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200-000001000000}" name="PivotTable4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Superzone">
  <location ref="H16:L18" firstHeaderRow="0" firstDataRow="1" firstDataCol="1"/>
  <pivotFields count="6">
    <pivotField axis="axisRow" showAll="0">
      <items count="28">
        <item m="1" x="15"/>
        <item m="1" x="5"/>
        <item m="1" x="17"/>
        <item m="1" x="25"/>
        <item m="1" x="2"/>
        <item m="1" x="6"/>
        <item m="1" x="11"/>
        <item m="1" x="18"/>
        <item m="1" x="21"/>
        <item m="1" x="22"/>
        <item m="1" x="23"/>
        <item m="1" x="26"/>
        <item m="1" x="1"/>
        <item m="1" x="3"/>
        <item m="1" x="4"/>
        <item m="1" x="7"/>
        <item m="1" x="8"/>
        <item m="1" x="9"/>
        <item m="1" x="10"/>
        <item m="1" x="12"/>
        <item m="1" x="13"/>
        <item m="1" x="14"/>
        <item m="1" x="16"/>
        <item m="1" x="19"/>
        <item m="1" x="20"/>
        <item m="1" x="24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2">
    <i>
      <x v="2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IniBoard" fld="2" baseField="0" baseItem="0"/>
    <dataField name="Sum of Boarding" fld="3" baseField="0" baseItem="0"/>
    <dataField name="Sum of Pass*Km" fld="4" baseField="0" baseItem="0"/>
    <dataField name="Sum of Pass*Hour" fld="5" baseField="0" baseItem="0"/>
  </dataFields>
  <formats count="6">
    <format dxfId="83">
      <pivotArea outline="0" collapsedLevelsAreSubtotals="1" fieldPosition="0"/>
    </format>
    <format dxfId="82">
      <pivotArea outline="0" collapsedLevelsAreSubtotals="1" fieldPosition="0"/>
    </format>
    <format dxfId="81">
      <pivotArea outline="0" collapsedLevelsAreSubtotals="1" fieldPosition="0"/>
    </format>
    <format dxfId="80">
      <pivotArea outline="0" collapsedLevelsAreSubtotals="1" fieldPosition="0"/>
    </format>
    <format dxfId="79">
      <pivotArea outline="0" collapsedLevelsAreSubtotals="1" fieldPosition="0"/>
    </format>
    <format dxfId="7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200-000000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Mode">
  <location ref="H5:L7" firstHeaderRow="0" firstDataRow="1" firstDataCol="1"/>
  <pivotFields count="6">
    <pivotField showAll="0"/>
    <pivotField axis="axisRow" showAll="0">
      <items count="18">
        <item m="1" x="15"/>
        <item m="1" x="6"/>
        <item m="1" x="14"/>
        <item m="1" x="12"/>
        <item m="1" x="16"/>
        <item m="1" x="2"/>
        <item m="1" x="10"/>
        <item x="0"/>
        <item m="1" x="1"/>
        <item m="1" x="7"/>
        <item m="1" x="11"/>
        <item m="1" x="8"/>
        <item m="1" x="3"/>
        <item m="1" x="13"/>
        <item m="1" x="5"/>
        <item m="1" x="4"/>
        <item m="1" x="9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1"/>
  </rowFields>
  <rowItems count="2">
    <i>
      <x v="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IniBoard" fld="2" baseField="0" baseItem="0"/>
    <dataField name="Sum of Boarding" fld="3" baseField="0" baseItem="0"/>
    <dataField name="Sum of Pass*Km" fld="4" baseField="0" baseItem="0"/>
    <dataField name="Sum of Pass*Hour" fld="5" baseField="0" baseItem="0"/>
  </dataFields>
  <formats count="6">
    <format dxfId="42">
      <pivotArea outline="0" collapsedLevelsAreSubtotals="1" fieldPosition="0"/>
    </format>
    <format dxfId="43">
      <pivotArea outline="0" collapsedLevelsAreSubtotals="1" fieldPosition="0"/>
    </format>
    <format dxfId="44">
      <pivotArea outline="0" collapsedLevelsAreSubtotals="1" fieldPosition="0"/>
    </format>
    <format dxfId="45">
      <pivotArea outline="0" collapsedLevelsAreSubtotals="1" fieldPosition="0"/>
    </format>
    <format dxfId="46">
      <pivotArea outline="0" collapsedLevelsAreSubtotals="1" fieldPosition="0"/>
    </format>
    <format dxfId="4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21"/>
  <sheetViews>
    <sheetView zoomScaleNormal="100" workbookViewId="0"/>
  </sheetViews>
  <sheetFormatPr defaultRowHeight="23.25" customHeight="1" x14ac:dyDescent="0.3"/>
  <cols>
    <col min="1" max="1" width="2.109375" customWidth="1"/>
    <col min="2" max="2" width="26" bestFit="1" customWidth="1"/>
    <col min="19" max="19" width="9.109375" customWidth="1"/>
  </cols>
  <sheetData>
    <row r="1" spans="2:2" ht="9" customHeight="1" thickBot="1" x14ac:dyDescent="0.35"/>
    <row r="2" spans="2:2" ht="23.25" customHeight="1" x14ac:dyDescent="0.3">
      <c r="B2" s="125" t="s">
        <v>0</v>
      </c>
    </row>
    <row r="3" spans="2:2" ht="23.25" customHeight="1" thickBot="1" x14ac:dyDescent="0.35">
      <c r="B3" s="126"/>
    </row>
    <row r="4" spans="2:2" ht="23.25" customHeight="1" x14ac:dyDescent="0.3">
      <c r="B4" s="1" t="s">
        <v>1</v>
      </c>
    </row>
    <row r="5" spans="2:2" ht="23.25" customHeight="1" x14ac:dyDescent="0.3">
      <c r="B5" s="2" t="s">
        <v>145</v>
      </c>
    </row>
    <row r="6" spans="2:2" ht="23.25" customHeight="1" x14ac:dyDescent="0.3">
      <c r="B6" s="2" t="s">
        <v>131</v>
      </c>
    </row>
    <row r="7" spans="2:2" ht="23.25" customHeight="1" x14ac:dyDescent="0.3">
      <c r="B7" s="3" t="s">
        <v>132</v>
      </c>
    </row>
    <row r="8" spans="2:2" ht="23.25" customHeight="1" x14ac:dyDescent="0.3">
      <c r="B8" s="4" t="s">
        <v>133</v>
      </c>
    </row>
    <row r="9" spans="2:2" ht="23.25" customHeight="1" x14ac:dyDescent="0.3">
      <c r="B9" s="4" t="s">
        <v>134</v>
      </c>
    </row>
    <row r="10" spans="2:2" ht="23.25" customHeight="1" x14ac:dyDescent="0.3">
      <c r="B10" s="5" t="s">
        <v>135</v>
      </c>
    </row>
    <row r="11" spans="2:2" ht="23.25" customHeight="1" x14ac:dyDescent="0.3">
      <c r="B11" s="4" t="s">
        <v>136</v>
      </c>
    </row>
    <row r="12" spans="2:2" ht="23.25" customHeight="1" x14ac:dyDescent="0.3">
      <c r="B12" s="5" t="s">
        <v>137</v>
      </c>
    </row>
    <row r="13" spans="2:2" ht="23.25" customHeight="1" x14ac:dyDescent="0.3">
      <c r="B13" s="4" t="s">
        <v>138</v>
      </c>
    </row>
    <row r="14" spans="2:2" ht="23.25" customHeight="1" x14ac:dyDescent="0.3">
      <c r="B14" s="4" t="s">
        <v>139</v>
      </c>
    </row>
    <row r="15" spans="2:2" ht="23.25" customHeight="1" x14ac:dyDescent="0.3">
      <c r="B15" s="4" t="s">
        <v>140</v>
      </c>
    </row>
    <row r="16" spans="2:2" ht="23.25" customHeight="1" x14ac:dyDescent="0.3">
      <c r="B16" s="4" t="s">
        <v>141</v>
      </c>
    </row>
    <row r="17" spans="2:2" ht="23.25" customHeight="1" x14ac:dyDescent="0.3">
      <c r="B17" s="3" t="s">
        <v>142</v>
      </c>
    </row>
    <row r="18" spans="2:2" ht="23.25" customHeight="1" x14ac:dyDescent="0.3">
      <c r="B18" s="3" t="s">
        <v>143</v>
      </c>
    </row>
    <row r="19" spans="2:2" ht="23.25" customHeight="1" x14ac:dyDescent="0.3">
      <c r="B19" s="4" t="s">
        <v>144</v>
      </c>
    </row>
    <row r="20" spans="2:2" ht="23.25" customHeight="1" x14ac:dyDescent="0.3">
      <c r="B20" s="4" t="s">
        <v>146</v>
      </c>
    </row>
    <row r="21" spans="2:2" ht="23.25" customHeight="1" x14ac:dyDescent="0.3">
      <c r="B21" s="4" t="s">
        <v>147</v>
      </c>
    </row>
  </sheetData>
  <mergeCells count="1">
    <mergeCell ref="B2:B3"/>
  </mergeCells>
  <hyperlinks>
    <hyperlink ref="B11" location="'Car VoC_L'!A1" display="Car Summary" xr:uid="{00000000-0004-0000-0000-000000000000}"/>
    <hyperlink ref="B4" location="'Data Overview'!A1" display="1. Data Overview" xr:uid="{00000000-0004-0000-0000-000001000000}"/>
    <hyperlink ref="B12" location="'Car VoC_I'!A1" display="2.b) Car Voc Intersections" xr:uid="{00000000-0004-0000-0000-000002000000}"/>
    <hyperlink ref="B13" location="'Demand AM'!A1" display="3.a) Demand AM" xr:uid="{00000000-0004-0000-0000-000003000000}"/>
    <hyperlink ref="B14" location="'Demand OP'!A1" display="3.b) Demand OP" xr:uid="{00000000-0004-0000-0000-000004000000}"/>
    <hyperlink ref="B15" location="'Demand PM'!A1" display="3.c) Demand PM" xr:uid="{00000000-0004-0000-0000-000005000000}"/>
    <hyperlink ref="B16" location="'Demand Late&amp;Early'!A1" display="3.d) Demand Late&amp;Early" xr:uid="{00000000-0004-0000-0000-000006000000}"/>
    <hyperlink ref="B17" location="Haiz!A1" display="4. Haiz" xr:uid="{00000000-0004-0000-0000-000007000000}"/>
    <hyperlink ref="B18" location="'Transit AM'!A1" display="5.a) Transit Report AM" xr:uid="{00000000-0004-0000-0000-000008000000}"/>
    <hyperlink ref="B19" location="'Transit OP'!A1" display="6.b) Transit Report OP" xr:uid="{00000000-0004-0000-0000-000009000000}"/>
    <hyperlink ref="B7" location="'AM Summary'!A1" display="2.a) AM Summary" xr:uid="{00000000-0004-0000-0000-00000A000000}"/>
    <hyperlink ref="B8" location="'OP Summary'!A1" display="2.b) OP Summary" xr:uid="{00000000-0004-0000-0000-00000B000000}"/>
    <hyperlink ref="B9" location="'PM Summary'!A1" display="2.c) PM Summary" xr:uid="{00000000-0004-0000-0000-00000C000000}"/>
    <hyperlink ref="B10" location="'Late&amp;Early Summary'!A1" display="2.d) Late&amp;Early Summary" xr:uid="{00000000-0004-0000-0000-00000D000000}"/>
    <hyperlink ref="B6" location="'Inner Report'!A1" display="2. Inner Report" xr:uid="{00000000-0004-0000-0000-00000E000000}"/>
    <hyperlink ref="B20" location="'Transit PM'!A1" display="7.b) Transit PM" xr:uid="{00000000-0004-0000-0000-00000F000000}"/>
    <hyperlink ref="B5" location="'Summary Report'!A1" display="2. Summary Report" xr:uid="{00000000-0004-0000-0000-000010000000}"/>
    <hyperlink ref="B21" location="'Transit Late&amp;Early'!A1" display="8.d) Transit Late&amp;Early" xr:uid="{00000000-0004-0000-0000-000011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print="0" autoLine="0" autoPict="0" r:id="rId5">
            <anchor moveWithCells="1" sizeWithCells="1">
              <from>
                <xdr:col>1</xdr:col>
                <xdr:colOff>0</xdr:colOff>
                <xdr:row>20</xdr:row>
                <xdr:rowOff>289560</xdr:rowOff>
              </from>
              <to>
                <xdr:col>1</xdr:col>
                <xdr:colOff>0</xdr:colOff>
                <xdr:row>21</xdr:row>
                <xdr:rowOff>297180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L68"/>
  <sheetViews>
    <sheetView workbookViewId="0">
      <pane xSplit="3" ySplit="5" topLeftCell="D6" activePane="bottomRight" state="frozen"/>
      <selection activeCell="D14" sqref="D14"/>
      <selection pane="topRight" activeCell="D14" sqref="D14"/>
      <selection pane="bottomLeft" activeCell="D14" sqref="D14"/>
      <selection pane="bottomRight" activeCell="A13" sqref="A13"/>
    </sheetView>
  </sheetViews>
  <sheetFormatPr defaultRowHeight="14.4" x14ac:dyDescent="0.3"/>
  <cols>
    <col min="1" max="1" width="9.6640625" customWidth="1"/>
    <col min="2" max="2" width="8.33203125" bestFit="1" customWidth="1"/>
    <col min="3" max="3" width="12.21875" bestFit="1" customWidth="1"/>
    <col min="4" max="7" width="10.109375" bestFit="1" customWidth="1"/>
    <col min="8" max="8" width="10.77734375" bestFit="1" customWidth="1"/>
  </cols>
  <sheetData>
    <row r="1" spans="1:12" ht="27" thickBot="1" x14ac:dyDescent="0.35">
      <c r="A1" s="8" t="s">
        <v>2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</row>
    <row r="2" spans="1:12" ht="21" x14ac:dyDescent="0.3">
      <c r="A2" s="6"/>
      <c r="B2" s="134"/>
      <c r="C2" s="134"/>
      <c r="D2" s="134"/>
      <c r="E2" s="134"/>
      <c r="F2" s="134"/>
      <c r="G2" s="134"/>
      <c r="H2" s="134"/>
      <c r="J2" s="9"/>
      <c r="K2" s="9"/>
      <c r="L2" s="9"/>
    </row>
    <row r="3" spans="1:12" ht="6.75" customHeight="1" thickBot="1" x14ac:dyDescent="0.35">
      <c r="A3" s="10"/>
      <c r="B3" s="7"/>
      <c r="C3" s="7"/>
      <c r="D3" s="7"/>
      <c r="E3" s="7"/>
      <c r="F3" s="7"/>
      <c r="G3" s="7"/>
      <c r="H3" s="7"/>
      <c r="J3" s="7"/>
      <c r="K3" s="7"/>
      <c r="L3" s="7"/>
    </row>
    <row r="4" spans="1:12" ht="26.4" x14ac:dyDescent="0.3">
      <c r="B4" s="135" t="s">
        <v>3</v>
      </c>
      <c r="C4" s="137" t="s">
        <v>4</v>
      </c>
      <c r="D4" s="11" t="s">
        <v>5</v>
      </c>
      <c r="E4" s="12" t="s">
        <v>6</v>
      </c>
      <c r="F4" s="13" t="s">
        <v>7</v>
      </c>
      <c r="G4" s="14" t="s">
        <v>8</v>
      </c>
      <c r="H4" s="139" t="s">
        <v>9</v>
      </c>
    </row>
    <row r="5" spans="1:12" ht="15" thickBot="1" x14ac:dyDescent="0.35">
      <c r="B5" s="136"/>
      <c r="C5" s="138"/>
      <c r="D5" s="15">
        <f>1/0.399303847</f>
        <v>2.5043585417798391</v>
      </c>
      <c r="E5" s="16">
        <f>1/0.1714</f>
        <v>5.8343057176196034</v>
      </c>
      <c r="F5" s="17">
        <f>1/0.351200858</f>
        <v>2.8473734537402526</v>
      </c>
      <c r="G5" s="18">
        <f>1/0.4</f>
        <v>2.5</v>
      </c>
      <c r="H5" s="140"/>
    </row>
    <row r="6" spans="1:12" x14ac:dyDescent="0.3">
      <c r="B6" s="141" t="s">
        <v>10</v>
      </c>
      <c r="C6" s="19" t="s">
        <v>11</v>
      </c>
      <c r="D6" s="20"/>
      <c r="E6" s="21"/>
      <c r="F6" s="22"/>
      <c r="G6" s="22"/>
      <c r="H6" s="23">
        <f>SUMPRODUCT(D6:G6,$D$5:$G$5)</f>
        <v>0</v>
      </c>
    </row>
    <row r="7" spans="1:12" x14ac:dyDescent="0.3">
      <c r="B7" s="131"/>
      <c r="C7" s="24" t="s">
        <v>12</v>
      </c>
      <c r="D7" s="25"/>
      <c r="E7" s="26"/>
      <c r="F7" s="27"/>
      <c r="G7" s="27"/>
      <c r="H7" s="28">
        <f>SUMPRODUCT(D7:G7,$D$5:$G$5)</f>
        <v>0</v>
      </c>
    </row>
    <row r="8" spans="1:12" x14ac:dyDescent="0.3">
      <c r="B8" s="131"/>
      <c r="C8" s="29" t="s">
        <v>13</v>
      </c>
      <c r="D8" s="30" t="e">
        <f>D6/D7</f>
        <v>#DIV/0!</v>
      </c>
      <c r="E8" s="30" t="e">
        <f t="shared" ref="E8:G8" si="0">E6/E7</f>
        <v>#DIV/0!</v>
      </c>
      <c r="F8" s="30" t="e">
        <f t="shared" si="0"/>
        <v>#DIV/0!</v>
      </c>
      <c r="G8" s="31" t="e">
        <f t="shared" si="0"/>
        <v>#DIV/0!</v>
      </c>
      <c r="H8" s="28" t="e">
        <f>H6/H7</f>
        <v>#DIV/0!</v>
      </c>
    </row>
    <row r="9" spans="1:12" x14ac:dyDescent="0.3">
      <c r="B9" s="131"/>
      <c r="C9" s="29" t="s">
        <v>14</v>
      </c>
      <c r="D9" s="30"/>
      <c r="E9" s="26"/>
      <c r="F9" s="26"/>
      <c r="G9" s="27"/>
      <c r="H9" s="28">
        <f>SUMPRODUCT(D9:G9,$D$5:$G$5)</f>
        <v>0</v>
      </c>
    </row>
    <row r="10" spans="1:12" x14ac:dyDescent="0.3">
      <c r="B10" s="131"/>
      <c r="C10" s="29" t="s">
        <v>15</v>
      </c>
      <c r="D10" s="32"/>
      <c r="E10" s="33"/>
      <c r="F10" s="34"/>
      <c r="G10" s="34"/>
      <c r="H10" s="28">
        <f>SUMPRODUCT(D10:G10,$D$5:$G$5)</f>
        <v>0</v>
      </c>
    </row>
    <row r="11" spans="1:12" x14ac:dyDescent="0.3">
      <c r="B11" s="131"/>
      <c r="C11" s="29" t="s">
        <v>16</v>
      </c>
      <c r="D11" s="25"/>
      <c r="E11" s="26"/>
      <c r="F11" s="27"/>
      <c r="G11" s="27"/>
      <c r="H11" s="28">
        <f>SUMPRODUCT(D11:G11,$D$5:$G$5)</f>
        <v>0</v>
      </c>
    </row>
    <row r="12" spans="1:12" ht="15" thickBot="1" x14ac:dyDescent="0.35">
      <c r="B12" s="132"/>
      <c r="C12" s="35" t="s">
        <v>17</v>
      </c>
      <c r="D12" s="36"/>
      <c r="E12" s="37"/>
      <c r="F12" s="38"/>
      <c r="G12" s="38"/>
      <c r="H12" s="39">
        <f>SUMPRODUCT(D12:G12,$D$5:$G$5)</f>
        <v>0</v>
      </c>
    </row>
    <row r="13" spans="1:12" x14ac:dyDescent="0.3">
      <c r="B13" s="131" t="s">
        <v>18</v>
      </c>
      <c r="C13" s="40" t="s">
        <v>11</v>
      </c>
      <c r="D13" s="41"/>
      <c r="E13" s="21"/>
      <c r="F13" s="21"/>
      <c r="G13" s="22"/>
      <c r="H13" s="23">
        <f t="shared" ref="H13:H68" si="1">SUMPRODUCT(D13:G13,$D$5:$G$5)</f>
        <v>0</v>
      </c>
    </row>
    <row r="14" spans="1:12" x14ac:dyDescent="0.3">
      <c r="B14" s="131"/>
      <c r="C14" s="42" t="s">
        <v>12</v>
      </c>
      <c r="D14" s="43"/>
      <c r="E14" s="26"/>
      <c r="F14" s="26"/>
      <c r="G14" s="27"/>
      <c r="H14" s="28">
        <f t="shared" si="1"/>
        <v>0</v>
      </c>
    </row>
    <row r="15" spans="1:12" x14ac:dyDescent="0.3">
      <c r="B15" s="131"/>
      <c r="C15" s="44" t="s">
        <v>13</v>
      </c>
      <c r="D15" s="43" t="e">
        <f>D13/D14</f>
        <v>#DIV/0!</v>
      </c>
      <c r="E15" s="43" t="e">
        <f t="shared" ref="E15:H15" si="2">E13/E14</f>
        <v>#DIV/0!</v>
      </c>
      <c r="F15" s="43" t="e">
        <f t="shared" si="2"/>
        <v>#DIV/0!</v>
      </c>
      <c r="G15" s="43" t="e">
        <f t="shared" si="2"/>
        <v>#DIV/0!</v>
      </c>
      <c r="H15" s="28" t="e">
        <f t="shared" si="2"/>
        <v>#DIV/0!</v>
      </c>
    </row>
    <row r="16" spans="1:12" x14ac:dyDescent="0.3">
      <c r="B16" s="131"/>
      <c r="C16" s="44" t="s">
        <v>14</v>
      </c>
      <c r="D16" s="43"/>
      <c r="E16" s="26"/>
      <c r="F16" s="26"/>
      <c r="G16" s="27"/>
      <c r="H16" s="28">
        <f t="shared" si="1"/>
        <v>0</v>
      </c>
    </row>
    <row r="17" spans="2:8" x14ac:dyDescent="0.3">
      <c r="B17" s="131"/>
      <c r="C17" s="44" t="s">
        <v>15</v>
      </c>
      <c r="D17" s="43"/>
      <c r="E17" s="26"/>
      <c r="F17" s="26"/>
      <c r="G17" s="27"/>
      <c r="H17" s="28">
        <f t="shared" si="1"/>
        <v>0</v>
      </c>
    </row>
    <row r="18" spans="2:8" x14ac:dyDescent="0.3">
      <c r="B18" s="131"/>
      <c r="C18" s="44" t="s">
        <v>16</v>
      </c>
      <c r="D18" s="43"/>
      <c r="E18" s="26"/>
      <c r="F18" s="26"/>
      <c r="G18" s="27"/>
      <c r="H18" s="28">
        <f t="shared" si="1"/>
        <v>0</v>
      </c>
    </row>
    <row r="19" spans="2:8" ht="15" thickBot="1" x14ac:dyDescent="0.35">
      <c r="B19" s="132"/>
      <c r="C19" s="45" t="s">
        <v>17</v>
      </c>
      <c r="D19" s="46"/>
      <c r="E19" s="37"/>
      <c r="F19" s="37"/>
      <c r="G19" s="38"/>
      <c r="H19" s="39">
        <f t="shared" si="1"/>
        <v>0</v>
      </c>
    </row>
    <row r="20" spans="2:8" x14ac:dyDescent="0.3">
      <c r="B20" s="130" t="s">
        <v>19</v>
      </c>
      <c r="C20" s="40" t="s">
        <v>11</v>
      </c>
      <c r="D20" s="41"/>
      <c r="E20" s="41"/>
      <c r="F20" s="41"/>
      <c r="G20" s="41"/>
      <c r="H20" s="23">
        <f t="shared" si="1"/>
        <v>0</v>
      </c>
    </row>
    <row r="21" spans="2:8" x14ac:dyDescent="0.3">
      <c r="B21" s="131"/>
      <c r="C21" s="42" t="s">
        <v>12</v>
      </c>
      <c r="D21" s="43"/>
      <c r="E21" s="43"/>
      <c r="F21" s="43"/>
      <c r="G21" s="43"/>
      <c r="H21" s="28">
        <f t="shared" si="1"/>
        <v>0</v>
      </c>
    </row>
    <row r="22" spans="2:8" x14ac:dyDescent="0.3">
      <c r="B22" s="131"/>
      <c r="C22" s="44" t="s">
        <v>13</v>
      </c>
      <c r="D22" s="43">
        <f>'Car VoC_L'!K9</f>
        <v>0</v>
      </c>
      <c r="E22" s="26">
        <f>'Car VoC_L'!K14</f>
        <v>0</v>
      </c>
      <c r="F22" s="27">
        <f>'Car VoC_L'!K19</f>
        <v>0</v>
      </c>
      <c r="G22" s="27">
        <f>'Car VoC_L'!K24</f>
        <v>0</v>
      </c>
      <c r="H22" s="28" t="e">
        <f t="shared" ref="H22" si="3">H20/H21</f>
        <v>#DIV/0!</v>
      </c>
    </row>
    <row r="23" spans="2:8" x14ac:dyDescent="0.3">
      <c r="B23" s="131"/>
      <c r="C23" s="44" t="s">
        <v>14</v>
      </c>
      <c r="D23" s="43">
        <f>'Demand AM'!C682</f>
        <v>0</v>
      </c>
      <c r="E23" s="43">
        <f>'Demand OP'!C682</f>
        <v>0</v>
      </c>
      <c r="F23" s="43">
        <f>'Demand PM'!C682</f>
        <v>0</v>
      </c>
      <c r="G23" s="43">
        <f>'Demand Late&amp;Early'!C682</f>
        <v>0</v>
      </c>
      <c r="H23" s="28">
        <f t="shared" si="1"/>
        <v>0</v>
      </c>
    </row>
    <row r="24" spans="2:8" x14ac:dyDescent="0.3">
      <c r="B24" s="131"/>
      <c r="C24" s="44" t="s">
        <v>15</v>
      </c>
      <c r="D24" s="43">
        <f>'Demand AM'!D682</f>
        <v>0</v>
      </c>
      <c r="E24" s="43">
        <f>'Demand OP'!D682</f>
        <v>0</v>
      </c>
      <c r="F24" s="43">
        <f>'Demand PM'!D682</f>
        <v>0</v>
      </c>
      <c r="G24" s="43">
        <f>'Demand Late&amp;Early'!D682</f>
        <v>0</v>
      </c>
      <c r="H24" s="28">
        <f t="shared" si="1"/>
        <v>0</v>
      </c>
    </row>
    <row r="25" spans="2:8" x14ac:dyDescent="0.3">
      <c r="B25" s="131"/>
      <c r="C25" s="44" t="s">
        <v>16</v>
      </c>
      <c r="D25" s="43">
        <f xml:space="preserve"> SUM('Demand AM'!C682:D682,'Demand AM'!F682,'Demand AM'!G682)</f>
        <v>0</v>
      </c>
      <c r="E25" s="43">
        <f xml:space="preserve"> SUM('Demand OP'!C682:D682,'Demand OP'!F682,'Demand OP'!G682)</f>
        <v>0</v>
      </c>
      <c r="F25" s="43">
        <f xml:space="preserve"> SUM('Demand PM'!C682:D682,'Demand PM'!F682,'Demand PM'!G682)</f>
        <v>0</v>
      </c>
      <c r="G25" s="43">
        <f>SUM('Demand Late&amp;Early'!C682:D682,'Demand Late&amp;Early'!F682,'Demand Late&amp;Early'!G682)</f>
        <v>0</v>
      </c>
      <c r="H25" s="28">
        <f t="shared" si="1"/>
        <v>0</v>
      </c>
    </row>
    <row r="26" spans="2:8" ht="15" thickBot="1" x14ac:dyDescent="0.35">
      <c r="B26" s="132"/>
      <c r="C26" s="45" t="s">
        <v>17</v>
      </c>
      <c r="D26" s="46"/>
      <c r="E26" s="46"/>
      <c r="F26" s="46"/>
      <c r="G26" s="46"/>
      <c r="H26" s="39">
        <f t="shared" si="1"/>
        <v>0</v>
      </c>
    </row>
    <row r="27" spans="2:8" x14ac:dyDescent="0.3">
      <c r="B27" s="133" t="s">
        <v>20</v>
      </c>
      <c r="C27" s="40" t="s">
        <v>11</v>
      </c>
      <c r="D27" s="41"/>
      <c r="E27" s="21"/>
      <c r="F27" s="22"/>
      <c r="G27" s="22"/>
      <c r="H27" s="23">
        <f t="shared" si="1"/>
        <v>0</v>
      </c>
    </row>
    <row r="28" spans="2:8" x14ac:dyDescent="0.3">
      <c r="B28" s="128"/>
      <c r="C28" s="42" t="s">
        <v>12</v>
      </c>
      <c r="D28" s="43"/>
      <c r="E28" s="26"/>
      <c r="F28" s="27"/>
      <c r="G28" s="27"/>
      <c r="H28" s="28">
        <f t="shared" si="1"/>
        <v>0</v>
      </c>
    </row>
    <row r="29" spans="2:8" x14ac:dyDescent="0.3">
      <c r="B29" s="128"/>
      <c r="C29" s="44" t="s">
        <v>13</v>
      </c>
      <c r="D29" s="43" t="e">
        <f>D27/D28</f>
        <v>#DIV/0!</v>
      </c>
      <c r="E29" s="43" t="e">
        <f t="shared" ref="E29:H29" si="4">E27/E28</f>
        <v>#DIV/0!</v>
      </c>
      <c r="F29" s="43" t="e">
        <f t="shared" si="4"/>
        <v>#DIV/0!</v>
      </c>
      <c r="G29" s="43" t="e">
        <f t="shared" si="4"/>
        <v>#DIV/0!</v>
      </c>
      <c r="H29" s="28" t="e">
        <f t="shared" si="4"/>
        <v>#DIV/0!</v>
      </c>
    </row>
    <row r="30" spans="2:8" x14ac:dyDescent="0.3">
      <c r="B30" s="128"/>
      <c r="C30" s="44" t="s">
        <v>21</v>
      </c>
      <c r="D30" s="43"/>
      <c r="E30" s="26"/>
      <c r="F30" s="27"/>
      <c r="G30" s="27"/>
      <c r="H30" s="28">
        <f t="shared" si="1"/>
        <v>0</v>
      </c>
    </row>
    <row r="31" spans="2:8" x14ac:dyDescent="0.3">
      <c r="B31" s="128"/>
      <c r="C31" s="44" t="s">
        <v>22</v>
      </c>
      <c r="D31" s="43"/>
      <c r="E31" s="26"/>
      <c r="F31" s="27"/>
      <c r="G31" s="27"/>
      <c r="H31" s="28">
        <f t="shared" si="1"/>
        <v>0</v>
      </c>
    </row>
    <row r="32" spans="2:8" ht="14.25" customHeight="1" x14ac:dyDescent="0.3">
      <c r="B32" s="128"/>
      <c r="C32" s="115" t="s">
        <v>23</v>
      </c>
      <c r="D32" s="116"/>
      <c r="E32" s="117"/>
      <c r="F32" s="118"/>
      <c r="G32" s="118"/>
      <c r="H32" s="28">
        <f t="shared" si="1"/>
        <v>0</v>
      </c>
    </row>
    <row r="33" spans="2:8" ht="15" thickBot="1" x14ac:dyDescent="0.35">
      <c r="B33" s="129"/>
      <c r="C33" s="45" t="s">
        <v>17</v>
      </c>
      <c r="D33" s="46"/>
      <c r="E33" s="37"/>
      <c r="F33" s="38"/>
      <c r="G33" s="38"/>
      <c r="H33" s="39">
        <f>SUMPRODUCT(D33:G33,$D$5:$G$5)</f>
        <v>0</v>
      </c>
    </row>
    <row r="34" spans="2:8" x14ac:dyDescent="0.3">
      <c r="B34" s="133" t="s">
        <v>24</v>
      </c>
      <c r="C34" s="40" t="s">
        <v>11</v>
      </c>
      <c r="D34" s="41"/>
      <c r="E34" s="21"/>
      <c r="F34" s="22"/>
      <c r="G34" s="22"/>
      <c r="H34" s="23">
        <f t="shared" si="1"/>
        <v>0</v>
      </c>
    </row>
    <row r="35" spans="2:8" x14ac:dyDescent="0.3">
      <c r="B35" s="128"/>
      <c r="C35" s="42" t="s">
        <v>12</v>
      </c>
      <c r="D35" s="43"/>
      <c r="E35" s="26"/>
      <c r="F35" s="27"/>
      <c r="G35" s="27"/>
      <c r="H35" s="28">
        <f t="shared" si="1"/>
        <v>0</v>
      </c>
    </row>
    <row r="36" spans="2:8" x14ac:dyDescent="0.3">
      <c r="B36" s="128"/>
      <c r="C36" s="44" t="s">
        <v>13</v>
      </c>
      <c r="D36" s="43" t="e">
        <f t="shared" ref="D36:H36" si="5">D34/D35</f>
        <v>#DIV/0!</v>
      </c>
      <c r="E36" s="43" t="e">
        <f t="shared" si="5"/>
        <v>#DIV/0!</v>
      </c>
      <c r="F36" s="43" t="e">
        <f t="shared" si="5"/>
        <v>#DIV/0!</v>
      </c>
      <c r="G36" s="43" t="e">
        <f t="shared" si="5"/>
        <v>#DIV/0!</v>
      </c>
      <c r="H36" s="28" t="e">
        <f t="shared" si="5"/>
        <v>#DIV/0!</v>
      </c>
    </row>
    <row r="37" spans="2:8" x14ac:dyDescent="0.3">
      <c r="B37" s="128"/>
      <c r="C37" s="44" t="s">
        <v>21</v>
      </c>
      <c r="D37" s="43"/>
      <c r="E37" s="26"/>
      <c r="F37" s="27"/>
      <c r="G37" s="27"/>
      <c r="H37" s="28">
        <f t="shared" si="1"/>
        <v>0</v>
      </c>
    </row>
    <row r="38" spans="2:8" x14ac:dyDescent="0.3">
      <c r="B38" s="128"/>
      <c r="C38" s="44" t="s">
        <v>22</v>
      </c>
      <c r="D38" s="43"/>
      <c r="E38" s="26"/>
      <c r="F38" s="27"/>
      <c r="G38" s="27"/>
      <c r="H38" s="28">
        <f t="shared" si="1"/>
        <v>0</v>
      </c>
    </row>
    <row r="39" spans="2:8" x14ac:dyDescent="0.3">
      <c r="B39" s="128"/>
      <c r="C39" s="44" t="s">
        <v>23</v>
      </c>
      <c r="D39" s="43"/>
      <c r="E39" s="26"/>
      <c r="F39" s="27"/>
      <c r="G39" s="27"/>
      <c r="H39" s="28">
        <f t="shared" si="1"/>
        <v>0</v>
      </c>
    </row>
    <row r="40" spans="2:8" ht="15" thickBot="1" x14ac:dyDescent="0.35">
      <c r="B40" s="129"/>
      <c r="C40" s="45" t="s">
        <v>17</v>
      </c>
      <c r="D40" s="46"/>
      <c r="E40" s="37"/>
      <c r="F40" s="38"/>
      <c r="G40" s="38"/>
      <c r="H40" s="39">
        <f t="shared" si="1"/>
        <v>0</v>
      </c>
    </row>
    <row r="41" spans="2:8" x14ac:dyDescent="0.3">
      <c r="B41" s="127" t="s">
        <v>25</v>
      </c>
      <c r="C41" s="40" t="s">
        <v>11</v>
      </c>
      <c r="D41" s="41"/>
      <c r="E41" s="21"/>
      <c r="F41" s="22"/>
      <c r="G41" s="22"/>
      <c r="H41" s="23">
        <f t="shared" si="1"/>
        <v>0</v>
      </c>
    </row>
    <row r="42" spans="2:8" x14ac:dyDescent="0.3">
      <c r="B42" s="128"/>
      <c r="C42" s="42" t="s">
        <v>12</v>
      </c>
      <c r="D42" s="43"/>
      <c r="E42" s="26"/>
      <c r="F42" s="27"/>
      <c r="G42" s="27"/>
      <c r="H42" s="28">
        <f t="shared" si="1"/>
        <v>0</v>
      </c>
    </row>
    <row r="43" spans="2:8" x14ac:dyDescent="0.3">
      <c r="B43" s="128"/>
      <c r="C43" s="44" t="s">
        <v>13</v>
      </c>
      <c r="D43" s="43" t="e">
        <f>D41/D42</f>
        <v>#DIV/0!</v>
      </c>
      <c r="E43" s="43" t="e">
        <f t="shared" ref="E43:H43" si="6">E41/E42</f>
        <v>#DIV/0!</v>
      </c>
      <c r="F43" s="43" t="e">
        <f t="shared" si="6"/>
        <v>#DIV/0!</v>
      </c>
      <c r="G43" s="43" t="e">
        <f t="shared" si="6"/>
        <v>#DIV/0!</v>
      </c>
      <c r="H43" s="28" t="e">
        <f t="shared" si="6"/>
        <v>#DIV/0!</v>
      </c>
    </row>
    <row r="44" spans="2:8" x14ac:dyDescent="0.3">
      <c r="B44" s="128"/>
      <c r="C44" s="44" t="s">
        <v>21</v>
      </c>
      <c r="D44" s="43"/>
      <c r="E44" s="26"/>
      <c r="F44" s="27"/>
      <c r="G44" s="27"/>
      <c r="H44" s="28">
        <f t="shared" si="1"/>
        <v>0</v>
      </c>
    </row>
    <row r="45" spans="2:8" x14ac:dyDescent="0.3">
      <c r="B45" s="128"/>
      <c r="C45" s="44" t="s">
        <v>22</v>
      </c>
      <c r="D45" s="43"/>
      <c r="E45" s="26"/>
      <c r="F45" s="27"/>
      <c r="G45" s="27"/>
      <c r="H45" s="28">
        <f t="shared" si="1"/>
        <v>0</v>
      </c>
    </row>
    <row r="46" spans="2:8" x14ac:dyDescent="0.3">
      <c r="B46" s="128"/>
      <c r="C46" s="44" t="s">
        <v>23</v>
      </c>
      <c r="D46" s="43"/>
      <c r="E46" s="26"/>
      <c r="F46" s="27"/>
      <c r="G46" s="27"/>
      <c r="H46" s="28">
        <f t="shared" si="1"/>
        <v>0</v>
      </c>
    </row>
    <row r="47" spans="2:8" ht="15" thickBot="1" x14ac:dyDescent="0.35">
      <c r="B47" s="129"/>
      <c r="C47" s="45" t="s">
        <v>17</v>
      </c>
      <c r="D47" s="46"/>
      <c r="E47" s="37"/>
      <c r="F47" s="38"/>
      <c r="G47" s="38"/>
      <c r="H47" s="39">
        <f t="shared" si="1"/>
        <v>0</v>
      </c>
    </row>
    <row r="48" spans="2:8" x14ac:dyDescent="0.3">
      <c r="B48" s="133" t="s">
        <v>26</v>
      </c>
      <c r="C48" s="40" t="s">
        <v>11</v>
      </c>
      <c r="D48" s="41"/>
      <c r="E48" s="21"/>
      <c r="F48" s="22"/>
      <c r="G48" s="22"/>
      <c r="H48" s="23">
        <f t="shared" si="1"/>
        <v>0</v>
      </c>
    </row>
    <row r="49" spans="2:8" x14ac:dyDescent="0.3">
      <c r="B49" s="128"/>
      <c r="C49" s="42" t="s">
        <v>12</v>
      </c>
      <c r="D49" s="43"/>
      <c r="E49" s="26"/>
      <c r="F49" s="27"/>
      <c r="G49" s="27"/>
      <c r="H49" s="28">
        <f t="shared" si="1"/>
        <v>0</v>
      </c>
    </row>
    <row r="50" spans="2:8" x14ac:dyDescent="0.3">
      <c r="B50" s="128"/>
      <c r="C50" s="44" t="s">
        <v>13</v>
      </c>
      <c r="D50" s="43" t="e">
        <f>D48/D49</f>
        <v>#DIV/0!</v>
      </c>
      <c r="E50" s="43" t="e">
        <f t="shared" ref="E50:H50" si="7">E48/E49</f>
        <v>#DIV/0!</v>
      </c>
      <c r="F50" s="43" t="e">
        <f t="shared" si="7"/>
        <v>#DIV/0!</v>
      </c>
      <c r="G50" s="43" t="e">
        <f t="shared" si="7"/>
        <v>#DIV/0!</v>
      </c>
      <c r="H50" s="28" t="e">
        <f t="shared" si="7"/>
        <v>#DIV/0!</v>
      </c>
    </row>
    <row r="51" spans="2:8" x14ac:dyDescent="0.3">
      <c r="B51" s="128"/>
      <c r="C51" s="44" t="s">
        <v>21</v>
      </c>
      <c r="D51" s="43"/>
      <c r="E51" s="26"/>
      <c r="F51" s="27"/>
      <c r="G51" s="27"/>
      <c r="H51" s="28">
        <f t="shared" si="1"/>
        <v>0</v>
      </c>
    </row>
    <row r="52" spans="2:8" x14ac:dyDescent="0.3">
      <c r="B52" s="128"/>
      <c r="C52" s="44" t="s">
        <v>22</v>
      </c>
      <c r="D52" s="43"/>
      <c r="E52" s="26"/>
      <c r="F52" s="27"/>
      <c r="G52" s="27"/>
      <c r="H52" s="28">
        <f t="shared" si="1"/>
        <v>0</v>
      </c>
    </row>
    <row r="53" spans="2:8" x14ac:dyDescent="0.3">
      <c r="B53" s="128"/>
      <c r="C53" s="44" t="s">
        <v>23</v>
      </c>
      <c r="D53" s="43"/>
      <c r="E53" s="26"/>
      <c r="F53" s="27"/>
      <c r="G53" s="27"/>
      <c r="H53" s="28">
        <f t="shared" si="1"/>
        <v>0</v>
      </c>
    </row>
    <row r="54" spans="2:8" ht="15" thickBot="1" x14ac:dyDescent="0.35">
      <c r="B54" s="129"/>
      <c r="C54" s="45" t="s">
        <v>17</v>
      </c>
      <c r="D54" s="46"/>
      <c r="E54" s="37"/>
      <c r="F54" s="38"/>
      <c r="G54" s="38"/>
      <c r="H54" s="39">
        <f>SUMPRODUCT(D54:G54,$D$5:$G$5)</f>
        <v>0</v>
      </c>
    </row>
    <row r="55" spans="2:8" x14ac:dyDescent="0.3">
      <c r="B55" s="133" t="s">
        <v>27</v>
      </c>
      <c r="C55" s="40" t="s">
        <v>11</v>
      </c>
      <c r="D55" s="41"/>
      <c r="E55" s="21"/>
      <c r="F55" s="22"/>
      <c r="G55" s="22"/>
      <c r="H55" s="23">
        <f t="shared" si="1"/>
        <v>0</v>
      </c>
    </row>
    <row r="56" spans="2:8" x14ac:dyDescent="0.3">
      <c r="B56" s="128"/>
      <c r="C56" s="42" t="s">
        <v>12</v>
      </c>
      <c r="D56" s="43"/>
      <c r="E56" s="26"/>
      <c r="F56" s="27"/>
      <c r="G56" s="27"/>
      <c r="H56" s="28">
        <f t="shared" si="1"/>
        <v>0</v>
      </c>
    </row>
    <row r="57" spans="2:8" x14ac:dyDescent="0.3">
      <c r="B57" s="128"/>
      <c r="C57" s="44" t="s">
        <v>13</v>
      </c>
      <c r="D57" s="43" t="e">
        <f>D55/D56</f>
        <v>#DIV/0!</v>
      </c>
      <c r="E57" s="43" t="e">
        <f t="shared" ref="E57:H57" si="8">E55/E56</f>
        <v>#DIV/0!</v>
      </c>
      <c r="F57" s="43" t="e">
        <f t="shared" si="8"/>
        <v>#DIV/0!</v>
      </c>
      <c r="G57" s="43" t="e">
        <f t="shared" si="8"/>
        <v>#DIV/0!</v>
      </c>
      <c r="H57" s="28" t="e">
        <f t="shared" si="8"/>
        <v>#DIV/0!</v>
      </c>
    </row>
    <row r="58" spans="2:8" x14ac:dyDescent="0.3">
      <c r="B58" s="128"/>
      <c r="C58" s="44" t="s">
        <v>21</v>
      </c>
      <c r="D58" s="43"/>
      <c r="E58" s="26"/>
      <c r="F58" s="27"/>
      <c r="G58" s="27"/>
      <c r="H58" s="28">
        <f t="shared" si="1"/>
        <v>0</v>
      </c>
    </row>
    <row r="59" spans="2:8" x14ac:dyDescent="0.3">
      <c r="B59" s="128"/>
      <c r="C59" s="44" t="s">
        <v>22</v>
      </c>
      <c r="D59" s="43"/>
      <c r="E59" s="26"/>
      <c r="F59" s="27"/>
      <c r="G59" s="27"/>
      <c r="H59" s="28">
        <f t="shared" si="1"/>
        <v>0</v>
      </c>
    </row>
    <row r="60" spans="2:8" x14ac:dyDescent="0.3">
      <c r="B60" s="128"/>
      <c r="C60" s="44" t="s">
        <v>23</v>
      </c>
      <c r="D60" s="43"/>
      <c r="E60" s="26"/>
      <c r="F60" s="27"/>
      <c r="G60" s="27"/>
      <c r="H60" s="28">
        <f t="shared" si="1"/>
        <v>0</v>
      </c>
    </row>
    <row r="61" spans="2:8" ht="15" thickBot="1" x14ac:dyDescent="0.35">
      <c r="B61" s="129"/>
      <c r="C61" s="45" t="s">
        <v>17</v>
      </c>
      <c r="D61" s="46"/>
      <c r="E61" s="37"/>
      <c r="F61" s="38"/>
      <c r="G61" s="38"/>
      <c r="H61" s="39">
        <f t="shared" si="1"/>
        <v>0</v>
      </c>
    </row>
    <row r="62" spans="2:8" x14ac:dyDescent="0.3">
      <c r="B62" s="127" t="s">
        <v>28</v>
      </c>
      <c r="C62" s="47" t="s">
        <v>11</v>
      </c>
      <c r="D62" s="41"/>
      <c r="E62" s="41"/>
      <c r="F62" s="41"/>
      <c r="G62" s="41"/>
      <c r="H62" s="23">
        <f t="shared" si="1"/>
        <v>0</v>
      </c>
    </row>
    <row r="63" spans="2:8" x14ac:dyDescent="0.3">
      <c r="B63" s="128"/>
      <c r="C63" s="44" t="s">
        <v>12</v>
      </c>
      <c r="D63" s="43"/>
      <c r="E63" s="43"/>
      <c r="F63" s="43"/>
      <c r="G63" s="48"/>
      <c r="H63" s="28">
        <f t="shared" si="1"/>
        <v>0</v>
      </c>
    </row>
    <row r="64" spans="2:8" x14ac:dyDescent="0.3">
      <c r="B64" s="128"/>
      <c r="C64" s="44" t="s">
        <v>13</v>
      </c>
      <c r="D64" s="43" t="e">
        <f>D62/D63</f>
        <v>#DIV/0!</v>
      </c>
      <c r="E64" s="43" t="e">
        <f t="shared" ref="E64:G64" si="9">E62/E63</f>
        <v>#DIV/0!</v>
      </c>
      <c r="F64" s="43" t="e">
        <f t="shared" si="9"/>
        <v>#DIV/0!</v>
      </c>
      <c r="G64" s="43" t="e">
        <f t="shared" si="9"/>
        <v>#DIV/0!</v>
      </c>
      <c r="H64" s="28" t="e">
        <f>H62/H63</f>
        <v>#DIV/0!</v>
      </c>
    </row>
    <row r="65" spans="2:8" x14ac:dyDescent="0.3">
      <c r="B65" s="128"/>
      <c r="C65" s="44" t="s">
        <v>21</v>
      </c>
      <c r="D65" s="43"/>
      <c r="E65" s="43"/>
      <c r="F65" s="43"/>
      <c r="G65" s="43"/>
      <c r="H65" s="28">
        <f t="shared" si="1"/>
        <v>0</v>
      </c>
    </row>
    <row r="66" spans="2:8" x14ac:dyDescent="0.3">
      <c r="B66" s="128"/>
      <c r="C66" s="44" t="s">
        <v>22</v>
      </c>
      <c r="D66" s="43"/>
      <c r="E66" s="43"/>
      <c r="F66" s="43"/>
      <c r="G66" s="48"/>
      <c r="H66" s="28">
        <f t="shared" si="1"/>
        <v>0</v>
      </c>
    </row>
    <row r="67" spans="2:8" x14ac:dyDescent="0.3">
      <c r="B67" s="128"/>
      <c r="C67" s="44" t="s">
        <v>23</v>
      </c>
      <c r="D67" s="43"/>
      <c r="E67" s="43"/>
      <c r="F67" s="43"/>
      <c r="G67" s="43"/>
      <c r="H67" s="28">
        <f>SUMPRODUCT(D67:G67,$D$5:$G$5)</f>
        <v>0</v>
      </c>
    </row>
    <row r="68" spans="2:8" ht="15" thickBot="1" x14ac:dyDescent="0.35">
      <c r="B68" s="129"/>
      <c r="C68" s="45" t="s">
        <v>17</v>
      </c>
      <c r="D68" s="114"/>
      <c r="E68" s="49"/>
      <c r="F68" s="49"/>
      <c r="G68" s="50"/>
      <c r="H68" s="39">
        <f t="shared" si="1"/>
        <v>0</v>
      </c>
    </row>
  </sheetData>
  <mergeCells count="13">
    <mergeCell ref="B13:B19"/>
    <mergeCell ref="B2:H2"/>
    <mergeCell ref="B4:B5"/>
    <mergeCell ref="C4:C5"/>
    <mergeCell ref="H4:H5"/>
    <mergeCell ref="B6:B12"/>
    <mergeCell ref="B62:B68"/>
    <mergeCell ref="B20:B26"/>
    <mergeCell ref="B27:B33"/>
    <mergeCell ref="B34:B40"/>
    <mergeCell ref="B41:B47"/>
    <mergeCell ref="B48:B54"/>
    <mergeCell ref="B55:B61"/>
  </mergeCells>
  <hyperlinks>
    <hyperlink ref="A1" location="'Table Of Contents'!A1" display="Return to ToC" xr:uid="{00000000-0004-0000-0100-000000000000}"/>
  </hyperlink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/>
  <dimension ref="A1:H25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RowHeight="14.4" x14ac:dyDescent="0.3"/>
  <cols>
    <col min="1" max="1" width="6.88671875" bestFit="1" customWidth="1"/>
    <col min="2" max="2" width="34.44140625" bestFit="1" customWidth="1"/>
    <col min="3" max="3" width="21.77734375" bestFit="1" customWidth="1"/>
    <col min="4" max="4" width="8.88671875" bestFit="1" customWidth="1"/>
    <col min="5" max="7" width="11.5546875" bestFit="1" customWidth="1"/>
    <col min="8" max="8" width="15.21875" bestFit="1" customWidth="1"/>
    <col min="9" max="9" width="8" bestFit="1" customWidth="1"/>
  </cols>
  <sheetData>
    <row r="1" spans="1:8" ht="27" thickBot="1" x14ac:dyDescent="0.35">
      <c r="A1" s="8" t="s">
        <v>2</v>
      </c>
      <c r="B1" s="51"/>
    </row>
    <row r="2" spans="1:8" x14ac:dyDescent="0.3">
      <c r="B2" s="52" t="s">
        <v>3</v>
      </c>
      <c r="C2" s="52" t="s">
        <v>84</v>
      </c>
      <c r="D2" s="52" t="s">
        <v>85</v>
      </c>
      <c r="E2" s="52" t="s">
        <v>86</v>
      </c>
      <c r="F2" s="52" t="s">
        <v>102</v>
      </c>
      <c r="G2" s="52" t="s">
        <v>103</v>
      </c>
      <c r="H2" s="52" t="s">
        <v>104</v>
      </c>
    </row>
    <row r="3" spans="1:8" x14ac:dyDescent="0.3">
      <c r="B3" s="51" t="s">
        <v>87</v>
      </c>
    </row>
    <row r="4" spans="1:8" x14ac:dyDescent="0.3">
      <c r="B4" s="51"/>
      <c r="C4" t="s">
        <v>33</v>
      </c>
    </row>
    <row r="5" spans="1:8" x14ac:dyDescent="0.3">
      <c r="B5" s="51"/>
      <c r="C5" t="s">
        <v>120</v>
      </c>
    </row>
    <row r="6" spans="1:8" x14ac:dyDescent="0.3">
      <c r="B6" s="51"/>
      <c r="C6" t="s">
        <v>121</v>
      </c>
    </row>
    <row r="7" spans="1:8" x14ac:dyDescent="0.3">
      <c r="B7" s="51"/>
      <c r="C7" t="s">
        <v>122</v>
      </c>
    </row>
    <row r="8" spans="1:8" x14ac:dyDescent="0.3">
      <c r="B8" s="51"/>
      <c r="C8" t="s">
        <v>110</v>
      </c>
    </row>
    <row r="9" spans="1:8" x14ac:dyDescent="0.3">
      <c r="B9" s="51"/>
      <c r="C9" t="s">
        <v>111</v>
      </c>
    </row>
    <row r="10" spans="1:8" x14ac:dyDescent="0.3">
      <c r="B10" s="51"/>
      <c r="C10" t="s">
        <v>123</v>
      </c>
    </row>
    <row r="11" spans="1:8" x14ac:dyDescent="0.3">
      <c r="B11" s="51"/>
      <c r="C11" t="s">
        <v>124</v>
      </c>
    </row>
    <row r="12" spans="1:8" x14ac:dyDescent="0.3">
      <c r="B12" s="51"/>
      <c r="C12" t="s">
        <v>125</v>
      </c>
    </row>
    <row r="13" spans="1:8" x14ac:dyDescent="0.3">
      <c r="B13" s="51"/>
      <c r="C13" t="s">
        <v>126</v>
      </c>
    </row>
    <row r="14" spans="1:8" x14ac:dyDescent="0.3">
      <c r="B14" s="51"/>
      <c r="C14" t="s">
        <v>127</v>
      </c>
    </row>
    <row r="15" spans="1:8" x14ac:dyDescent="0.3">
      <c r="B15" s="51"/>
      <c r="C15" t="s">
        <v>128</v>
      </c>
    </row>
    <row r="16" spans="1:8" x14ac:dyDescent="0.3">
      <c r="B16" s="51" t="s">
        <v>88</v>
      </c>
    </row>
    <row r="17" spans="2:3" x14ac:dyDescent="0.3">
      <c r="B17" s="51" t="s">
        <v>89</v>
      </c>
    </row>
    <row r="18" spans="2:3" x14ac:dyDescent="0.3">
      <c r="B18" s="51"/>
      <c r="C18" t="s">
        <v>33</v>
      </c>
    </row>
    <row r="19" spans="2:3" x14ac:dyDescent="0.3">
      <c r="B19" s="51"/>
      <c r="C19" t="s">
        <v>120</v>
      </c>
    </row>
    <row r="20" spans="2:3" x14ac:dyDescent="0.3">
      <c r="B20" s="51"/>
      <c r="C20" t="s">
        <v>121</v>
      </c>
    </row>
    <row r="21" spans="2:3" x14ac:dyDescent="0.3">
      <c r="B21" s="51"/>
      <c r="C21" t="s">
        <v>122</v>
      </c>
    </row>
    <row r="22" spans="2:3" x14ac:dyDescent="0.3">
      <c r="B22" s="51"/>
      <c r="C22" t="s">
        <v>110</v>
      </c>
    </row>
    <row r="23" spans="2:3" x14ac:dyDescent="0.3">
      <c r="B23" s="51"/>
      <c r="C23" t="s">
        <v>111</v>
      </c>
    </row>
    <row r="24" spans="2:3" x14ac:dyDescent="0.3">
      <c r="B24" s="51"/>
      <c r="C24" t="s">
        <v>123</v>
      </c>
    </row>
    <row r="25" spans="2:3" x14ac:dyDescent="0.3">
      <c r="B25" s="51"/>
      <c r="C25" t="s">
        <v>124</v>
      </c>
    </row>
    <row r="26" spans="2:3" x14ac:dyDescent="0.3">
      <c r="B26" s="51"/>
      <c r="C26" t="s">
        <v>125</v>
      </c>
    </row>
    <row r="27" spans="2:3" x14ac:dyDescent="0.3">
      <c r="B27" s="51"/>
      <c r="C27" t="s">
        <v>126</v>
      </c>
    </row>
    <row r="28" spans="2:3" x14ac:dyDescent="0.3">
      <c r="B28" s="51"/>
      <c r="C28" t="s">
        <v>127</v>
      </c>
    </row>
    <row r="29" spans="2:3" x14ac:dyDescent="0.3">
      <c r="B29" s="51"/>
      <c r="C29" t="s">
        <v>128</v>
      </c>
    </row>
    <row r="30" spans="2:3" x14ac:dyDescent="0.3">
      <c r="B30" s="51" t="s">
        <v>88</v>
      </c>
    </row>
    <row r="31" spans="2:3" x14ac:dyDescent="0.3">
      <c r="B31" s="51" t="s">
        <v>90</v>
      </c>
    </row>
    <row r="32" spans="2:3" x14ac:dyDescent="0.3">
      <c r="B32" s="51"/>
      <c r="C32" t="s">
        <v>33</v>
      </c>
    </row>
    <row r="33" spans="2:3" x14ac:dyDescent="0.3">
      <c r="B33" s="51"/>
      <c r="C33" t="s">
        <v>120</v>
      </c>
    </row>
    <row r="34" spans="2:3" x14ac:dyDescent="0.3">
      <c r="B34" s="51"/>
      <c r="C34" t="s">
        <v>121</v>
      </c>
    </row>
    <row r="35" spans="2:3" x14ac:dyDescent="0.3">
      <c r="B35" s="51"/>
      <c r="C35" t="s">
        <v>122</v>
      </c>
    </row>
    <row r="36" spans="2:3" x14ac:dyDescent="0.3">
      <c r="B36" s="51"/>
      <c r="C36" t="s">
        <v>110</v>
      </c>
    </row>
    <row r="37" spans="2:3" x14ac:dyDescent="0.3">
      <c r="B37" s="51"/>
      <c r="C37" t="s">
        <v>111</v>
      </c>
    </row>
    <row r="38" spans="2:3" x14ac:dyDescent="0.3">
      <c r="B38" s="51"/>
      <c r="C38" t="s">
        <v>123</v>
      </c>
    </row>
    <row r="39" spans="2:3" x14ac:dyDescent="0.3">
      <c r="B39" s="51"/>
      <c r="C39" t="s">
        <v>124</v>
      </c>
    </row>
    <row r="40" spans="2:3" x14ac:dyDescent="0.3">
      <c r="B40" s="51"/>
      <c r="C40" t="s">
        <v>125</v>
      </c>
    </row>
    <row r="41" spans="2:3" x14ac:dyDescent="0.3">
      <c r="B41" s="51"/>
      <c r="C41" t="s">
        <v>126</v>
      </c>
    </row>
    <row r="42" spans="2:3" x14ac:dyDescent="0.3">
      <c r="B42" s="51"/>
      <c r="C42" t="s">
        <v>127</v>
      </c>
    </row>
    <row r="43" spans="2:3" x14ac:dyDescent="0.3">
      <c r="B43" s="51"/>
      <c r="C43" t="s">
        <v>128</v>
      </c>
    </row>
    <row r="44" spans="2:3" x14ac:dyDescent="0.3">
      <c r="B44" s="51" t="s">
        <v>88</v>
      </c>
    </row>
    <row r="45" spans="2:3" x14ac:dyDescent="0.3">
      <c r="B45" s="51" t="s">
        <v>91</v>
      </c>
    </row>
    <row r="46" spans="2:3" x14ac:dyDescent="0.3">
      <c r="B46" s="51"/>
      <c r="C46" t="s">
        <v>33</v>
      </c>
    </row>
    <row r="47" spans="2:3" x14ac:dyDescent="0.3">
      <c r="B47" s="51"/>
      <c r="C47" t="s">
        <v>120</v>
      </c>
    </row>
    <row r="48" spans="2:3" x14ac:dyDescent="0.3">
      <c r="B48" s="51"/>
      <c r="C48" t="s">
        <v>121</v>
      </c>
    </row>
    <row r="49" spans="2:3" x14ac:dyDescent="0.3">
      <c r="B49" s="51"/>
      <c r="C49" t="s">
        <v>122</v>
      </c>
    </row>
    <row r="50" spans="2:3" x14ac:dyDescent="0.3">
      <c r="B50" s="51"/>
      <c r="C50" t="s">
        <v>110</v>
      </c>
    </row>
    <row r="51" spans="2:3" x14ac:dyDescent="0.3">
      <c r="B51" s="51"/>
      <c r="C51" t="s">
        <v>111</v>
      </c>
    </row>
    <row r="52" spans="2:3" x14ac:dyDescent="0.3">
      <c r="B52" s="51"/>
      <c r="C52" t="s">
        <v>123</v>
      </c>
    </row>
    <row r="53" spans="2:3" x14ac:dyDescent="0.3">
      <c r="B53" s="51"/>
      <c r="C53" t="s">
        <v>124</v>
      </c>
    </row>
    <row r="54" spans="2:3" x14ac:dyDescent="0.3">
      <c r="B54" s="51"/>
      <c r="C54" t="s">
        <v>125</v>
      </c>
    </row>
    <row r="55" spans="2:3" x14ac:dyDescent="0.3">
      <c r="B55" s="51"/>
      <c r="C55" t="s">
        <v>126</v>
      </c>
    </row>
    <row r="56" spans="2:3" x14ac:dyDescent="0.3">
      <c r="B56" s="51"/>
      <c r="C56" t="s">
        <v>127</v>
      </c>
    </row>
    <row r="57" spans="2:3" x14ac:dyDescent="0.3">
      <c r="B57" s="51"/>
      <c r="C57" t="s">
        <v>128</v>
      </c>
    </row>
    <row r="58" spans="2:3" x14ac:dyDescent="0.3">
      <c r="B58" s="51" t="s">
        <v>88</v>
      </c>
    </row>
    <row r="59" spans="2:3" x14ac:dyDescent="0.3">
      <c r="B59" s="51" t="s">
        <v>92</v>
      </c>
    </row>
    <row r="60" spans="2:3" x14ac:dyDescent="0.3">
      <c r="B60" s="51"/>
      <c r="C60" t="s">
        <v>33</v>
      </c>
    </row>
    <row r="61" spans="2:3" x14ac:dyDescent="0.3">
      <c r="B61" s="51"/>
      <c r="C61" t="s">
        <v>120</v>
      </c>
    </row>
    <row r="62" spans="2:3" x14ac:dyDescent="0.3">
      <c r="B62" s="51"/>
      <c r="C62" t="s">
        <v>121</v>
      </c>
    </row>
    <row r="63" spans="2:3" x14ac:dyDescent="0.3">
      <c r="B63" s="51"/>
      <c r="C63" t="s">
        <v>122</v>
      </c>
    </row>
    <row r="64" spans="2:3" x14ac:dyDescent="0.3">
      <c r="B64" s="51"/>
      <c r="C64" t="s">
        <v>110</v>
      </c>
    </row>
    <row r="65" spans="2:3" x14ac:dyDescent="0.3">
      <c r="B65" s="51"/>
      <c r="C65" t="s">
        <v>111</v>
      </c>
    </row>
    <row r="66" spans="2:3" x14ac:dyDescent="0.3">
      <c r="B66" s="51"/>
      <c r="C66" t="s">
        <v>123</v>
      </c>
    </row>
    <row r="67" spans="2:3" x14ac:dyDescent="0.3">
      <c r="B67" s="51"/>
      <c r="C67" t="s">
        <v>124</v>
      </c>
    </row>
    <row r="68" spans="2:3" x14ac:dyDescent="0.3">
      <c r="B68" s="51"/>
      <c r="C68" t="s">
        <v>125</v>
      </c>
    </row>
    <row r="69" spans="2:3" x14ac:dyDescent="0.3">
      <c r="B69" s="51"/>
      <c r="C69" t="s">
        <v>126</v>
      </c>
    </row>
    <row r="70" spans="2:3" x14ac:dyDescent="0.3">
      <c r="B70" s="51"/>
      <c r="C70" t="s">
        <v>127</v>
      </c>
    </row>
    <row r="71" spans="2:3" x14ac:dyDescent="0.3">
      <c r="B71" s="51"/>
      <c r="C71" t="s">
        <v>128</v>
      </c>
    </row>
    <row r="72" spans="2:3" x14ac:dyDescent="0.3">
      <c r="B72" s="51" t="s">
        <v>88</v>
      </c>
    </row>
    <row r="73" spans="2:3" x14ac:dyDescent="0.3">
      <c r="B73" s="51" t="s">
        <v>93</v>
      </c>
    </row>
    <row r="74" spans="2:3" x14ac:dyDescent="0.3">
      <c r="B74" s="51"/>
      <c r="C74" t="s">
        <v>33</v>
      </c>
    </row>
    <row r="75" spans="2:3" x14ac:dyDescent="0.3">
      <c r="B75" s="51"/>
      <c r="C75" t="s">
        <v>120</v>
      </c>
    </row>
    <row r="76" spans="2:3" x14ac:dyDescent="0.3">
      <c r="B76" s="51"/>
      <c r="C76" t="s">
        <v>121</v>
      </c>
    </row>
    <row r="77" spans="2:3" x14ac:dyDescent="0.3">
      <c r="B77" s="51"/>
      <c r="C77" t="s">
        <v>122</v>
      </c>
    </row>
    <row r="78" spans="2:3" x14ac:dyDescent="0.3">
      <c r="B78" s="51"/>
      <c r="C78" t="s">
        <v>110</v>
      </c>
    </row>
    <row r="79" spans="2:3" x14ac:dyDescent="0.3">
      <c r="B79" s="51"/>
      <c r="C79" t="s">
        <v>111</v>
      </c>
    </row>
    <row r="80" spans="2:3" x14ac:dyDescent="0.3">
      <c r="B80" s="51"/>
      <c r="C80" t="s">
        <v>123</v>
      </c>
    </row>
    <row r="81" spans="2:3" x14ac:dyDescent="0.3">
      <c r="B81" s="51"/>
      <c r="C81" t="s">
        <v>124</v>
      </c>
    </row>
    <row r="82" spans="2:3" x14ac:dyDescent="0.3">
      <c r="B82" s="51"/>
      <c r="C82" t="s">
        <v>125</v>
      </c>
    </row>
    <row r="83" spans="2:3" x14ac:dyDescent="0.3">
      <c r="B83" s="51"/>
      <c r="C83" t="s">
        <v>126</v>
      </c>
    </row>
    <row r="84" spans="2:3" x14ac:dyDescent="0.3">
      <c r="B84" s="51"/>
      <c r="C84" t="s">
        <v>127</v>
      </c>
    </row>
    <row r="85" spans="2:3" x14ac:dyDescent="0.3">
      <c r="B85" s="51"/>
      <c r="C85" t="s">
        <v>128</v>
      </c>
    </row>
    <row r="86" spans="2:3" x14ac:dyDescent="0.3">
      <c r="B86" s="51" t="s">
        <v>88</v>
      </c>
    </row>
    <row r="87" spans="2:3" x14ac:dyDescent="0.3">
      <c r="B87" s="51" t="s">
        <v>94</v>
      </c>
    </row>
    <row r="88" spans="2:3" x14ac:dyDescent="0.3">
      <c r="B88" s="51"/>
      <c r="C88" t="s">
        <v>33</v>
      </c>
    </row>
    <row r="89" spans="2:3" x14ac:dyDescent="0.3">
      <c r="B89" s="51"/>
      <c r="C89" t="s">
        <v>120</v>
      </c>
    </row>
    <row r="90" spans="2:3" x14ac:dyDescent="0.3">
      <c r="B90" s="51"/>
      <c r="C90" t="s">
        <v>121</v>
      </c>
    </row>
    <row r="91" spans="2:3" x14ac:dyDescent="0.3">
      <c r="B91" s="51"/>
      <c r="C91" t="s">
        <v>122</v>
      </c>
    </row>
    <row r="92" spans="2:3" x14ac:dyDescent="0.3">
      <c r="B92" s="51"/>
      <c r="C92" t="s">
        <v>110</v>
      </c>
    </row>
    <row r="93" spans="2:3" x14ac:dyDescent="0.3">
      <c r="B93" s="51"/>
      <c r="C93" t="s">
        <v>111</v>
      </c>
    </row>
    <row r="94" spans="2:3" x14ac:dyDescent="0.3">
      <c r="B94" s="51"/>
      <c r="C94" t="s">
        <v>123</v>
      </c>
    </row>
    <row r="95" spans="2:3" x14ac:dyDescent="0.3">
      <c r="B95" s="51"/>
      <c r="C95" t="s">
        <v>124</v>
      </c>
    </row>
    <row r="96" spans="2:3" x14ac:dyDescent="0.3">
      <c r="B96" s="51"/>
      <c r="C96" t="s">
        <v>125</v>
      </c>
    </row>
    <row r="97" spans="2:3" x14ac:dyDescent="0.3">
      <c r="B97" s="51"/>
      <c r="C97" t="s">
        <v>126</v>
      </c>
    </row>
    <row r="98" spans="2:3" x14ac:dyDescent="0.3">
      <c r="B98" s="51"/>
      <c r="C98" t="s">
        <v>127</v>
      </c>
    </row>
    <row r="99" spans="2:3" x14ac:dyDescent="0.3">
      <c r="B99" s="51"/>
      <c r="C99" t="s">
        <v>128</v>
      </c>
    </row>
    <row r="100" spans="2:3" x14ac:dyDescent="0.3">
      <c r="B100" s="51" t="s">
        <v>88</v>
      </c>
    </row>
    <row r="101" spans="2:3" x14ac:dyDescent="0.3">
      <c r="B101" s="51" t="s">
        <v>95</v>
      </c>
    </row>
    <row r="102" spans="2:3" x14ac:dyDescent="0.3">
      <c r="B102" s="51"/>
      <c r="C102" t="s">
        <v>33</v>
      </c>
    </row>
    <row r="103" spans="2:3" x14ac:dyDescent="0.3">
      <c r="B103" s="51"/>
      <c r="C103" t="s">
        <v>120</v>
      </c>
    </row>
    <row r="104" spans="2:3" x14ac:dyDescent="0.3">
      <c r="B104" s="51"/>
      <c r="C104" t="s">
        <v>121</v>
      </c>
    </row>
    <row r="105" spans="2:3" x14ac:dyDescent="0.3">
      <c r="B105" s="51"/>
      <c r="C105" t="s">
        <v>122</v>
      </c>
    </row>
    <row r="106" spans="2:3" x14ac:dyDescent="0.3">
      <c r="B106" s="51"/>
      <c r="C106" t="s">
        <v>110</v>
      </c>
    </row>
    <row r="107" spans="2:3" x14ac:dyDescent="0.3">
      <c r="B107" s="51"/>
      <c r="C107" t="s">
        <v>111</v>
      </c>
    </row>
    <row r="108" spans="2:3" x14ac:dyDescent="0.3">
      <c r="B108" s="51"/>
      <c r="C108" t="s">
        <v>123</v>
      </c>
    </row>
    <row r="109" spans="2:3" x14ac:dyDescent="0.3">
      <c r="B109" s="51"/>
      <c r="C109" t="s">
        <v>124</v>
      </c>
    </row>
    <row r="110" spans="2:3" x14ac:dyDescent="0.3">
      <c r="B110" s="51"/>
      <c r="C110" t="s">
        <v>125</v>
      </c>
    </row>
    <row r="111" spans="2:3" x14ac:dyDescent="0.3">
      <c r="B111" s="51"/>
      <c r="C111" t="s">
        <v>126</v>
      </c>
    </row>
    <row r="112" spans="2:3" x14ac:dyDescent="0.3">
      <c r="B112" s="51"/>
      <c r="C112" t="s">
        <v>127</v>
      </c>
    </row>
    <row r="113" spans="2:3" x14ac:dyDescent="0.3">
      <c r="B113" s="51"/>
      <c r="C113" t="s">
        <v>128</v>
      </c>
    </row>
    <row r="114" spans="2:3" x14ac:dyDescent="0.3">
      <c r="B114" s="51" t="s">
        <v>88</v>
      </c>
    </row>
    <row r="115" spans="2:3" x14ac:dyDescent="0.3">
      <c r="B115" s="51" t="s">
        <v>96</v>
      </c>
    </row>
    <row r="116" spans="2:3" x14ac:dyDescent="0.3">
      <c r="B116" s="51"/>
      <c r="C116" t="s">
        <v>106</v>
      </c>
    </row>
    <row r="117" spans="2:3" x14ac:dyDescent="0.3">
      <c r="B117" s="51"/>
      <c r="C117" t="s">
        <v>16</v>
      </c>
    </row>
    <row r="118" spans="2:3" x14ac:dyDescent="0.3">
      <c r="B118" s="51"/>
      <c r="C118" t="s">
        <v>105</v>
      </c>
    </row>
    <row r="119" spans="2:3" x14ac:dyDescent="0.3">
      <c r="B119" s="51"/>
      <c r="C119" t="s">
        <v>107</v>
      </c>
    </row>
    <row r="120" spans="2:3" x14ac:dyDescent="0.3">
      <c r="B120" s="51"/>
      <c r="C120" t="s">
        <v>108</v>
      </c>
    </row>
    <row r="121" spans="2:3" x14ac:dyDescent="0.3">
      <c r="B121" s="51"/>
      <c r="C121" t="s">
        <v>109</v>
      </c>
    </row>
    <row r="122" spans="2:3" x14ac:dyDescent="0.3">
      <c r="B122" s="51"/>
      <c r="C122" t="s">
        <v>110</v>
      </c>
    </row>
    <row r="123" spans="2:3" x14ac:dyDescent="0.3">
      <c r="B123" s="51"/>
      <c r="C123" t="s">
        <v>111</v>
      </c>
    </row>
    <row r="124" spans="2:3" x14ac:dyDescent="0.3">
      <c r="B124" s="51"/>
      <c r="C124" t="s">
        <v>112</v>
      </c>
    </row>
    <row r="125" spans="2:3" x14ac:dyDescent="0.3">
      <c r="B125" s="51"/>
      <c r="C125" t="s">
        <v>113</v>
      </c>
    </row>
    <row r="126" spans="2:3" x14ac:dyDescent="0.3">
      <c r="B126" s="51"/>
      <c r="C126" t="s">
        <v>114</v>
      </c>
    </row>
    <row r="127" spans="2:3" x14ac:dyDescent="0.3">
      <c r="B127" s="51"/>
      <c r="C127" t="s">
        <v>115</v>
      </c>
    </row>
    <row r="128" spans="2:3" x14ac:dyDescent="0.3">
      <c r="B128" s="51"/>
      <c r="C128" t="s">
        <v>116</v>
      </c>
    </row>
    <row r="129" spans="2:3" x14ac:dyDescent="0.3">
      <c r="B129" s="51"/>
      <c r="C129" t="s">
        <v>117</v>
      </c>
    </row>
    <row r="130" spans="2:3" x14ac:dyDescent="0.3">
      <c r="B130" s="51"/>
      <c r="C130" t="s">
        <v>32</v>
      </c>
    </row>
    <row r="131" spans="2:3" x14ac:dyDescent="0.3">
      <c r="B131" s="51"/>
      <c r="C131" t="s">
        <v>118</v>
      </c>
    </row>
    <row r="132" spans="2:3" x14ac:dyDescent="0.3">
      <c r="B132" s="51"/>
      <c r="C132" t="s">
        <v>119</v>
      </c>
    </row>
    <row r="133" spans="2:3" x14ac:dyDescent="0.3">
      <c r="B133" s="51" t="s">
        <v>88</v>
      </c>
    </row>
    <row r="134" spans="2:3" x14ac:dyDescent="0.3">
      <c r="B134" s="51" t="s">
        <v>97</v>
      </c>
    </row>
    <row r="135" spans="2:3" x14ac:dyDescent="0.3">
      <c r="B135" s="51"/>
      <c r="C135" t="s">
        <v>106</v>
      </c>
    </row>
    <row r="136" spans="2:3" x14ac:dyDescent="0.3">
      <c r="B136" s="51"/>
      <c r="C136" t="s">
        <v>16</v>
      </c>
    </row>
    <row r="137" spans="2:3" x14ac:dyDescent="0.3">
      <c r="B137" s="51"/>
      <c r="C137" t="s">
        <v>105</v>
      </c>
    </row>
    <row r="138" spans="2:3" x14ac:dyDescent="0.3">
      <c r="B138" s="51"/>
      <c r="C138" t="s">
        <v>107</v>
      </c>
    </row>
    <row r="139" spans="2:3" x14ac:dyDescent="0.3">
      <c r="B139" s="51"/>
      <c r="C139" t="s">
        <v>108</v>
      </c>
    </row>
    <row r="140" spans="2:3" x14ac:dyDescent="0.3">
      <c r="B140" s="51"/>
      <c r="C140" t="s">
        <v>109</v>
      </c>
    </row>
    <row r="141" spans="2:3" x14ac:dyDescent="0.3">
      <c r="B141" s="51"/>
      <c r="C141" t="s">
        <v>110</v>
      </c>
    </row>
    <row r="142" spans="2:3" x14ac:dyDescent="0.3">
      <c r="B142" s="51"/>
      <c r="C142" t="s">
        <v>111</v>
      </c>
    </row>
    <row r="143" spans="2:3" x14ac:dyDescent="0.3">
      <c r="B143" s="51"/>
      <c r="C143" t="s">
        <v>112</v>
      </c>
    </row>
    <row r="144" spans="2:3" x14ac:dyDescent="0.3">
      <c r="B144" s="51"/>
      <c r="C144" t="s">
        <v>113</v>
      </c>
    </row>
    <row r="145" spans="2:3" x14ac:dyDescent="0.3">
      <c r="B145" s="51"/>
      <c r="C145" t="s">
        <v>114</v>
      </c>
    </row>
    <row r="146" spans="2:3" x14ac:dyDescent="0.3">
      <c r="B146" s="51"/>
      <c r="C146" t="s">
        <v>115</v>
      </c>
    </row>
    <row r="147" spans="2:3" x14ac:dyDescent="0.3">
      <c r="B147" s="51"/>
      <c r="C147" t="s">
        <v>116</v>
      </c>
    </row>
    <row r="148" spans="2:3" x14ac:dyDescent="0.3">
      <c r="B148" s="51"/>
      <c r="C148" t="s">
        <v>117</v>
      </c>
    </row>
    <row r="149" spans="2:3" x14ac:dyDescent="0.3">
      <c r="B149" s="51"/>
      <c r="C149" t="s">
        <v>32</v>
      </c>
    </row>
    <row r="150" spans="2:3" x14ac:dyDescent="0.3">
      <c r="B150" s="51"/>
      <c r="C150" t="s">
        <v>118</v>
      </c>
    </row>
    <row r="151" spans="2:3" x14ac:dyDescent="0.3">
      <c r="B151" s="51"/>
      <c r="C151" t="s">
        <v>119</v>
      </c>
    </row>
    <row r="152" spans="2:3" x14ac:dyDescent="0.3">
      <c r="B152" s="51" t="s">
        <v>88</v>
      </c>
    </row>
    <row r="153" spans="2:3" x14ac:dyDescent="0.3">
      <c r="B153" s="51" t="s">
        <v>129</v>
      </c>
    </row>
    <row r="154" spans="2:3" x14ac:dyDescent="0.3">
      <c r="B154" s="51"/>
      <c r="C154" t="s">
        <v>106</v>
      </c>
    </row>
    <row r="155" spans="2:3" x14ac:dyDescent="0.3">
      <c r="B155" s="51"/>
      <c r="C155" t="s">
        <v>16</v>
      </c>
    </row>
    <row r="156" spans="2:3" x14ac:dyDescent="0.3">
      <c r="B156" s="51"/>
      <c r="C156" t="s">
        <v>105</v>
      </c>
    </row>
    <row r="157" spans="2:3" x14ac:dyDescent="0.3">
      <c r="B157" s="51"/>
      <c r="C157" t="s">
        <v>107</v>
      </c>
    </row>
    <row r="158" spans="2:3" x14ac:dyDescent="0.3">
      <c r="B158" s="51"/>
      <c r="C158" t="s">
        <v>108</v>
      </c>
    </row>
    <row r="159" spans="2:3" x14ac:dyDescent="0.3">
      <c r="B159" s="51"/>
      <c r="C159" t="s">
        <v>109</v>
      </c>
    </row>
    <row r="160" spans="2:3" x14ac:dyDescent="0.3">
      <c r="B160" s="51"/>
      <c r="C160" t="s">
        <v>110</v>
      </c>
    </row>
    <row r="161" spans="2:3" x14ac:dyDescent="0.3">
      <c r="B161" s="51"/>
      <c r="C161" t="s">
        <v>111</v>
      </c>
    </row>
    <row r="162" spans="2:3" x14ac:dyDescent="0.3">
      <c r="B162" s="51"/>
      <c r="C162" t="s">
        <v>112</v>
      </c>
    </row>
    <row r="163" spans="2:3" x14ac:dyDescent="0.3">
      <c r="B163" s="51"/>
      <c r="C163" t="s">
        <v>113</v>
      </c>
    </row>
    <row r="164" spans="2:3" x14ac:dyDescent="0.3">
      <c r="B164" s="51"/>
      <c r="C164" t="s">
        <v>114</v>
      </c>
    </row>
    <row r="165" spans="2:3" x14ac:dyDescent="0.3">
      <c r="B165" s="51"/>
      <c r="C165" t="s">
        <v>115</v>
      </c>
    </row>
    <row r="166" spans="2:3" x14ac:dyDescent="0.3">
      <c r="B166" s="51"/>
      <c r="C166" t="s">
        <v>116</v>
      </c>
    </row>
    <row r="167" spans="2:3" x14ac:dyDescent="0.3">
      <c r="B167" s="51"/>
      <c r="C167" t="s">
        <v>117</v>
      </c>
    </row>
    <row r="168" spans="2:3" x14ac:dyDescent="0.3">
      <c r="B168" s="51"/>
      <c r="C168" t="s">
        <v>32</v>
      </c>
    </row>
    <row r="169" spans="2:3" x14ac:dyDescent="0.3">
      <c r="B169" s="51"/>
      <c r="C169" t="s">
        <v>118</v>
      </c>
    </row>
    <row r="170" spans="2:3" x14ac:dyDescent="0.3">
      <c r="B170" s="51"/>
      <c r="C170" t="s">
        <v>119</v>
      </c>
    </row>
    <row r="171" spans="2:3" x14ac:dyDescent="0.3">
      <c r="B171" s="51" t="s">
        <v>88</v>
      </c>
    </row>
    <row r="172" spans="2:3" x14ac:dyDescent="0.3">
      <c r="B172" s="51" t="s">
        <v>98</v>
      </c>
    </row>
    <row r="173" spans="2:3" x14ac:dyDescent="0.3">
      <c r="B173" s="51"/>
      <c r="C173" t="s">
        <v>106</v>
      </c>
    </row>
    <row r="174" spans="2:3" x14ac:dyDescent="0.3">
      <c r="B174" s="51"/>
      <c r="C174" t="s">
        <v>16</v>
      </c>
    </row>
    <row r="175" spans="2:3" x14ac:dyDescent="0.3">
      <c r="B175" s="51"/>
      <c r="C175" t="s">
        <v>105</v>
      </c>
    </row>
    <row r="176" spans="2:3" x14ac:dyDescent="0.3">
      <c r="B176" s="51"/>
      <c r="C176" t="s">
        <v>107</v>
      </c>
    </row>
    <row r="177" spans="2:3" x14ac:dyDescent="0.3">
      <c r="B177" s="51"/>
      <c r="C177" t="s">
        <v>108</v>
      </c>
    </row>
    <row r="178" spans="2:3" x14ac:dyDescent="0.3">
      <c r="B178" s="51"/>
      <c r="C178" t="s">
        <v>109</v>
      </c>
    </row>
    <row r="179" spans="2:3" x14ac:dyDescent="0.3">
      <c r="B179" s="51"/>
      <c r="C179" t="s">
        <v>110</v>
      </c>
    </row>
    <row r="180" spans="2:3" x14ac:dyDescent="0.3">
      <c r="B180" s="51"/>
      <c r="C180" t="s">
        <v>111</v>
      </c>
    </row>
    <row r="181" spans="2:3" x14ac:dyDescent="0.3">
      <c r="B181" s="51"/>
      <c r="C181" t="s">
        <v>112</v>
      </c>
    </row>
    <row r="182" spans="2:3" x14ac:dyDescent="0.3">
      <c r="B182" s="51"/>
      <c r="C182" t="s">
        <v>113</v>
      </c>
    </row>
    <row r="183" spans="2:3" x14ac:dyDescent="0.3">
      <c r="B183" s="51"/>
      <c r="C183" t="s">
        <v>114</v>
      </c>
    </row>
    <row r="184" spans="2:3" x14ac:dyDescent="0.3">
      <c r="B184" s="51"/>
      <c r="C184" t="s">
        <v>115</v>
      </c>
    </row>
    <row r="185" spans="2:3" x14ac:dyDescent="0.3">
      <c r="B185" s="51"/>
      <c r="C185" t="s">
        <v>116</v>
      </c>
    </row>
    <row r="186" spans="2:3" x14ac:dyDescent="0.3">
      <c r="B186" s="51"/>
      <c r="C186" t="s">
        <v>117</v>
      </c>
    </row>
    <row r="187" spans="2:3" x14ac:dyDescent="0.3">
      <c r="B187" s="51"/>
      <c r="C187" t="s">
        <v>32</v>
      </c>
    </row>
    <row r="188" spans="2:3" x14ac:dyDescent="0.3">
      <c r="B188" s="51"/>
      <c r="C188" t="s">
        <v>118</v>
      </c>
    </row>
    <row r="189" spans="2:3" x14ac:dyDescent="0.3">
      <c r="B189" s="51"/>
      <c r="C189" t="s">
        <v>119</v>
      </c>
    </row>
    <row r="190" spans="2:3" x14ac:dyDescent="0.3">
      <c r="B190" s="51" t="s">
        <v>88</v>
      </c>
    </row>
    <row r="191" spans="2:3" x14ac:dyDescent="0.3">
      <c r="B191" s="51" t="s">
        <v>99</v>
      </c>
    </row>
    <row r="192" spans="2:3" x14ac:dyDescent="0.3">
      <c r="B192" s="51"/>
      <c r="C192" t="s">
        <v>106</v>
      </c>
    </row>
    <row r="193" spans="2:3" x14ac:dyDescent="0.3">
      <c r="B193" s="51"/>
      <c r="C193" t="s">
        <v>16</v>
      </c>
    </row>
    <row r="194" spans="2:3" x14ac:dyDescent="0.3">
      <c r="B194" s="51"/>
      <c r="C194" t="s">
        <v>105</v>
      </c>
    </row>
    <row r="195" spans="2:3" x14ac:dyDescent="0.3">
      <c r="B195" s="51"/>
      <c r="C195" t="s">
        <v>107</v>
      </c>
    </row>
    <row r="196" spans="2:3" x14ac:dyDescent="0.3">
      <c r="B196" s="51"/>
      <c r="C196" t="s">
        <v>108</v>
      </c>
    </row>
    <row r="197" spans="2:3" x14ac:dyDescent="0.3">
      <c r="B197" s="51"/>
      <c r="C197" t="s">
        <v>109</v>
      </c>
    </row>
    <row r="198" spans="2:3" x14ac:dyDescent="0.3">
      <c r="B198" s="51"/>
      <c r="C198" t="s">
        <v>110</v>
      </c>
    </row>
    <row r="199" spans="2:3" x14ac:dyDescent="0.3">
      <c r="B199" s="51"/>
      <c r="C199" t="s">
        <v>111</v>
      </c>
    </row>
    <row r="200" spans="2:3" x14ac:dyDescent="0.3">
      <c r="B200" s="51"/>
      <c r="C200" t="s">
        <v>112</v>
      </c>
    </row>
    <row r="201" spans="2:3" x14ac:dyDescent="0.3">
      <c r="B201" s="51"/>
      <c r="C201" t="s">
        <v>113</v>
      </c>
    </row>
    <row r="202" spans="2:3" x14ac:dyDescent="0.3">
      <c r="B202" s="51"/>
      <c r="C202" t="s">
        <v>114</v>
      </c>
    </row>
    <row r="203" spans="2:3" x14ac:dyDescent="0.3">
      <c r="B203" s="51"/>
      <c r="C203" t="s">
        <v>115</v>
      </c>
    </row>
    <row r="204" spans="2:3" x14ac:dyDescent="0.3">
      <c r="B204" s="51"/>
      <c r="C204" t="s">
        <v>116</v>
      </c>
    </row>
    <row r="205" spans="2:3" x14ac:dyDescent="0.3">
      <c r="B205" s="51"/>
      <c r="C205" t="s">
        <v>117</v>
      </c>
    </row>
    <row r="206" spans="2:3" x14ac:dyDescent="0.3">
      <c r="B206" s="51"/>
      <c r="C206" t="s">
        <v>32</v>
      </c>
    </row>
    <row r="207" spans="2:3" x14ac:dyDescent="0.3">
      <c r="B207" s="51"/>
      <c r="C207" t="s">
        <v>118</v>
      </c>
    </row>
    <row r="208" spans="2:3" x14ac:dyDescent="0.3">
      <c r="B208" s="51"/>
      <c r="C208" t="s">
        <v>119</v>
      </c>
    </row>
    <row r="209" spans="2:3" x14ac:dyDescent="0.3">
      <c r="B209" s="51" t="s">
        <v>88</v>
      </c>
    </row>
    <row r="210" spans="2:3" x14ac:dyDescent="0.3">
      <c r="B210" s="51" t="s">
        <v>100</v>
      </c>
    </row>
    <row r="211" spans="2:3" x14ac:dyDescent="0.3">
      <c r="B211" s="51"/>
      <c r="C211" t="s">
        <v>106</v>
      </c>
    </row>
    <row r="212" spans="2:3" x14ac:dyDescent="0.3">
      <c r="B212" s="51"/>
      <c r="C212" t="s">
        <v>16</v>
      </c>
    </row>
    <row r="213" spans="2:3" x14ac:dyDescent="0.3">
      <c r="B213" s="51"/>
      <c r="C213" t="s">
        <v>105</v>
      </c>
    </row>
    <row r="214" spans="2:3" x14ac:dyDescent="0.3">
      <c r="B214" s="51"/>
      <c r="C214" t="s">
        <v>107</v>
      </c>
    </row>
    <row r="215" spans="2:3" x14ac:dyDescent="0.3">
      <c r="B215" s="51"/>
      <c r="C215" t="s">
        <v>108</v>
      </c>
    </row>
    <row r="216" spans="2:3" x14ac:dyDescent="0.3">
      <c r="B216" s="51"/>
      <c r="C216" t="s">
        <v>109</v>
      </c>
    </row>
    <row r="217" spans="2:3" x14ac:dyDescent="0.3">
      <c r="B217" s="51"/>
      <c r="C217" t="s">
        <v>110</v>
      </c>
    </row>
    <row r="218" spans="2:3" x14ac:dyDescent="0.3">
      <c r="B218" s="51"/>
      <c r="C218" t="s">
        <v>111</v>
      </c>
    </row>
    <row r="219" spans="2:3" x14ac:dyDescent="0.3">
      <c r="B219" s="51"/>
      <c r="C219" t="s">
        <v>112</v>
      </c>
    </row>
    <row r="220" spans="2:3" x14ac:dyDescent="0.3">
      <c r="B220" s="51"/>
      <c r="C220" t="s">
        <v>113</v>
      </c>
    </row>
    <row r="221" spans="2:3" x14ac:dyDescent="0.3">
      <c r="B221" s="51"/>
      <c r="C221" t="s">
        <v>114</v>
      </c>
    </row>
    <row r="222" spans="2:3" x14ac:dyDescent="0.3">
      <c r="B222" s="51"/>
      <c r="C222" t="s">
        <v>115</v>
      </c>
    </row>
    <row r="223" spans="2:3" x14ac:dyDescent="0.3">
      <c r="B223" s="51"/>
      <c r="C223" t="s">
        <v>116</v>
      </c>
    </row>
    <row r="224" spans="2:3" x14ac:dyDescent="0.3">
      <c r="B224" s="51"/>
      <c r="C224" t="s">
        <v>117</v>
      </c>
    </row>
    <row r="225" spans="2:3" x14ac:dyDescent="0.3">
      <c r="B225" s="51"/>
      <c r="C225" t="s">
        <v>32</v>
      </c>
    </row>
    <row r="226" spans="2:3" x14ac:dyDescent="0.3">
      <c r="B226" s="51"/>
      <c r="C226" t="s">
        <v>118</v>
      </c>
    </row>
    <row r="227" spans="2:3" x14ac:dyDescent="0.3">
      <c r="B227" s="51"/>
      <c r="C227" t="s">
        <v>119</v>
      </c>
    </row>
    <row r="228" spans="2:3" x14ac:dyDescent="0.3">
      <c r="B228" s="51" t="s">
        <v>88</v>
      </c>
    </row>
    <row r="229" spans="2:3" x14ac:dyDescent="0.3">
      <c r="B229" s="51" t="s">
        <v>101</v>
      </c>
    </row>
    <row r="230" spans="2:3" x14ac:dyDescent="0.3">
      <c r="B230" s="51"/>
      <c r="C230" t="s">
        <v>106</v>
      </c>
    </row>
    <row r="231" spans="2:3" x14ac:dyDescent="0.3">
      <c r="B231" s="51"/>
      <c r="C231" t="s">
        <v>16</v>
      </c>
    </row>
    <row r="232" spans="2:3" x14ac:dyDescent="0.3">
      <c r="B232" s="51"/>
      <c r="C232" t="s">
        <v>105</v>
      </c>
    </row>
    <row r="233" spans="2:3" x14ac:dyDescent="0.3">
      <c r="B233" s="51"/>
      <c r="C233" t="s">
        <v>107</v>
      </c>
    </row>
    <row r="234" spans="2:3" x14ac:dyDescent="0.3">
      <c r="B234" s="51"/>
      <c r="C234" t="s">
        <v>108</v>
      </c>
    </row>
    <row r="235" spans="2:3" x14ac:dyDescent="0.3">
      <c r="B235" s="51"/>
      <c r="C235" t="s">
        <v>109</v>
      </c>
    </row>
    <row r="236" spans="2:3" x14ac:dyDescent="0.3">
      <c r="B236" s="51"/>
      <c r="C236" t="s">
        <v>110</v>
      </c>
    </row>
    <row r="237" spans="2:3" x14ac:dyDescent="0.3">
      <c r="B237" s="51"/>
      <c r="C237" t="s">
        <v>111</v>
      </c>
    </row>
    <row r="238" spans="2:3" x14ac:dyDescent="0.3">
      <c r="B238" s="51"/>
      <c r="C238" t="s">
        <v>112</v>
      </c>
    </row>
    <row r="239" spans="2:3" x14ac:dyDescent="0.3">
      <c r="B239" s="51"/>
      <c r="C239" t="s">
        <v>113</v>
      </c>
    </row>
    <row r="240" spans="2:3" x14ac:dyDescent="0.3">
      <c r="B240" s="51"/>
      <c r="C240" t="s">
        <v>114</v>
      </c>
    </row>
    <row r="241" spans="2:3" x14ac:dyDescent="0.3">
      <c r="B241" s="51"/>
      <c r="C241" t="s">
        <v>115</v>
      </c>
    </row>
    <row r="242" spans="2:3" x14ac:dyDescent="0.3">
      <c r="B242" s="51"/>
      <c r="C242" t="s">
        <v>116</v>
      </c>
    </row>
    <row r="243" spans="2:3" x14ac:dyDescent="0.3">
      <c r="B243" s="51"/>
      <c r="C243" t="s">
        <v>117</v>
      </c>
    </row>
    <row r="244" spans="2:3" x14ac:dyDescent="0.3">
      <c r="B244" s="51"/>
      <c r="C244" t="s">
        <v>32</v>
      </c>
    </row>
    <row r="245" spans="2:3" x14ac:dyDescent="0.3">
      <c r="B245" s="51"/>
      <c r="C245" t="s">
        <v>118</v>
      </c>
    </row>
    <row r="246" spans="2:3" x14ac:dyDescent="0.3">
      <c r="B246" s="51"/>
      <c r="C246" t="s">
        <v>119</v>
      </c>
    </row>
    <row r="247" spans="2:3" x14ac:dyDescent="0.3">
      <c r="B247" s="51" t="s">
        <v>88</v>
      </c>
    </row>
    <row r="248" spans="2:3" x14ac:dyDescent="0.3">
      <c r="B248" s="51"/>
    </row>
    <row r="249" spans="2:3" x14ac:dyDescent="0.3">
      <c r="B249" s="51"/>
    </row>
    <row r="250" spans="2:3" x14ac:dyDescent="0.3">
      <c r="B250" s="51"/>
    </row>
  </sheetData>
  <hyperlinks>
    <hyperlink ref="A1" location="'Table Of Contents'!A1" display="Return to ToC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/>
  <dimension ref="A1:H131"/>
  <sheetViews>
    <sheetView zoomScaleNormal="100" workbookViewId="0">
      <pane xSplit="2" ySplit="5" topLeftCell="C6" activePane="bottomRight" state="frozen"/>
      <selection activeCell="D14" sqref="D14"/>
      <selection pane="topRight" activeCell="D14" sqref="D14"/>
      <selection pane="bottomLeft" activeCell="D14" sqref="D14"/>
      <selection pane="bottomRight"/>
    </sheetView>
  </sheetViews>
  <sheetFormatPr defaultRowHeight="14.4" x14ac:dyDescent="0.3"/>
  <cols>
    <col min="1" max="1" width="6.88671875" bestFit="1" customWidth="1"/>
    <col min="2" max="2" width="22.88671875" style="51" bestFit="1" customWidth="1"/>
    <col min="3" max="3" width="21.6640625" bestFit="1" customWidth="1"/>
    <col min="4" max="4" width="8.88671875" bestFit="1" customWidth="1"/>
    <col min="5" max="8" width="12" bestFit="1" customWidth="1"/>
    <col min="9" max="9" width="8" bestFit="1" customWidth="1"/>
  </cols>
  <sheetData>
    <row r="1" spans="1:7" ht="27" thickBot="1" x14ac:dyDescent="0.35">
      <c r="A1" s="8" t="s">
        <v>2</v>
      </c>
    </row>
    <row r="2" spans="1:7" x14ac:dyDescent="0.3">
      <c r="B2" s="52" t="s">
        <v>29</v>
      </c>
    </row>
    <row r="3" spans="1:7" x14ac:dyDescent="0.3">
      <c r="B3" s="51" t="s">
        <v>30</v>
      </c>
      <c r="C3">
        <v>1488991.37</v>
      </c>
    </row>
    <row r="4" spans="1:7" x14ac:dyDescent="0.3">
      <c r="A4" s="51"/>
      <c r="B4" s="51" t="s">
        <v>31</v>
      </c>
      <c r="C4" s="51">
        <v>1157564.6200000001</v>
      </c>
      <c r="D4" s="51"/>
      <c r="E4" s="51"/>
      <c r="F4" s="51"/>
      <c r="G4" s="51"/>
    </row>
    <row r="5" spans="1:7" x14ac:dyDescent="0.3">
      <c r="B5"/>
    </row>
    <row r="6" spans="1:7" x14ac:dyDescent="0.3">
      <c r="B6"/>
    </row>
    <row r="7" spans="1:7" x14ac:dyDescent="0.3">
      <c r="B7" s="52" t="s">
        <v>176</v>
      </c>
    </row>
    <row r="8" spans="1:7" x14ac:dyDescent="0.3">
      <c r="B8"/>
    </row>
    <row r="9" spans="1:7" x14ac:dyDescent="0.3">
      <c r="B9"/>
    </row>
    <row r="10" spans="1:7" x14ac:dyDescent="0.3">
      <c r="B10" s="122">
        <v>45552.183499999999</v>
      </c>
    </row>
    <row r="11" spans="1:7" x14ac:dyDescent="0.3">
      <c r="B11" s="122">
        <v>52015.984299999996</v>
      </c>
    </row>
    <row r="12" spans="1:7" x14ac:dyDescent="0.3">
      <c r="B12" s="122">
        <v>386230</v>
      </c>
    </row>
    <row r="13" spans="1:7" x14ac:dyDescent="0.3">
      <c r="B13" s="122">
        <v>14892.472599999999</v>
      </c>
    </row>
    <row r="14" spans="1:7" x14ac:dyDescent="0.3">
      <c r="B14" s="122">
        <v>25.934578519889303</v>
      </c>
    </row>
    <row r="15" spans="1:7" x14ac:dyDescent="0.3">
      <c r="B15" s="122">
        <v>8.4788471226631756</v>
      </c>
    </row>
    <row r="16" spans="1:7" x14ac:dyDescent="0.3">
      <c r="B16" s="122">
        <v>19.615928092667609</v>
      </c>
    </row>
    <row r="17" spans="2:2" x14ac:dyDescent="0.3">
      <c r="B17" s="122"/>
    </row>
    <row r="18" spans="2:2" x14ac:dyDescent="0.3">
      <c r="B18" s="122">
        <v>7340.9184500000001</v>
      </c>
    </row>
    <row r="19" spans="2:2" x14ac:dyDescent="0.3">
      <c r="B19" s="122">
        <v>342.88092</v>
      </c>
    </row>
    <row r="20" spans="2:2" x14ac:dyDescent="0.3">
      <c r="B20" s="122">
        <v>21.409527395108483</v>
      </c>
    </row>
    <row r="21" spans="2:2" x14ac:dyDescent="0.3">
      <c r="B21" s="122">
        <v>458</v>
      </c>
    </row>
    <row r="22" spans="2:2" x14ac:dyDescent="0.3">
      <c r="B22" s="122">
        <v>425.13189599999998</v>
      </c>
    </row>
    <row r="23" spans="2:2" x14ac:dyDescent="0.3">
      <c r="B23" s="122">
        <v>160</v>
      </c>
    </row>
    <row r="24" spans="2:2" x14ac:dyDescent="0.3">
      <c r="B24" s="122">
        <v>30.824352000000001</v>
      </c>
    </row>
    <row r="25" spans="2:2" x14ac:dyDescent="0.3">
      <c r="B25" s="122">
        <v>3104.9267500000001</v>
      </c>
    </row>
    <row r="26" spans="2:2" x14ac:dyDescent="0.3">
      <c r="B26" s="122"/>
    </row>
    <row r="27" spans="2:2" x14ac:dyDescent="0.3">
      <c r="B27" s="122"/>
    </row>
    <row r="28" spans="2:2" x14ac:dyDescent="0.3">
      <c r="B28" s="122">
        <v>2206.5729900000001</v>
      </c>
    </row>
    <row r="29" spans="2:2" x14ac:dyDescent="0.3">
      <c r="B29" s="122">
        <v>2314.5551700000001</v>
      </c>
    </row>
    <row r="30" spans="2:2" x14ac:dyDescent="0.3">
      <c r="B30" s="122">
        <v>7855.4282199999998</v>
      </c>
    </row>
    <row r="31" spans="2:2" x14ac:dyDescent="0.3">
      <c r="B31" s="122">
        <v>436.59481799999998</v>
      </c>
    </row>
    <row r="32" spans="2:2" x14ac:dyDescent="0.3">
      <c r="B32" s="122">
        <v>17.992490740006904</v>
      </c>
    </row>
    <row r="33" spans="2:2" x14ac:dyDescent="0.3">
      <c r="B33" s="122">
        <v>3.5600128595791429</v>
      </c>
    </row>
    <row r="34" spans="2:2" x14ac:dyDescent="0.3">
      <c r="B34" s="122">
        <v>11.87166216513871</v>
      </c>
    </row>
    <row r="35" spans="2:2" x14ac:dyDescent="0.3">
      <c r="B35" s="122"/>
    </row>
    <row r="36" spans="2:2" x14ac:dyDescent="0.3">
      <c r="B36" s="122">
        <v>1226.40002</v>
      </c>
    </row>
    <row r="37" spans="2:2" x14ac:dyDescent="0.3">
      <c r="B37" s="122">
        <v>68.173332000000002</v>
      </c>
    </row>
    <row r="38" spans="2:2" x14ac:dyDescent="0.3">
      <c r="B38" s="122">
        <v>17.989439330910216</v>
      </c>
    </row>
    <row r="39" spans="2:2" x14ac:dyDescent="0.3">
      <c r="B39" s="122">
        <v>74</v>
      </c>
    </row>
    <row r="40" spans="2:2" x14ac:dyDescent="0.3">
      <c r="B40" s="122">
        <v>240</v>
      </c>
    </row>
    <row r="41" spans="2:2" x14ac:dyDescent="0.3">
      <c r="B41" s="122">
        <v>2</v>
      </c>
    </row>
    <row r="42" spans="2:2" x14ac:dyDescent="0.3">
      <c r="B42" s="122">
        <v>0.5</v>
      </c>
    </row>
    <row r="43" spans="2:2" x14ac:dyDescent="0.3">
      <c r="B43" s="122">
        <v>10.220000000000001</v>
      </c>
    </row>
    <row r="44" spans="2:2" x14ac:dyDescent="0.3">
      <c r="B44" s="122"/>
    </row>
    <row r="45" spans="2:2" x14ac:dyDescent="0.3">
      <c r="B45" s="122"/>
    </row>
    <row r="46" spans="2:2" x14ac:dyDescent="0.3">
      <c r="B46" s="122">
        <v>3255.55078</v>
      </c>
    </row>
    <row r="47" spans="2:2" x14ac:dyDescent="0.3">
      <c r="B47" s="122">
        <v>3282.4328599999999</v>
      </c>
    </row>
    <row r="48" spans="2:2" x14ac:dyDescent="0.3">
      <c r="B48" s="122">
        <v>47385.964800000002</v>
      </c>
    </row>
    <row r="49" spans="2:2" x14ac:dyDescent="0.3">
      <c r="B49" s="122">
        <v>1372.6477</v>
      </c>
    </row>
    <row r="50" spans="2:2" x14ac:dyDescent="0.3">
      <c r="B50" s="122">
        <v>34.521578115054581</v>
      </c>
    </row>
    <row r="51" spans="2:2" x14ac:dyDescent="0.3">
      <c r="B51" s="122">
        <v>14.555437160160039</v>
      </c>
    </row>
    <row r="52" spans="2:2" x14ac:dyDescent="0.3">
      <c r="B52" s="122">
        <v>25.297981068506015</v>
      </c>
    </row>
    <row r="53" spans="2:2" x14ac:dyDescent="0.3">
      <c r="B53" s="122"/>
    </row>
    <row r="54" spans="2:2" x14ac:dyDescent="0.3">
      <c r="B54" s="122">
        <v>1354.8848800000001</v>
      </c>
    </row>
    <row r="55" spans="2:2" x14ac:dyDescent="0.3">
      <c r="B55" s="122">
        <v>47.388773999999998</v>
      </c>
    </row>
    <row r="56" spans="2:2" x14ac:dyDescent="0.3">
      <c r="B56" s="122">
        <v>28.590840522694258</v>
      </c>
    </row>
    <row r="57" spans="2:2" x14ac:dyDescent="0.3">
      <c r="B57" s="122">
        <v>73</v>
      </c>
    </row>
    <row r="58" spans="2:2" x14ac:dyDescent="0.3">
      <c r="B58" s="122">
        <v>76.333335000000005</v>
      </c>
    </row>
    <row r="59" spans="2:2" x14ac:dyDescent="0.3">
      <c r="B59" s="122">
        <v>36</v>
      </c>
    </row>
    <row r="60" spans="2:2" x14ac:dyDescent="0.3">
      <c r="B60" s="122">
        <v>22.170179000000001</v>
      </c>
    </row>
    <row r="61" spans="2:2" x14ac:dyDescent="0.3">
      <c r="B61" s="122">
        <v>691.97399900000005</v>
      </c>
    </row>
    <row r="62" spans="2:2" x14ac:dyDescent="0.3">
      <c r="B62" s="122"/>
    </row>
    <row r="63" spans="2:2" x14ac:dyDescent="0.3">
      <c r="B63" s="122"/>
    </row>
    <row r="64" spans="2:2" x14ac:dyDescent="0.3">
      <c r="B64" s="122">
        <v>19619.392500000002</v>
      </c>
    </row>
    <row r="65" spans="2:2" x14ac:dyDescent="0.3">
      <c r="B65" s="122">
        <v>20985.345700000002</v>
      </c>
    </row>
    <row r="66" spans="2:2" x14ac:dyDescent="0.3">
      <c r="B66" s="122">
        <v>157085.75</v>
      </c>
    </row>
    <row r="67" spans="2:2" x14ac:dyDescent="0.3">
      <c r="B67" s="122">
        <v>5349.92724</v>
      </c>
    </row>
    <row r="68" spans="2:2" x14ac:dyDescent="0.3">
      <c r="B68" s="122">
        <v>29.362221756122427</v>
      </c>
    </row>
    <row r="69" spans="2:2" x14ac:dyDescent="0.3">
      <c r="B69" s="122">
        <v>8.006657188799295</v>
      </c>
    </row>
    <row r="70" spans="2:2" x14ac:dyDescent="0.3">
      <c r="B70" s="122">
        <v>16.361140356410115</v>
      </c>
    </row>
    <row r="71" spans="2:2" x14ac:dyDescent="0.3">
      <c r="B71" s="122"/>
    </row>
    <row r="72" spans="2:2" x14ac:dyDescent="0.3">
      <c r="B72" s="122">
        <v>2018.6051</v>
      </c>
    </row>
    <row r="73" spans="2:2" x14ac:dyDescent="0.3">
      <c r="B73" s="122">
        <v>73.244452999999993</v>
      </c>
    </row>
    <row r="74" spans="2:2" x14ac:dyDescent="0.3">
      <c r="B74" s="122">
        <v>27.55983582811384</v>
      </c>
    </row>
    <row r="75" spans="2:2" x14ac:dyDescent="0.3">
      <c r="B75" s="122">
        <v>94</v>
      </c>
    </row>
    <row r="76" spans="2:2" x14ac:dyDescent="0.3">
      <c r="B76" s="122">
        <v>103.18652299999999</v>
      </c>
    </row>
    <row r="77" spans="2:2" x14ac:dyDescent="0.3">
      <c r="B77" s="122">
        <v>14</v>
      </c>
    </row>
    <row r="78" spans="2:2" x14ac:dyDescent="0.3">
      <c r="B78" s="122">
        <v>7.5717699999999999</v>
      </c>
    </row>
    <row r="79" spans="2:2" x14ac:dyDescent="0.3">
      <c r="B79" s="122">
        <v>267.73229900000001</v>
      </c>
    </row>
    <row r="80" spans="2:2" x14ac:dyDescent="0.3">
      <c r="B80" s="122"/>
    </row>
    <row r="81" spans="2:2" x14ac:dyDescent="0.3">
      <c r="B81" s="122"/>
    </row>
    <row r="82" spans="2:2" x14ac:dyDescent="0.3">
      <c r="B82" s="122">
        <v>8244.0761700000003</v>
      </c>
    </row>
    <row r="83" spans="2:2" x14ac:dyDescent="0.3">
      <c r="B83" s="122">
        <v>10989.455</v>
      </c>
    </row>
    <row r="84" spans="2:2" x14ac:dyDescent="0.3">
      <c r="B84" s="122">
        <v>185893.359</v>
      </c>
    </row>
    <row r="85" spans="2:2" x14ac:dyDescent="0.3">
      <c r="B85" s="122">
        <v>3693.4162500000002</v>
      </c>
    </row>
    <row r="86" spans="2:2" x14ac:dyDescent="0.3">
      <c r="B86" s="122">
        <v>50.331006964081013</v>
      </c>
    </row>
    <row r="87" spans="2:2" x14ac:dyDescent="0.3">
      <c r="B87" s="122">
        <v>22.548719246003763</v>
      </c>
    </row>
    <row r="88" spans="2:2" x14ac:dyDescent="0.3">
      <c r="B88" s="122">
        <v>26.880510372577017</v>
      </c>
    </row>
    <row r="89" spans="2:2" x14ac:dyDescent="0.3">
      <c r="B89" s="122"/>
    </row>
    <row r="90" spans="2:2" x14ac:dyDescent="0.3">
      <c r="B90" s="122">
        <v>707.55987500000003</v>
      </c>
    </row>
    <row r="91" spans="2:2" x14ac:dyDescent="0.3">
      <c r="B91" s="122">
        <v>15.170237999999999</v>
      </c>
    </row>
    <row r="92" spans="2:2" x14ac:dyDescent="0.3">
      <c r="B92" s="122">
        <v>46.641316701821033</v>
      </c>
    </row>
    <row r="93" spans="2:2" x14ac:dyDescent="0.3">
      <c r="B93" s="122">
        <v>20</v>
      </c>
    </row>
    <row r="94" spans="2:2" x14ac:dyDescent="0.3">
      <c r="B94" s="122">
        <v>16</v>
      </c>
    </row>
    <row r="95" spans="2:2" x14ac:dyDescent="0.3">
      <c r="B95" s="122">
        <v>6</v>
      </c>
    </row>
    <row r="96" spans="2:2" x14ac:dyDescent="0.3">
      <c r="B96" s="122">
        <v>22.279347999999999</v>
      </c>
    </row>
    <row r="97" spans="2:2" x14ac:dyDescent="0.3">
      <c r="B97" s="122">
        <v>262.18933099999998</v>
      </c>
    </row>
    <row r="98" spans="2:2" x14ac:dyDescent="0.3">
      <c r="B98" s="122"/>
    </row>
    <row r="99" spans="2:2" x14ac:dyDescent="0.3">
      <c r="B99" s="122"/>
    </row>
    <row r="100" spans="2:2" x14ac:dyDescent="0.3">
      <c r="B100" s="122">
        <v>708.69988999999998</v>
      </c>
    </row>
    <row r="101" spans="2:2" x14ac:dyDescent="0.3">
      <c r="B101" s="122">
        <v>727.18450900000005</v>
      </c>
    </row>
    <row r="102" spans="2:2" x14ac:dyDescent="0.3">
      <c r="B102" s="122">
        <v>1141.4604400000001</v>
      </c>
    </row>
    <row r="103" spans="2:2" x14ac:dyDescent="0.3">
      <c r="B103" s="122">
        <v>81.990172999999999</v>
      </c>
    </row>
    <row r="104" spans="2:2" x14ac:dyDescent="0.3">
      <c r="B104" s="122">
        <v>13.921917691282346</v>
      </c>
    </row>
    <row r="105" spans="2:2" x14ac:dyDescent="0.3">
      <c r="B105" s="122">
        <v>1.6106400693811314</v>
      </c>
    </row>
    <row r="106" spans="2:2" x14ac:dyDescent="0.3">
      <c r="B106" s="122">
        <v>6.9414578009882302</v>
      </c>
    </row>
    <row r="107" spans="2:2" x14ac:dyDescent="0.3">
      <c r="B107" s="122"/>
    </row>
    <row r="108" spans="2:2" x14ac:dyDescent="0.3">
      <c r="B108" s="122">
        <v>17.399999000000001</v>
      </c>
    </row>
    <row r="109" spans="2:2" x14ac:dyDescent="0.3">
      <c r="B109" s="122">
        <v>1.25</v>
      </c>
    </row>
    <row r="110" spans="2:2" x14ac:dyDescent="0.3">
      <c r="B110" s="122">
        <v>13.919999200000001</v>
      </c>
    </row>
    <row r="111" spans="2:2" x14ac:dyDescent="0.3">
      <c r="B111" s="122">
        <v>2</v>
      </c>
    </row>
    <row r="112" spans="2:2" x14ac:dyDescent="0.3">
      <c r="B112" s="122">
        <v>10</v>
      </c>
    </row>
    <row r="113" spans="2:2" x14ac:dyDescent="0.3">
      <c r="B113" s="122">
        <v>2</v>
      </c>
    </row>
    <row r="114" spans="2:2" x14ac:dyDescent="0.3">
      <c r="B114" s="122">
        <v>12</v>
      </c>
    </row>
    <row r="115" spans="2:2" x14ac:dyDescent="0.3">
      <c r="B115" s="122">
        <v>3.48</v>
      </c>
    </row>
    <row r="116" spans="2:2" x14ac:dyDescent="0.3">
      <c r="B116" s="122"/>
    </row>
    <row r="117" spans="2:2" x14ac:dyDescent="0.3">
      <c r="B117" s="122"/>
    </row>
    <row r="118" spans="2:2" x14ac:dyDescent="0.3">
      <c r="B118" s="122">
        <v>18178.259699999999</v>
      </c>
    </row>
    <row r="119" spans="2:2" x14ac:dyDescent="0.3">
      <c r="B119" s="122">
        <v>23838.076099999998</v>
      </c>
    </row>
    <row r="120" spans="2:2" x14ac:dyDescent="0.3">
      <c r="B120" s="122">
        <v>367301.78100000002</v>
      </c>
    </row>
    <row r="121" spans="2:2" x14ac:dyDescent="0.3">
      <c r="B121" s="122">
        <v>7213.0756799999999</v>
      </c>
    </row>
    <row r="122" spans="2:2" x14ac:dyDescent="0.3">
      <c r="B122" s="122">
        <v>50.921659122256713</v>
      </c>
    </row>
    <row r="123" spans="2:2" x14ac:dyDescent="0.3">
      <c r="B123" s="122">
        <v>20.205552515018809</v>
      </c>
    </row>
    <row r="124" spans="2:2" x14ac:dyDescent="0.3">
      <c r="B124" s="122">
        <v>23.80780932511378</v>
      </c>
    </row>
    <row r="125" spans="2:2" x14ac:dyDescent="0.3">
      <c r="B125" s="122"/>
    </row>
    <row r="126" spans="2:2" x14ac:dyDescent="0.3">
      <c r="B126" s="122">
        <v>2219.97192</v>
      </c>
    </row>
    <row r="127" spans="2:2" x14ac:dyDescent="0.3">
      <c r="B127" s="122">
        <v>36.144275</v>
      </c>
    </row>
    <row r="128" spans="2:2" x14ac:dyDescent="0.3">
      <c r="B128" s="122">
        <v>61.419738533972527</v>
      </c>
    </row>
    <row r="129" spans="2:8" x14ac:dyDescent="0.3">
      <c r="B129" s="122">
        <v>58</v>
      </c>
    </row>
    <row r="130" spans="2:8" x14ac:dyDescent="0.3">
      <c r="B130" s="122">
        <v>50</v>
      </c>
    </row>
    <row r="131" spans="2:8" x14ac:dyDescent="0.3">
      <c r="C131" t="s">
        <v>32</v>
      </c>
      <c r="D131" t="s">
        <v>130</v>
      </c>
      <c r="E131">
        <v>22</v>
      </c>
      <c r="F131">
        <v>22</v>
      </c>
      <c r="G131">
        <v>22</v>
      </c>
      <c r="H131">
        <v>22</v>
      </c>
    </row>
  </sheetData>
  <hyperlinks>
    <hyperlink ref="A1" location="'Table Of Contents'!A1" display="Return to ToC" xr:uid="{00000000-0004-0000-0300-000000000000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H4"/>
  <sheetViews>
    <sheetView workbookViewId="0"/>
  </sheetViews>
  <sheetFormatPr defaultRowHeight="14.4" x14ac:dyDescent="0.3"/>
  <cols>
    <col min="1" max="1" width="8.77734375" bestFit="1" customWidth="1"/>
    <col min="2" max="2" width="5.88671875" bestFit="1" customWidth="1"/>
    <col min="3" max="3" width="7.6640625" bestFit="1" customWidth="1"/>
    <col min="4" max="4" width="9.109375" bestFit="1" customWidth="1"/>
    <col min="5" max="5" width="8.77734375" bestFit="1" customWidth="1"/>
    <col min="6" max="6" width="10.21875" bestFit="1" customWidth="1"/>
    <col min="7" max="7" width="7.88671875" bestFit="1" customWidth="1"/>
    <col min="8" max="8" width="9.33203125" bestFit="1" customWidth="1"/>
    <col min="9" max="10" width="8" bestFit="1" customWidth="1"/>
  </cols>
  <sheetData>
    <row r="1" spans="1:8" ht="27" thickBot="1" x14ac:dyDescent="0.35">
      <c r="A1" s="8" t="s">
        <v>2</v>
      </c>
    </row>
    <row r="4" spans="1:8" x14ac:dyDescent="0.3">
      <c r="A4" s="52" t="s">
        <v>33</v>
      </c>
      <c r="B4" s="52" t="s">
        <v>34</v>
      </c>
      <c r="C4" s="52" t="s">
        <v>35</v>
      </c>
      <c r="D4" s="52" t="s">
        <v>36</v>
      </c>
      <c r="E4" s="52" t="s">
        <v>21</v>
      </c>
      <c r="F4" s="52" t="s">
        <v>22</v>
      </c>
      <c r="G4" s="52" t="s">
        <v>37</v>
      </c>
      <c r="H4" s="52" t="s">
        <v>12</v>
      </c>
    </row>
  </sheetData>
  <hyperlinks>
    <hyperlink ref="A1" location="'Table Of Contents'!A1" display="Return to ToC" xr:uid="{00000000-0004-0000-0400-000000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H4"/>
  <sheetViews>
    <sheetView workbookViewId="0"/>
  </sheetViews>
  <sheetFormatPr defaultRowHeight="14.4" x14ac:dyDescent="0.3"/>
  <cols>
    <col min="1" max="1" width="8.77734375" bestFit="1" customWidth="1"/>
    <col min="2" max="2" width="5.88671875" bestFit="1" customWidth="1"/>
    <col min="3" max="3" width="7.6640625" bestFit="1" customWidth="1"/>
    <col min="4" max="4" width="9.109375" bestFit="1" customWidth="1"/>
    <col min="5" max="5" width="8.77734375" bestFit="1" customWidth="1"/>
    <col min="6" max="6" width="10.21875" bestFit="1" customWidth="1"/>
    <col min="7" max="7" width="7.88671875" bestFit="1" customWidth="1"/>
    <col min="8" max="8" width="9.33203125" bestFit="1" customWidth="1"/>
    <col min="9" max="10" width="8" bestFit="1" customWidth="1"/>
  </cols>
  <sheetData>
    <row r="1" spans="1:8" ht="27" thickBot="1" x14ac:dyDescent="0.35">
      <c r="A1" s="8" t="s">
        <v>2</v>
      </c>
    </row>
    <row r="4" spans="1:8" x14ac:dyDescent="0.3">
      <c r="A4" s="52" t="s">
        <v>33</v>
      </c>
      <c r="B4" s="52" t="s">
        <v>34</v>
      </c>
      <c r="C4" s="52" t="s">
        <v>35</v>
      </c>
      <c r="D4" s="52" t="s">
        <v>36</v>
      </c>
      <c r="E4" s="52" t="s">
        <v>21</v>
      </c>
      <c r="F4" s="52" t="s">
        <v>22</v>
      </c>
      <c r="G4" s="52" t="s">
        <v>37</v>
      </c>
      <c r="H4" s="52" t="s">
        <v>12</v>
      </c>
    </row>
  </sheetData>
  <hyperlinks>
    <hyperlink ref="A1" location="'Table Of Contents'!A1" display="Return to ToC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1:H4"/>
  <sheetViews>
    <sheetView workbookViewId="0"/>
  </sheetViews>
  <sheetFormatPr defaultRowHeight="14.4" x14ac:dyDescent="0.3"/>
  <cols>
    <col min="1" max="1" width="8.77734375" bestFit="1" customWidth="1"/>
    <col min="2" max="2" width="5.88671875" bestFit="1" customWidth="1"/>
    <col min="3" max="3" width="7.6640625" bestFit="1" customWidth="1"/>
    <col min="4" max="4" width="9.109375" bestFit="1" customWidth="1"/>
    <col min="5" max="5" width="8.77734375" bestFit="1" customWidth="1"/>
    <col min="6" max="6" width="10.21875" bestFit="1" customWidth="1"/>
    <col min="7" max="7" width="7.88671875" bestFit="1" customWidth="1"/>
    <col min="8" max="8" width="9.33203125" bestFit="1" customWidth="1"/>
    <col min="9" max="9" width="8" bestFit="1" customWidth="1"/>
  </cols>
  <sheetData>
    <row r="1" spans="1:8" ht="27" thickBot="1" x14ac:dyDescent="0.35">
      <c r="A1" s="8" t="s">
        <v>2</v>
      </c>
    </row>
    <row r="4" spans="1:8" x14ac:dyDescent="0.3">
      <c r="A4" s="52" t="s">
        <v>33</v>
      </c>
      <c r="B4" s="52" t="s">
        <v>34</v>
      </c>
      <c r="C4" s="52" t="s">
        <v>35</v>
      </c>
      <c r="D4" s="52" t="s">
        <v>36</v>
      </c>
      <c r="E4" s="52" t="s">
        <v>21</v>
      </c>
      <c r="F4" s="52" t="s">
        <v>22</v>
      </c>
      <c r="G4" s="52" t="s">
        <v>37</v>
      </c>
      <c r="H4" s="52" t="s">
        <v>12</v>
      </c>
    </row>
  </sheetData>
  <hyperlinks>
    <hyperlink ref="A1" location="'Table Of Contents'!A1" display="Return to ToC" xr:uid="{00000000-0004-0000-06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H4"/>
  <sheetViews>
    <sheetView workbookViewId="0"/>
  </sheetViews>
  <sheetFormatPr defaultRowHeight="14.4" x14ac:dyDescent="0.3"/>
  <cols>
    <col min="1" max="1" width="8.77734375" bestFit="1" customWidth="1"/>
    <col min="2" max="2" width="5.88671875" bestFit="1" customWidth="1"/>
    <col min="3" max="3" width="7.6640625" bestFit="1" customWidth="1"/>
    <col min="4" max="4" width="9.109375" bestFit="1" customWidth="1"/>
    <col min="5" max="5" width="8.77734375" bestFit="1" customWidth="1"/>
    <col min="6" max="6" width="10.21875" bestFit="1" customWidth="1"/>
    <col min="7" max="7" width="7.88671875" bestFit="1" customWidth="1"/>
    <col min="8" max="8" width="9.33203125" bestFit="1" customWidth="1"/>
    <col min="9" max="10" width="8" bestFit="1" customWidth="1"/>
  </cols>
  <sheetData>
    <row r="1" spans="1:8" ht="27" thickBot="1" x14ac:dyDescent="0.35">
      <c r="A1" s="8" t="s">
        <v>2</v>
      </c>
    </row>
    <row r="4" spans="1:8" x14ac:dyDescent="0.3">
      <c r="A4" s="52" t="s">
        <v>33</v>
      </c>
      <c r="B4" s="52" t="s">
        <v>34</v>
      </c>
      <c r="C4" s="52" t="s">
        <v>35</v>
      </c>
      <c r="D4" s="52" t="s">
        <v>36</v>
      </c>
      <c r="E4" s="52" t="s">
        <v>21</v>
      </c>
      <c r="F4" s="52" t="s">
        <v>22</v>
      </c>
      <c r="G4" s="52" t="s">
        <v>37</v>
      </c>
      <c r="H4" s="52" t="s">
        <v>12</v>
      </c>
    </row>
  </sheetData>
  <hyperlinks>
    <hyperlink ref="A1" location="'Table Of Contents'!A1" display="Return to ToC" xr:uid="{00000000-0004-0000-07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K24"/>
  <sheetViews>
    <sheetView workbookViewId="0"/>
  </sheetViews>
  <sheetFormatPr defaultRowHeight="14.4" x14ac:dyDescent="0.3"/>
  <cols>
    <col min="1" max="1" width="8.21875" bestFit="1" customWidth="1"/>
    <col min="2" max="2" width="15.33203125" bestFit="1" customWidth="1"/>
    <col min="3" max="3" width="4.88671875" bestFit="1" customWidth="1"/>
    <col min="4" max="4" width="7.88671875" bestFit="1" customWidth="1"/>
    <col min="5" max="5" width="9.33203125" bestFit="1" customWidth="1"/>
    <col min="6" max="6" width="14.109375" bestFit="1" customWidth="1"/>
    <col min="7" max="7" width="13.6640625" bestFit="1" customWidth="1"/>
    <col min="8" max="8" width="10" bestFit="1" customWidth="1"/>
    <col min="9" max="9" width="9.33203125" bestFit="1" customWidth="1"/>
    <col min="10" max="10" width="8.33203125" bestFit="1" customWidth="1"/>
    <col min="12" max="12" width="8" bestFit="1" customWidth="1"/>
  </cols>
  <sheetData>
    <row r="1" spans="1:11" ht="27" thickBot="1" x14ac:dyDescent="0.35">
      <c r="A1" s="8" t="s">
        <v>2</v>
      </c>
      <c r="B1" s="7"/>
      <c r="C1" s="7"/>
      <c r="D1" s="7"/>
      <c r="E1" s="7"/>
      <c r="F1" s="7"/>
      <c r="G1" s="7"/>
      <c r="H1" s="7"/>
      <c r="I1" s="7"/>
      <c r="J1" s="7"/>
      <c r="K1" s="7"/>
    </row>
    <row r="2" spans="1:11" ht="21" x14ac:dyDescent="0.3">
      <c r="A2" s="110"/>
      <c r="B2" s="134"/>
      <c r="C2" s="134"/>
      <c r="D2" s="134"/>
      <c r="E2" s="134"/>
      <c r="F2" s="134"/>
      <c r="G2" s="134"/>
      <c r="H2" s="134"/>
      <c r="I2" s="134"/>
      <c r="J2" s="134"/>
      <c r="K2" s="134"/>
    </row>
    <row r="3" spans="1:11" ht="6.75" customHeight="1" x14ac:dyDescent="0.3">
      <c r="A3" s="111"/>
      <c r="B3" s="7"/>
      <c r="C3" s="7"/>
      <c r="D3" s="7"/>
      <c r="E3" s="7"/>
      <c r="F3" s="7"/>
      <c r="G3" s="7"/>
      <c r="H3" s="7"/>
      <c r="I3" s="7"/>
      <c r="J3" s="7"/>
      <c r="K3" s="7"/>
    </row>
    <row r="4" spans="1:11" x14ac:dyDescent="0.3">
      <c r="A4" s="148" t="s">
        <v>38</v>
      </c>
      <c r="B4" s="53"/>
      <c r="C4" s="54" t="s">
        <v>39</v>
      </c>
      <c r="D4" s="54" t="s">
        <v>40</v>
      </c>
      <c r="E4" s="150" t="s">
        <v>41</v>
      </c>
      <c r="F4" s="151"/>
      <c r="G4" s="151"/>
      <c r="H4" s="152"/>
      <c r="I4" s="55" t="s">
        <v>35</v>
      </c>
      <c r="J4" s="56" t="s">
        <v>36</v>
      </c>
      <c r="K4" s="57" t="s">
        <v>42</v>
      </c>
    </row>
    <row r="5" spans="1:11" ht="27.75" customHeight="1" x14ac:dyDescent="0.3">
      <c r="A5" s="149"/>
      <c r="B5" s="58" t="s">
        <v>43</v>
      </c>
      <c r="C5" s="59" t="s">
        <v>44</v>
      </c>
      <c r="D5" s="59" t="s">
        <v>44</v>
      </c>
      <c r="E5" s="60" t="s">
        <v>45</v>
      </c>
      <c r="F5" s="61" t="s">
        <v>46</v>
      </c>
      <c r="G5" s="61" t="s">
        <v>47</v>
      </c>
      <c r="H5" s="62" t="s">
        <v>48</v>
      </c>
      <c r="I5" s="60" t="s">
        <v>44</v>
      </c>
      <c r="J5" s="61" t="s">
        <v>44</v>
      </c>
      <c r="K5" s="62" t="s">
        <v>49</v>
      </c>
    </row>
    <row r="6" spans="1:11" x14ac:dyDescent="0.3">
      <c r="A6" s="142" t="s">
        <v>5</v>
      </c>
      <c r="B6" s="53" t="s">
        <v>50</v>
      </c>
      <c r="C6" s="56"/>
      <c r="D6" s="56"/>
      <c r="E6" s="63"/>
      <c r="F6" s="64"/>
      <c r="G6" s="64"/>
      <c r="H6" s="65"/>
      <c r="I6" s="63"/>
      <c r="J6" s="64"/>
      <c r="K6" s="65"/>
    </row>
    <row r="7" spans="1:11" x14ac:dyDescent="0.3">
      <c r="A7" s="143"/>
      <c r="B7" s="58" t="s">
        <v>51</v>
      </c>
      <c r="C7" s="61"/>
      <c r="D7" s="61"/>
      <c r="E7" s="66"/>
      <c r="F7" s="67"/>
      <c r="G7" s="67"/>
      <c r="H7" s="68"/>
      <c r="I7" s="66"/>
      <c r="J7" s="67"/>
      <c r="K7" s="68"/>
    </row>
    <row r="8" spans="1:11" x14ac:dyDescent="0.3">
      <c r="A8" s="143"/>
      <c r="B8" s="58" t="s">
        <v>52</v>
      </c>
      <c r="C8" s="61"/>
      <c r="D8" s="61"/>
      <c r="E8" s="66"/>
      <c r="F8" s="67"/>
      <c r="G8" s="67"/>
      <c r="H8" s="68"/>
      <c r="I8" s="66"/>
      <c r="J8" s="67"/>
      <c r="K8" s="68"/>
    </row>
    <row r="9" spans="1:11" x14ac:dyDescent="0.3">
      <c r="A9" s="144"/>
      <c r="B9" s="69" t="s">
        <v>44</v>
      </c>
      <c r="C9" s="70"/>
      <c r="D9" s="70"/>
      <c r="E9" s="71"/>
      <c r="F9" s="72"/>
      <c r="G9" s="72"/>
      <c r="H9" s="73"/>
      <c r="I9" s="71"/>
      <c r="J9" s="72"/>
      <c r="K9" s="73"/>
    </row>
    <row r="10" spans="1:11" x14ac:dyDescent="0.3">
      <c r="A10" s="58"/>
      <c r="B10" s="58"/>
      <c r="C10" s="7"/>
      <c r="D10" s="7"/>
      <c r="E10" s="66"/>
      <c r="F10" s="67"/>
      <c r="G10" s="67"/>
      <c r="H10" s="68"/>
      <c r="I10" s="66"/>
      <c r="J10" s="67"/>
      <c r="K10" s="68"/>
    </row>
    <row r="11" spans="1:11" x14ac:dyDescent="0.3">
      <c r="A11" s="142" t="s">
        <v>6</v>
      </c>
      <c r="B11" s="53" t="s">
        <v>50</v>
      </c>
      <c r="C11" s="56"/>
      <c r="D11" s="56"/>
      <c r="E11" s="63"/>
      <c r="F11" s="64"/>
      <c r="G11" s="64"/>
      <c r="H11" s="65"/>
      <c r="I11" s="63"/>
      <c r="J11" s="64"/>
      <c r="K11" s="65"/>
    </row>
    <row r="12" spans="1:11" x14ac:dyDescent="0.3">
      <c r="A12" s="143"/>
      <c r="B12" s="58" t="s">
        <v>51</v>
      </c>
      <c r="C12" s="61"/>
      <c r="D12" s="61"/>
      <c r="E12" s="66"/>
      <c r="F12" s="67"/>
      <c r="G12" s="67"/>
      <c r="H12" s="68"/>
      <c r="I12" s="66"/>
      <c r="J12" s="67"/>
      <c r="K12" s="68"/>
    </row>
    <row r="13" spans="1:11" x14ac:dyDescent="0.3">
      <c r="A13" s="143"/>
      <c r="B13" s="58" t="s">
        <v>52</v>
      </c>
      <c r="C13" s="61"/>
      <c r="D13" s="61"/>
      <c r="E13" s="66"/>
      <c r="F13" s="67"/>
      <c r="G13" s="67"/>
      <c r="H13" s="68"/>
      <c r="I13" s="66"/>
      <c r="J13" s="67"/>
      <c r="K13" s="68"/>
    </row>
    <row r="14" spans="1:11" x14ac:dyDescent="0.3">
      <c r="A14" s="144"/>
      <c r="B14" s="69" t="s">
        <v>44</v>
      </c>
      <c r="C14" s="70"/>
      <c r="D14" s="70"/>
      <c r="E14" s="71"/>
      <c r="F14" s="72"/>
      <c r="G14" s="72"/>
      <c r="H14" s="73"/>
      <c r="I14" s="71"/>
      <c r="J14" s="72"/>
      <c r="K14" s="73"/>
    </row>
    <row r="15" spans="1:11" x14ac:dyDescent="0.3">
      <c r="A15" s="58"/>
      <c r="B15" s="58"/>
      <c r="C15" s="7"/>
      <c r="D15" s="7"/>
      <c r="E15" s="60"/>
      <c r="F15" s="61"/>
      <c r="G15" s="61"/>
      <c r="H15" s="62"/>
      <c r="I15" s="60"/>
      <c r="J15" s="61"/>
      <c r="K15" s="62"/>
    </row>
    <row r="16" spans="1:11" x14ac:dyDescent="0.3">
      <c r="A16" s="142" t="s">
        <v>7</v>
      </c>
      <c r="B16" s="53" t="s">
        <v>50</v>
      </c>
      <c r="C16" s="56"/>
      <c r="D16" s="56"/>
      <c r="E16" s="63"/>
      <c r="F16" s="64"/>
      <c r="G16" s="64"/>
      <c r="H16" s="65"/>
      <c r="I16" s="63"/>
      <c r="J16" s="64"/>
      <c r="K16" s="65"/>
    </row>
    <row r="17" spans="1:11" x14ac:dyDescent="0.3">
      <c r="A17" s="143"/>
      <c r="B17" s="58" t="s">
        <v>51</v>
      </c>
      <c r="C17" s="61"/>
      <c r="D17" s="61"/>
      <c r="E17" s="66"/>
      <c r="F17" s="67"/>
      <c r="G17" s="67"/>
      <c r="H17" s="68"/>
      <c r="I17" s="66"/>
      <c r="J17" s="67"/>
      <c r="K17" s="68"/>
    </row>
    <row r="18" spans="1:11" x14ac:dyDescent="0.3">
      <c r="A18" s="143"/>
      <c r="B18" s="58" t="s">
        <v>52</v>
      </c>
      <c r="C18" s="61"/>
      <c r="D18" s="61"/>
      <c r="E18" s="66"/>
      <c r="F18" s="67"/>
      <c r="G18" s="67"/>
      <c r="H18" s="68"/>
      <c r="I18" s="66"/>
      <c r="J18" s="67"/>
      <c r="K18" s="68"/>
    </row>
    <row r="19" spans="1:11" x14ac:dyDescent="0.3">
      <c r="A19" s="144"/>
      <c r="B19" s="69" t="s">
        <v>44</v>
      </c>
      <c r="C19" s="70"/>
      <c r="D19" s="70"/>
      <c r="E19" s="71"/>
      <c r="F19" s="72"/>
      <c r="G19" s="72"/>
      <c r="H19" s="73"/>
      <c r="I19" s="71"/>
      <c r="J19" s="72"/>
      <c r="K19" s="73"/>
    </row>
    <row r="20" spans="1:11" x14ac:dyDescent="0.3">
      <c r="A20" s="58"/>
      <c r="B20" s="58"/>
      <c r="C20" s="7"/>
      <c r="D20" s="7"/>
      <c r="E20" s="60"/>
      <c r="F20" s="61"/>
      <c r="G20" s="61"/>
      <c r="H20" s="62"/>
      <c r="I20" s="60"/>
      <c r="J20" s="61"/>
      <c r="K20" s="62"/>
    </row>
    <row r="21" spans="1:11" ht="14.25" customHeight="1" x14ac:dyDescent="0.3">
      <c r="A21" s="145" t="s">
        <v>53</v>
      </c>
      <c r="B21" s="53" t="s">
        <v>50</v>
      </c>
      <c r="C21" s="56"/>
      <c r="D21" s="56"/>
      <c r="E21" s="63"/>
      <c r="F21" s="64"/>
      <c r="G21" s="64"/>
      <c r="H21" s="65"/>
      <c r="I21" s="63"/>
      <c r="J21" s="64"/>
      <c r="K21" s="65"/>
    </row>
    <row r="22" spans="1:11" x14ac:dyDescent="0.3">
      <c r="A22" s="146"/>
      <c r="B22" s="58" t="s">
        <v>51</v>
      </c>
      <c r="C22" s="61"/>
      <c r="D22" s="61"/>
      <c r="E22" s="66"/>
      <c r="F22" s="67"/>
      <c r="G22" s="67"/>
      <c r="H22" s="68"/>
      <c r="I22" s="66"/>
      <c r="J22" s="67"/>
      <c r="K22" s="68"/>
    </row>
    <row r="23" spans="1:11" x14ac:dyDescent="0.3">
      <c r="A23" s="146"/>
      <c r="B23" s="58" t="s">
        <v>52</v>
      </c>
      <c r="C23" s="61"/>
      <c r="D23" s="61"/>
      <c r="E23" s="66"/>
      <c r="F23" s="67"/>
      <c r="G23" s="67"/>
      <c r="H23" s="68"/>
      <c r="I23" s="66"/>
      <c r="J23" s="67"/>
      <c r="K23" s="68"/>
    </row>
    <row r="24" spans="1:11" x14ac:dyDescent="0.3">
      <c r="A24" s="147"/>
      <c r="B24" s="69" t="s">
        <v>44</v>
      </c>
      <c r="C24" s="70"/>
      <c r="D24" s="70"/>
      <c r="E24" s="71"/>
      <c r="F24" s="72"/>
      <c r="G24" s="72"/>
      <c r="H24" s="73"/>
      <c r="I24" s="71"/>
      <c r="J24" s="72"/>
      <c r="K24" s="73"/>
    </row>
  </sheetData>
  <mergeCells count="7">
    <mergeCell ref="A16:A19"/>
    <mergeCell ref="A21:A24"/>
    <mergeCell ref="B2:K2"/>
    <mergeCell ref="A4:A5"/>
    <mergeCell ref="E4:H4"/>
    <mergeCell ref="A6:A9"/>
    <mergeCell ref="A11:A14"/>
  </mergeCells>
  <hyperlinks>
    <hyperlink ref="A1" location="'Table Of Contents'!A1" display="Return to ToC" xr:uid="{00000000-0004-0000-0800-000000000000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K24"/>
  <sheetViews>
    <sheetView zoomScaleNormal="100" workbookViewId="0">
      <pane xSplit="1" ySplit="5" topLeftCell="B6" activePane="bottomRight" state="frozen"/>
      <selection activeCell="D14" sqref="D14"/>
      <selection pane="topRight" activeCell="D14" sqref="D14"/>
      <selection pane="bottomLeft" activeCell="D14" sqref="D14"/>
      <selection pane="bottomRight"/>
    </sheetView>
  </sheetViews>
  <sheetFormatPr defaultColWidth="9" defaultRowHeight="14.4" x14ac:dyDescent="0.3"/>
  <cols>
    <col min="1" max="1" width="8.21875" style="7" bestFit="1" customWidth="1"/>
    <col min="2" max="2" width="15.33203125" style="7" bestFit="1" customWidth="1"/>
    <col min="3" max="3" width="9.33203125" style="7" bestFit="1" customWidth="1"/>
    <col min="4" max="4" width="14.109375" style="7" bestFit="1" customWidth="1"/>
    <col min="5" max="5" width="13.6640625" style="7" bestFit="1" customWidth="1"/>
    <col min="6" max="6" width="10" style="7" bestFit="1" customWidth="1"/>
    <col min="7" max="7" width="9.33203125" style="7" bestFit="1" customWidth="1"/>
    <col min="8" max="8" width="8.33203125" style="7" bestFit="1" customWidth="1"/>
    <col min="9" max="9" width="9" style="7" bestFit="1" customWidth="1"/>
    <col min="10" max="10" width="8" style="7" bestFit="1" customWidth="1"/>
    <col min="11" max="16384" width="9" style="7"/>
  </cols>
  <sheetData>
    <row r="1" spans="1:11" customFormat="1" ht="27" thickBot="1" x14ac:dyDescent="0.35">
      <c r="A1" s="8" t="s">
        <v>2</v>
      </c>
      <c r="B1" s="7"/>
      <c r="C1" s="7"/>
      <c r="D1" s="7"/>
      <c r="E1" s="7"/>
      <c r="F1" s="7"/>
      <c r="G1" s="7"/>
      <c r="H1" s="7"/>
      <c r="I1" s="7"/>
      <c r="J1" s="7"/>
      <c r="K1" s="7"/>
    </row>
    <row r="2" spans="1:11" customFormat="1" ht="21" x14ac:dyDescent="0.3">
      <c r="A2" s="9"/>
      <c r="B2" s="134"/>
      <c r="C2" s="134"/>
      <c r="D2" s="134"/>
      <c r="E2" s="134"/>
      <c r="F2" s="134"/>
      <c r="G2" s="134"/>
      <c r="H2" s="134"/>
      <c r="I2" s="134"/>
      <c r="J2" s="7"/>
      <c r="K2" s="9"/>
    </row>
    <row r="3" spans="1:11" customFormat="1" ht="6.75" customHeight="1" x14ac:dyDescent="0.3">
      <c r="A3" s="74"/>
      <c r="B3" s="7"/>
      <c r="C3" s="7"/>
      <c r="D3" s="7"/>
      <c r="E3" s="7"/>
      <c r="F3" s="7"/>
      <c r="G3" s="7"/>
      <c r="H3" s="7"/>
      <c r="I3" s="7"/>
      <c r="J3" s="7"/>
      <c r="K3" s="7"/>
    </row>
    <row r="4" spans="1:11" x14ac:dyDescent="0.3">
      <c r="A4" s="148" t="s">
        <v>38</v>
      </c>
      <c r="B4" s="53"/>
      <c r="C4" s="150" t="s">
        <v>41</v>
      </c>
      <c r="D4" s="151"/>
      <c r="E4" s="151"/>
      <c r="F4" s="151"/>
      <c r="G4" s="55" t="s">
        <v>35</v>
      </c>
      <c r="H4" s="56" t="s">
        <v>36</v>
      </c>
      <c r="I4" s="57" t="s">
        <v>42</v>
      </c>
    </row>
    <row r="5" spans="1:11" ht="30" customHeight="1" x14ac:dyDescent="0.3">
      <c r="A5" s="149"/>
      <c r="B5" s="58" t="s">
        <v>43</v>
      </c>
      <c r="C5" s="60" t="s">
        <v>45</v>
      </c>
      <c r="D5" s="61" t="s">
        <v>46</v>
      </c>
      <c r="E5" s="61" t="s">
        <v>47</v>
      </c>
      <c r="F5" s="61" t="s">
        <v>48</v>
      </c>
      <c r="G5" s="60" t="s">
        <v>44</v>
      </c>
      <c r="H5" s="61" t="s">
        <v>44</v>
      </c>
      <c r="I5" s="62" t="s">
        <v>49</v>
      </c>
    </row>
    <row r="6" spans="1:11" x14ac:dyDescent="0.3">
      <c r="A6" s="142" t="s">
        <v>5</v>
      </c>
      <c r="B6" s="53" t="s">
        <v>50</v>
      </c>
      <c r="C6" s="64"/>
      <c r="D6" s="64"/>
      <c r="E6" s="64"/>
      <c r="F6" s="64"/>
      <c r="G6" s="63"/>
      <c r="H6" s="64"/>
      <c r="I6" s="65"/>
    </row>
    <row r="7" spans="1:11" x14ac:dyDescent="0.3">
      <c r="A7" s="143"/>
      <c r="B7" s="58" t="s">
        <v>51</v>
      </c>
      <c r="C7" s="67"/>
      <c r="D7" s="67"/>
      <c r="E7" s="67"/>
      <c r="F7" s="67"/>
      <c r="G7" s="66"/>
      <c r="H7" s="67"/>
      <c r="I7" s="68"/>
    </row>
    <row r="8" spans="1:11" x14ac:dyDescent="0.3">
      <c r="A8" s="143"/>
      <c r="B8" s="58" t="s">
        <v>52</v>
      </c>
      <c r="C8" s="67"/>
      <c r="D8" s="67"/>
      <c r="E8" s="67"/>
      <c r="F8" s="67"/>
      <c r="G8" s="66"/>
      <c r="H8" s="67"/>
      <c r="I8" s="68"/>
    </row>
    <row r="9" spans="1:11" x14ac:dyDescent="0.3">
      <c r="A9" s="144"/>
      <c r="B9" s="69" t="s">
        <v>44</v>
      </c>
      <c r="C9" s="70"/>
      <c r="D9" s="70"/>
      <c r="E9" s="70"/>
      <c r="F9" s="70"/>
      <c r="G9" s="75"/>
      <c r="H9" s="70"/>
      <c r="I9" s="73"/>
    </row>
    <row r="10" spans="1:11" x14ac:dyDescent="0.3">
      <c r="A10" s="58"/>
      <c r="B10" s="58"/>
      <c r="C10" s="66"/>
      <c r="D10" s="67"/>
      <c r="E10" s="67"/>
      <c r="F10" s="67"/>
      <c r="G10" s="66"/>
      <c r="H10" s="67"/>
      <c r="I10" s="68"/>
    </row>
    <row r="11" spans="1:11" x14ac:dyDescent="0.3">
      <c r="A11" s="142" t="s">
        <v>6</v>
      </c>
      <c r="B11" s="53" t="s">
        <v>50</v>
      </c>
      <c r="C11" s="63"/>
      <c r="D11" s="64"/>
      <c r="E11" s="64"/>
      <c r="F11" s="64"/>
      <c r="G11" s="63"/>
      <c r="H11" s="64"/>
      <c r="I11" s="65"/>
    </row>
    <row r="12" spans="1:11" x14ac:dyDescent="0.3">
      <c r="A12" s="143"/>
      <c r="B12" s="58" t="s">
        <v>51</v>
      </c>
      <c r="C12" s="66"/>
      <c r="D12" s="67"/>
      <c r="E12" s="67"/>
      <c r="F12" s="67"/>
      <c r="G12" s="66"/>
      <c r="H12" s="67"/>
      <c r="I12" s="68"/>
    </row>
    <row r="13" spans="1:11" x14ac:dyDescent="0.3">
      <c r="A13" s="143"/>
      <c r="B13" s="58" t="s">
        <v>52</v>
      </c>
      <c r="C13" s="66"/>
      <c r="D13" s="67"/>
      <c r="E13" s="67"/>
      <c r="F13" s="67"/>
      <c r="G13" s="66"/>
      <c r="H13" s="67"/>
      <c r="I13" s="68"/>
    </row>
    <row r="14" spans="1:11" x14ac:dyDescent="0.3">
      <c r="A14" s="144"/>
      <c r="B14" s="69" t="s">
        <v>44</v>
      </c>
      <c r="C14" s="71"/>
      <c r="D14" s="72"/>
      <c r="E14" s="72"/>
      <c r="F14" s="72"/>
      <c r="G14" s="71"/>
      <c r="H14" s="72"/>
      <c r="I14" s="73"/>
    </row>
    <row r="15" spans="1:11" x14ac:dyDescent="0.3">
      <c r="A15" s="58"/>
      <c r="B15" s="58"/>
      <c r="C15" s="60"/>
      <c r="D15" s="61"/>
      <c r="E15" s="61"/>
      <c r="F15" s="61"/>
      <c r="G15" s="60"/>
      <c r="H15" s="61"/>
      <c r="I15" s="62"/>
    </row>
    <row r="16" spans="1:11" x14ac:dyDescent="0.3">
      <c r="A16" s="142" t="s">
        <v>7</v>
      </c>
      <c r="B16" s="53" t="s">
        <v>50</v>
      </c>
      <c r="C16" s="63"/>
      <c r="D16" s="64"/>
      <c r="E16" s="64"/>
      <c r="F16" s="64"/>
      <c r="G16" s="63"/>
      <c r="H16" s="64"/>
      <c r="I16" s="65"/>
    </row>
    <row r="17" spans="1:9" x14ac:dyDescent="0.3">
      <c r="A17" s="143"/>
      <c r="B17" s="58" t="s">
        <v>51</v>
      </c>
      <c r="C17" s="66"/>
      <c r="D17" s="67"/>
      <c r="E17" s="67"/>
      <c r="F17" s="67"/>
      <c r="G17" s="66"/>
      <c r="H17" s="67"/>
      <c r="I17" s="68"/>
    </row>
    <row r="18" spans="1:9" x14ac:dyDescent="0.3">
      <c r="A18" s="143"/>
      <c r="B18" s="58" t="s">
        <v>52</v>
      </c>
      <c r="C18" s="66"/>
      <c r="D18" s="67"/>
      <c r="E18" s="67"/>
      <c r="F18" s="67"/>
      <c r="G18" s="66"/>
      <c r="H18" s="67"/>
      <c r="I18" s="68"/>
    </row>
    <row r="19" spans="1:9" x14ac:dyDescent="0.3">
      <c r="A19" s="144"/>
      <c r="B19" s="69" t="s">
        <v>44</v>
      </c>
      <c r="C19" s="71"/>
      <c r="D19" s="72"/>
      <c r="E19" s="72"/>
      <c r="F19" s="72"/>
      <c r="G19" s="71"/>
      <c r="H19" s="72"/>
      <c r="I19" s="73"/>
    </row>
    <row r="20" spans="1:9" x14ac:dyDescent="0.3">
      <c r="A20" s="58"/>
      <c r="B20" s="58"/>
      <c r="C20" s="60"/>
      <c r="D20" s="61"/>
      <c r="E20" s="61"/>
      <c r="F20" s="61"/>
      <c r="G20" s="60"/>
      <c r="H20" s="61"/>
      <c r="I20" s="62"/>
    </row>
    <row r="21" spans="1:9" x14ac:dyDescent="0.3">
      <c r="A21" s="145" t="s">
        <v>53</v>
      </c>
      <c r="B21" s="53" t="s">
        <v>50</v>
      </c>
      <c r="C21" s="63"/>
      <c r="D21" s="64"/>
      <c r="E21" s="64"/>
      <c r="F21" s="64"/>
      <c r="G21" s="63"/>
      <c r="H21" s="64"/>
      <c r="I21" s="65"/>
    </row>
    <row r="22" spans="1:9" x14ac:dyDescent="0.3">
      <c r="A22" s="146"/>
      <c r="B22" s="58" t="s">
        <v>51</v>
      </c>
      <c r="C22" s="66"/>
      <c r="D22" s="67"/>
      <c r="E22" s="67"/>
      <c r="F22" s="67"/>
      <c r="G22" s="66"/>
      <c r="H22" s="67"/>
      <c r="I22" s="68"/>
    </row>
    <row r="23" spans="1:9" x14ac:dyDescent="0.3">
      <c r="A23" s="146"/>
      <c r="B23" s="58" t="s">
        <v>52</v>
      </c>
      <c r="C23" s="66"/>
      <c r="D23" s="67"/>
      <c r="E23" s="67"/>
      <c r="F23" s="67"/>
      <c r="G23" s="66"/>
      <c r="H23" s="67"/>
      <c r="I23" s="68"/>
    </row>
    <row r="24" spans="1:9" x14ac:dyDescent="0.3">
      <c r="A24" s="147"/>
      <c r="B24" s="69" t="s">
        <v>44</v>
      </c>
      <c r="C24" s="71"/>
      <c r="D24" s="72"/>
      <c r="E24" s="72"/>
      <c r="F24" s="72"/>
      <c r="G24" s="71"/>
      <c r="H24" s="72"/>
      <c r="I24" s="73"/>
    </row>
  </sheetData>
  <mergeCells count="7">
    <mergeCell ref="A21:A24"/>
    <mergeCell ref="B2:I2"/>
    <mergeCell ref="A4:A5"/>
    <mergeCell ref="C4:F4"/>
    <mergeCell ref="A6:A9"/>
    <mergeCell ref="A11:A14"/>
    <mergeCell ref="A16:A19"/>
  </mergeCells>
  <hyperlinks>
    <hyperlink ref="A1" location="'Table Of Contents'!A1" display="Return to ToC" xr:uid="{00000000-0004-0000-0900-000000000000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T683"/>
  <sheetViews>
    <sheetView workbookViewId="0">
      <pane xSplit="2" ySplit="5" topLeftCell="C670" activePane="bottomRight" state="frozen"/>
      <selection activeCell="D14" sqref="D14"/>
      <selection pane="topRight" activeCell="D14" sqref="D14"/>
      <selection pane="bottomLeft" activeCell="D14" sqref="D14"/>
      <selection pane="bottomRight"/>
    </sheetView>
  </sheetViews>
  <sheetFormatPr defaultColWidth="9" defaultRowHeight="14.4" x14ac:dyDescent="0.3"/>
  <cols>
    <col min="1" max="1" width="8" style="61" bestFit="1" customWidth="1"/>
    <col min="2" max="2" width="3" style="61" bestFit="1" customWidth="1"/>
    <col min="3" max="3" width="7.88671875" style="61" bestFit="1" customWidth="1"/>
    <col min="4" max="4" width="9.77734375" style="61" bestFit="1" customWidth="1"/>
    <col min="5" max="7" width="7.88671875" style="61" bestFit="1" customWidth="1"/>
    <col min="8" max="8" width="9" style="79"/>
    <col min="9" max="9" width="7.88671875" style="61" bestFit="1" customWidth="1"/>
    <col min="10" max="10" width="9.77734375" style="61" bestFit="1" customWidth="1"/>
    <col min="11" max="13" width="7.88671875" style="61" bestFit="1" customWidth="1"/>
    <col min="14" max="14" width="8" style="61" bestFit="1" customWidth="1"/>
    <col min="15" max="16384" width="9" style="61"/>
  </cols>
  <sheetData>
    <row r="1" spans="1:20" ht="27" thickBot="1" x14ac:dyDescent="0.35">
      <c r="A1" s="8" t="s">
        <v>2</v>
      </c>
      <c r="H1" s="61"/>
      <c r="I1" s="76"/>
    </row>
    <row r="2" spans="1:20" ht="21" x14ac:dyDescent="0.3">
      <c r="A2" s="112"/>
      <c r="B2" s="112"/>
      <c r="C2" s="112"/>
      <c r="D2" s="112"/>
      <c r="E2" s="112"/>
      <c r="F2" s="112"/>
      <c r="G2" s="112"/>
      <c r="H2" s="77"/>
      <c r="I2" s="154"/>
      <c r="J2" s="154"/>
      <c r="K2" s="154"/>
      <c r="L2" s="154"/>
      <c r="M2" s="154"/>
      <c r="O2" s="77"/>
    </row>
    <row r="3" spans="1:20" ht="6.75" customHeight="1" x14ac:dyDescent="0.3">
      <c r="A3" s="78"/>
      <c r="H3" s="61"/>
      <c r="I3" s="78"/>
    </row>
    <row r="4" spans="1:20" ht="28.8" x14ac:dyDescent="0.3">
      <c r="A4" s="155" t="s">
        <v>54</v>
      </c>
      <c r="B4" s="152" t="s">
        <v>55</v>
      </c>
      <c r="C4" s="158" t="s">
        <v>56</v>
      </c>
      <c r="D4" s="160" t="s">
        <v>57</v>
      </c>
      <c r="E4" s="160" t="s">
        <v>58</v>
      </c>
      <c r="F4" s="160" t="s">
        <v>59</v>
      </c>
      <c r="G4" s="162" t="s">
        <v>60</v>
      </c>
      <c r="I4" s="80" t="s">
        <v>56</v>
      </c>
      <c r="J4" s="81" t="s">
        <v>57</v>
      </c>
      <c r="K4" s="81" t="s">
        <v>58</v>
      </c>
      <c r="L4" s="81" t="s">
        <v>59</v>
      </c>
      <c r="M4" s="82" t="s">
        <v>60</v>
      </c>
    </row>
    <row r="5" spans="1:20" x14ac:dyDescent="0.3">
      <c r="A5" s="156"/>
      <c r="B5" s="157"/>
      <c r="C5" s="159"/>
      <c r="D5" s="161"/>
      <c r="E5" s="161"/>
      <c r="F5" s="161"/>
      <c r="G5" s="157"/>
      <c r="I5" s="83" t="s">
        <v>61</v>
      </c>
      <c r="J5" s="84" t="s">
        <v>61</v>
      </c>
      <c r="K5" s="84" t="s">
        <v>61</v>
      </c>
      <c r="L5" s="84" t="s">
        <v>61</v>
      </c>
      <c r="M5" s="85" t="s">
        <v>61</v>
      </c>
      <c r="O5" s="61" t="s">
        <v>54</v>
      </c>
      <c r="P5" s="61" t="s">
        <v>55</v>
      </c>
      <c r="S5" s="110" t="s">
        <v>148</v>
      </c>
      <c r="T5" s="110" t="s">
        <v>149</v>
      </c>
    </row>
    <row r="6" spans="1:20" x14ac:dyDescent="0.3">
      <c r="A6" s="61">
        <v>1</v>
      </c>
      <c r="B6" s="61">
        <v>1</v>
      </c>
      <c r="C6" s="60"/>
      <c r="G6" s="62"/>
      <c r="I6" s="86" t="e">
        <f>C6/SUM($C6:$G6)</f>
        <v>#DIV/0!</v>
      </c>
      <c r="J6" s="87" t="e">
        <f t="shared" ref="J6:M21" si="0">D6/SUM($C6:$G6)</f>
        <v>#DIV/0!</v>
      </c>
      <c r="K6" s="87" t="e">
        <f t="shared" si="0"/>
        <v>#DIV/0!</v>
      </c>
      <c r="L6" s="87" t="e">
        <f t="shared" si="0"/>
        <v>#DIV/0!</v>
      </c>
      <c r="M6" s="88" t="e">
        <f t="shared" si="0"/>
        <v>#DIV/0!</v>
      </c>
      <c r="O6" s="61" t="str">
        <f t="shared" ref="O6:O69" si="1">VLOOKUP(A6,$S$6:$T$31,2,0)</f>
        <v>נהריה</v>
      </c>
      <c r="P6" s="61" t="str">
        <f t="shared" ref="P6:P69" si="2">VLOOKUP(B6,$S$6:$T$31,2,0)</f>
        <v>נהריה</v>
      </c>
      <c r="S6" s="110">
        <v>1</v>
      </c>
      <c r="T6" s="110" t="s">
        <v>150</v>
      </c>
    </row>
    <row r="7" spans="1:20" x14ac:dyDescent="0.3">
      <c r="A7" s="61">
        <v>1</v>
      </c>
      <c r="B7" s="61">
        <v>2</v>
      </c>
      <c r="C7" s="60"/>
      <c r="G7" s="62"/>
      <c r="I7" s="86" t="e">
        <f t="shared" ref="I7:M69" si="3">C7/SUM($C7:$G7)</f>
        <v>#DIV/0!</v>
      </c>
      <c r="J7" s="87" t="e">
        <f t="shared" si="0"/>
        <v>#DIV/0!</v>
      </c>
      <c r="K7" s="87" t="e">
        <f t="shared" si="0"/>
        <v>#DIV/0!</v>
      </c>
      <c r="L7" s="87" t="e">
        <f t="shared" si="0"/>
        <v>#DIV/0!</v>
      </c>
      <c r="M7" s="88" t="e">
        <f t="shared" si="0"/>
        <v>#DIV/0!</v>
      </c>
      <c r="O7" s="61" t="str">
        <f t="shared" si="1"/>
        <v>נהריה</v>
      </c>
      <c r="P7" s="61" t="str">
        <f t="shared" si="2"/>
        <v>עכו</v>
      </c>
      <c r="S7" s="110">
        <v>2</v>
      </c>
      <c r="T7" s="110" t="s">
        <v>151</v>
      </c>
    </row>
    <row r="8" spans="1:20" x14ac:dyDescent="0.3">
      <c r="A8" s="61">
        <v>1</v>
      </c>
      <c r="B8" s="61">
        <v>3</v>
      </c>
      <c r="C8" s="60"/>
      <c r="G8" s="62"/>
      <c r="I8" s="86" t="e">
        <f t="shared" si="3"/>
        <v>#DIV/0!</v>
      </c>
      <c r="J8" s="87" t="e">
        <f t="shared" si="0"/>
        <v>#DIV/0!</v>
      </c>
      <c r="K8" s="87" t="e">
        <f t="shared" si="0"/>
        <v>#DIV/0!</v>
      </c>
      <c r="L8" s="87" t="e">
        <f t="shared" si="0"/>
        <v>#DIV/0!</v>
      </c>
      <c r="M8" s="88" t="e">
        <f t="shared" si="0"/>
        <v>#DIV/0!</v>
      </c>
      <c r="O8" s="61" t="str">
        <f t="shared" si="1"/>
        <v>נהריה</v>
      </c>
      <c r="P8" s="61" t="str">
        <f t="shared" si="2"/>
        <v>כרמיאל</v>
      </c>
      <c r="S8" s="110">
        <v>3</v>
      </c>
      <c r="T8" s="110" t="s">
        <v>152</v>
      </c>
    </row>
    <row r="9" spans="1:20" x14ac:dyDescent="0.3">
      <c r="A9" s="61">
        <v>1</v>
      </c>
      <c r="B9" s="61">
        <v>4</v>
      </c>
      <c r="C9" s="60"/>
      <c r="G9" s="62"/>
      <c r="I9" s="86" t="e">
        <f t="shared" si="3"/>
        <v>#DIV/0!</v>
      </c>
      <c r="J9" s="87" t="e">
        <f t="shared" si="0"/>
        <v>#DIV/0!</v>
      </c>
      <c r="K9" s="87" t="e">
        <f t="shared" si="0"/>
        <v>#DIV/0!</v>
      </c>
      <c r="L9" s="87" t="e">
        <f t="shared" si="0"/>
        <v>#DIV/0!</v>
      </c>
      <c r="M9" s="88" t="e">
        <f t="shared" si="0"/>
        <v>#DIV/0!</v>
      </c>
      <c r="O9" s="61" t="str">
        <f t="shared" si="1"/>
        <v>נהריה</v>
      </c>
      <c r="P9" s="61" t="str">
        <f t="shared" si="2"/>
        <v>שפרעם</v>
      </c>
      <c r="S9" s="110">
        <v>4</v>
      </c>
      <c r="T9" s="110" t="s">
        <v>153</v>
      </c>
    </row>
    <row r="10" spans="1:20" x14ac:dyDescent="0.3">
      <c r="A10" s="61">
        <v>1</v>
      </c>
      <c r="B10" s="61">
        <v>5</v>
      </c>
      <c r="C10" s="60"/>
      <c r="G10" s="62"/>
      <c r="I10" s="86" t="e">
        <f t="shared" si="3"/>
        <v>#DIV/0!</v>
      </c>
      <c r="J10" s="87" t="e">
        <f t="shared" si="0"/>
        <v>#DIV/0!</v>
      </c>
      <c r="K10" s="87" t="e">
        <f t="shared" si="0"/>
        <v>#DIV/0!</v>
      </c>
      <c r="L10" s="87" t="e">
        <f t="shared" si="0"/>
        <v>#DIV/0!</v>
      </c>
      <c r="M10" s="88" t="e">
        <f t="shared" si="0"/>
        <v>#DIV/0!</v>
      </c>
      <c r="O10" s="61" t="str">
        <f t="shared" si="1"/>
        <v>נהריה</v>
      </c>
      <c r="P10" s="61" t="str">
        <f t="shared" si="2"/>
        <v>קרית ים</v>
      </c>
      <c r="S10" s="110">
        <v>5</v>
      </c>
      <c r="T10" s="110" t="s">
        <v>154</v>
      </c>
    </row>
    <row r="11" spans="1:20" x14ac:dyDescent="0.3">
      <c r="A11" s="61">
        <v>1</v>
      </c>
      <c r="B11" s="61">
        <v>6</v>
      </c>
      <c r="C11" s="60"/>
      <c r="G11" s="62"/>
      <c r="I11" s="86" t="e">
        <f t="shared" si="3"/>
        <v>#DIV/0!</v>
      </c>
      <c r="J11" s="87" t="e">
        <f t="shared" si="0"/>
        <v>#DIV/0!</v>
      </c>
      <c r="K11" s="87" t="e">
        <f t="shared" si="0"/>
        <v>#DIV/0!</v>
      </c>
      <c r="L11" s="87" t="e">
        <f t="shared" si="0"/>
        <v>#DIV/0!</v>
      </c>
      <c r="M11" s="88" t="e">
        <f t="shared" si="0"/>
        <v>#DIV/0!</v>
      </c>
      <c r="O11" s="61" t="str">
        <f t="shared" si="1"/>
        <v>נהריה</v>
      </c>
      <c r="P11" s="61" t="str">
        <f t="shared" si="2"/>
        <v>קרית מוצקין</v>
      </c>
      <c r="S11" s="110">
        <v>6</v>
      </c>
      <c r="T11" s="110" t="s">
        <v>155</v>
      </c>
    </row>
    <row r="12" spans="1:20" x14ac:dyDescent="0.3">
      <c r="A12" s="61">
        <v>1</v>
      </c>
      <c r="B12" s="61">
        <v>7</v>
      </c>
      <c r="C12" s="60"/>
      <c r="G12" s="62"/>
      <c r="I12" s="86" t="e">
        <f t="shared" si="3"/>
        <v>#DIV/0!</v>
      </c>
      <c r="J12" s="87" t="e">
        <f t="shared" si="0"/>
        <v>#DIV/0!</v>
      </c>
      <c r="K12" s="87" t="e">
        <f t="shared" si="0"/>
        <v>#DIV/0!</v>
      </c>
      <c r="L12" s="87" t="e">
        <f t="shared" si="0"/>
        <v>#DIV/0!</v>
      </c>
      <c r="M12" s="88" t="e">
        <f t="shared" si="0"/>
        <v>#DIV/0!</v>
      </c>
      <c r="O12" s="61" t="str">
        <f t="shared" si="1"/>
        <v>נהריה</v>
      </c>
      <c r="P12" s="61" t="str">
        <f t="shared" si="2"/>
        <v>קרית ביאליק</v>
      </c>
      <c r="S12" s="110">
        <v>7</v>
      </c>
      <c r="T12" s="110" t="s">
        <v>156</v>
      </c>
    </row>
    <row r="13" spans="1:20" x14ac:dyDescent="0.3">
      <c r="A13" s="61">
        <v>1</v>
      </c>
      <c r="B13" s="61">
        <v>8</v>
      </c>
      <c r="C13" s="60"/>
      <c r="G13" s="62"/>
      <c r="I13" s="86" t="e">
        <f t="shared" si="3"/>
        <v>#DIV/0!</v>
      </c>
      <c r="J13" s="87" t="e">
        <f t="shared" si="0"/>
        <v>#DIV/0!</v>
      </c>
      <c r="K13" s="87" t="e">
        <f t="shared" si="0"/>
        <v>#DIV/0!</v>
      </c>
      <c r="L13" s="87" t="e">
        <f t="shared" si="0"/>
        <v>#DIV/0!</v>
      </c>
      <c r="M13" s="88" t="e">
        <f t="shared" si="0"/>
        <v>#DIV/0!</v>
      </c>
      <c r="O13" s="61" t="str">
        <f t="shared" si="1"/>
        <v>נהריה</v>
      </c>
      <c r="P13" s="61" t="str">
        <f t="shared" si="2"/>
        <v>קרית חיים</v>
      </c>
      <c r="S13" s="110">
        <v>8</v>
      </c>
      <c r="T13" s="110" t="s">
        <v>157</v>
      </c>
    </row>
    <row r="14" spans="1:20" x14ac:dyDescent="0.3">
      <c r="A14" s="61">
        <v>1</v>
      </c>
      <c r="B14" s="61">
        <v>9</v>
      </c>
      <c r="C14" s="60"/>
      <c r="G14" s="62"/>
      <c r="I14" s="86" t="e">
        <f t="shared" si="3"/>
        <v>#DIV/0!</v>
      </c>
      <c r="J14" s="87" t="e">
        <f t="shared" si="0"/>
        <v>#DIV/0!</v>
      </c>
      <c r="K14" s="87" t="e">
        <f t="shared" si="0"/>
        <v>#DIV/0!</v>
      </c>
      <c r="L14" s="87" t="e">
        <f t="shared" si="0"/>
        <v>#DIV/0!</v>
      </c>
      <c r="M14" s="88" t="e">
        <f t="shared" si="0"/>
        <v>#DIV/0!</v>
      </c>
      <c r="O14" s="61" t="str">
        <f t="shared" si="1"/>
        <v>נהריה</v>
      </c>
      <c r="P14" s="61" t="str">
        <f t="shared" si="2"/>
        <v>קרית אתא</v>
      </c>
      <c r="S14" s="110">
        <v>9</v>
      </c>
      <c r="T14" s="110" t="s">
        <v>158</v>
      </c>
    </row>
    <row r="15" spans="1:20" x14ac:dyDescent="0.3">
      <c r="A15" s="61">
        <v>1</v>
      </c>
      <c r="B15" s="61">
        <v>10</v>
      </c>
      <c r="C15" s="60"/>
      <c r="G15" s="62"/>
      <c r="I15" s="86" t="e">
        <f t="shared" si="3"/>
        <v>#DIV/0!</v>
      </c>
      <c r="J15" s="87" t="e">
        <f t="shared" si="0"/>
        <v>#DIV/0!</v>
      </c>
      <c r="K15" s="87" t="e">
        <f t="shared" si="0"/>
        <v>#DIV/0!</v>
      </c>
      <c r="L15" s="87" t="e">
        <f t="shared" si="0"/>
        <v>#DIV/0!</v>
      </c>
      <c r="M15" s="88" t="e">
        <f t="shared" si="0"/>
        <v>#DIV/0!</v>
      </c>
      <c r="O15" s="61" t="str">
        <f t="shared" si="1"/>
        <v>נהריה</v>
      </c>
      <c r="P15" s="61" t="str">
        <f t="shared" si="2"/>
        <v>כפר מנדא</v>
      </c>
      <c r="S15" s="110">
        <v>10</v>
      </c>
      <c r="T15" s="110" t="s">
        <v>159</v>
      </c>
    </row>
    <row r="16" spans="1:20" x14ac:dyDescent="0.3">
      <c r="A16" s="61">
        <v>1</v>
      </c>
      <c r="B16" s="61">
        <v>11</v>
      </c>
      <c r="C16" s="60"/>
      <c r="G16" s="62"/>
      <c r="I16" s="86" t="e">
        <f t="shared" si="3"/>
        <v>#DIV/0!</v>
      </c>
      <c r="J16" s="87" t="e">
        <f t="shared" si="0"/>
        <v>#DIV/0!</v>
      </c>
      <c r="K16" s="87" t="e">
        <f t="shared" si="0"/>
        <v>#DIV/0!</v>
      </c>
      <c r="L16" s="87" t="e">
        <f t="shared" si="0"/>
        <v>#DIV/0!</v>
      </c>
      <c r="M16" s="88" t="e">
        <f t="shared" si="0"/>
        <v>#DIV/0!</v>
      </c>
      <c r="O16" s="61" t="str">
        <f t="shared" si="1"/>
        <v>נהריה</v>
      </c>
      <c r="P16" s="61" t="str">
        <f t="shared" si="2"/>
        <v>זבולון</v>
      </c>
      <c r="S16" s="110">
        <v>11</v>
      </c>
      <c r="T16" s="110" t="s">
        <v>160</v>
      </c>
    </row>
    <row r="17" spans="1:20" x14ac:dyDescent="0.3">
      <c r="A17" s="61">
        <v>1</v>
      </c>
      <c r="B17" s="61">
        <v>12</v>
      </c>
      <c r="C17" s="60"/>
      <c r="G17" s="62"/>
      <c r="I17" s="86" t="e">
        <f t="shared" si="3"/>
        <v>#DIV/0!</v>
      </c>
      <c r="J17" s="87" t="e">
        <f t="shared" si="0"/>
        <v>#DIV/0!</v>
      </c>
      <c r="K17" s="87" t="e">
        <f t="shared" si="0"/>
        <v>#DIV/0!</v>
      </c>
      <c r="L17" s="87" t="e">
        <f t="shared" si="0"/>
        <v>#DIV/0!</v>
      </c>
      <c r="M17" s="88" t="e">
        <f t="shared" si="0"/>
        <v>#DIV/0!</v>
      </c>
      <c r="O17" s="61" t="str">
        <f t="shared" si="1"/>
        <v>נהריה</v>
      </c>
      <c r="P17" s="61" t="str">
        <f t="shared" si="2"/>
        <v>חיפה מפרץ</v>
      </c>
      <c r="S17" s="110">
        <v>12</v>
      </c>
      <c r="T17" s="110" t="s">
        <v>161</v>
      </c>
    </row>
    <row r="18" spans="1:20" x14ac:dyDescent="0.3">
      <c r="A18" s="61">
        <v>1</v>
      </c>
      <c r="B18" s="61">
        <v>13</v>
      </c>
      <c r="C18" s="60"/>
      <c r="G18" s="62"/>
      <c r="I18" s="86" t="e">
        <f t="shared" si="3"/>
        <v>#DIV/0!</v>
      </c>
      <c r="J18" s="87" t="e">
        <f t="shared" si="0"/>
        <v>#DIV/0!</v>
      </c>
      <c r="K18" s="87" t="e">
        <f t="shared" si="0"/>
        <v>#DIV/0!</v>
      </c>
      <c r="L18" s="87" t="e">
        <f t="shared" si="0"/>
        <v>#DIV/0!</v>
      </c>
      <c r="M18" s="88" t="e">
        <f t="shared" si="0"/>
        <v>#DIV/0!</v>
      </c>
      <c r="O18" s="61" t="str">
        <f t="shared" si="1"/>
        <v>נהריה</v>
      </c>
      <c r="P18" s="61" t="str">
        <f t="shared" si="2"/>
        <v>חיפה עיר תחתית</v>
      </c>
      <c r="S18" s="110">
        <v>13</v>
      </c>
      <c r="T18" s="110" t="s">
        <v>162</v>
      </c>
    </row>
    <row r="19" spans="1:20" x14ac:dyDescent="0.3">
      <c r="A19" s="61">
        <v>1</v>
      </c>
      <c r="B19" s="61">
        <v>14</v>
      </c>
      <c r="C19" s="60"/>
      <c r="G19" s="62"/>
      <c r="I19" s="86" t="e">
        <f t="shared" si="3"/>
        <v>#DIV/0!</v>
      </c>
      <c r="J19" s="87" t="e">
        <f t="shared" si="0"/>
        <v>#DIV/0!</v>
      </c>
      <c r="K19" s="87" t="e">
        <f t="shared" si="0"/>
        <v>#DIV/0!</v>
      </c>
      <c r="L19" s="87" t="e">
        <f t="shared" si="0"/>
        <v>#DIV/0!</v>
      </c>
      <c r="M19" s="88" t="e">
        <f t="shared" si="0"/>
        <v>#DIV/0!</v>
      </c>
      <c r="O19" s="61" t="str">
        <f t="shared" si="1"/>
        <v>נהריה</v>
      </c>
      <c r="P19" s="61" t="str">
        <f t="shared" si="2"/>
        <v>חיפה הדר-כרמל</v>
      </c>
      <c r="S19" s="110">
        <v>14</v>
      </c>
      <c r="T19" s="110" t="s">
        <v>163</v>
      </c>
    </row>
    <row r="20" spans="1:20" x14ac:dyDescent="0.3">
      <c r="A20" s="61">
        <v>1</v>
      </c>
      <c r="B20" s="61">
        <v>15</v>
      </c>
      <c r="C20" s="60"/>
      <c r="G20" s="62"/>
      <c r="I20" s="86" t="e">
        <f t="shared" si="3"/>
        <v>#DIV/0!</v>
      </c>
      <c r="J20" s="87" t="e">
        <f t="shared" si="0"/>
        <v>#DIV/0!</v>
      </c>
      <c r="K20" s="87" t="e">
        <f t="shared" si="0"/>
        <v>#DIV/0!</v>
      </c>
      <c r="L20" s="87" t="e">
        <f t="shared" si="0"/>
        <v>#DIV/0!</v>
      </c>
      <c r="M20" s="88" t="e">
        <f t="shared" si="0"/>
        <v>#DIV/0!</v>
      </c>
      <c r="O20" s="61" t="str">
        <f t="shared" si="1"/>
        <v>נהריה</v>
      </c>
      <c r="P20" s="61" t="str">
        <f t="shared" si="2"/>
        <v>חיפה מערב</v>
      </c>
      <c r="S20" s="110">
        <v>15</v>
      </c>
      <c r="T20" s="110" t="s">
        <v>164</v>
      </c>
    </row>
    <row r="21" spans="1:20" x14ac:dyDescent="0.3">
      <c r="A21" s="61">
        <v>1</v>
      </c>
      <c r="B21" s="61">
        <v>16</v>
      </c>
      <c r="C21" s="60"/>
      <c r="G21" s="62"/>
      <c r="I21" s="86" t="e">
        <f t="shared" si="3"/>
        <v>#DIV/0!</v>
      </c>
      <c r="J21" s="87" t="e">
        <f t="shared" si="0"/>
        <v>#DIV/0!</v>
      </c>
      <c r="K21" s="87" t="e">
        <f t="shared" si="0"/>
        <v>#DIV/0!</v>
      </c>
      <c r="L21" s="87" t="e">
        <f t="shared" si="0"/>
        <v>#DIV/0!</v>
      </c>
      <c r="M21" s="88" t="e">
        <f t="shared" si="0"/>
        <v>#DIV/0!</v>
      </c>
      <c r="O21" s="61" t="str">
        <f t="shared" si="1"/>
        <v>נהריה</v>
      </c>
      <c r="P21" s="61" t="str">
        <f t="shared" si="2"/>
        <v>חיפה כרמל</v>
      </c>
      <c r="S21" s="110">
        <v>16</v>
      </c>
      <c r="T21" s="110" t="s">
        <v>165</v>
      </c>
    </row>
    <row r="22" spans="1:20" x14ac:dyDescent="0.3">
      <c r="A22" s="61">
        <v>1</v>
      </c>
      <c r="B22" s="61">
        <v>17</v>
      </c>
      <c r="C22" s="60"/>
      <c r="G22" s="62"/>
      <c r="I22" s="86" t="e">
        <f t="shared" si="3"/>
        <v>#DIV/0!</v>
      </c>
      <c r="J22" s="87" t="e">
        <f t="shared" si="3"/>
        <v>#DIV/0!</v>
      </c>
      <c r="K22" s="87" t="e">
        <f t="shared" si="3"/>
        <v>#DIV/0!</v>
      </c>
      <c r="L22" s="87" t="e">
        <f t="shared" si="3"/>
        <v>#DIV/0!</v>
      </c>
      <c r="M22" s="88" t="e">
        <f t="shared" si="3"/>
        <v>#DIV/0!</v>
      </c>
      <c r="O22" s="61" t="str">
        <f t="shared" si="1"/>
        <v>נהריה</v>
      </c>
      <c r="P22" s="61" t="str">
        <f t="shared" si="2"/>
        <v>חיפה נווה שאנן</v>
      </c>
      <c r="S22" s="110">
        <v>17</v>
      </c>
      <c r="T22" s="110" t="s">
        <v>166</v>
      </c>
    </row>
    <row r="23" spans="1:20" x14ac:dyDescent="0.3">
      <c r="A23" s="61">
        <v>1</v>
      </c>
      <c r="B23" s="61">
        <v>18</v>
      </c>
      <c r="C23" s="60"/>
      <c r="G23" s="62"/>
      <c r="I23" s="86" t="e">
        <f t="shared" si="3"/>
        <v>#DIV/0!</v>
      </c>
      <c r="J23" s="87" t="e">
        <f t="shared" si="3"/>
        <v>#DIV/0!</v>
      </c>
      <c r="K23" s="87" t="e">
        <f t="shared" si="3"/>
        <v>#DIV/0!</v>
      </c>
      <c r="L23" s="87" t="e">
        <f t="shared" si="3"/>
        <v>#DIV/0!</v>
      </c>
      <c r="M23" s="88" t="e">
        <f t="shared" si="3"/>
        <v>#DIV/0!</v>
      </c>
      <c r="O23" s="61" t="str">
        <f t="shared" si="1"/>
        <v>נהריה</v>
      </c>
      <c r="P23" s="61" t="str">
        <f t="shared" si="2"/>
        <v>נשר</v>
      </c>
      <c r="S23" s="110">
        <v>18</v>
      </c>
      <c r="T23" s="110" t="s">
        <v>167</v>
      </c>
    </row>
    <row r="24" spans="1:20" x14ac:dyDescent="0.3">
      <c r="A24" s="61">
        <v>1</v>
      </c>
      <c r="B24" s="61">
        <v>19</v>
      </c>
      <c r="C24" s="60"/>
      <c r="G24" s="62"/>
      <c r="I24" s="86" t="e">
        <f t="shared" si="3"/>
        <v>#DIV/0!</v>
      </c>
      <c r="J24" s="87" t="e">
        <f t="shared" si="3"/>
        <v>#DIV/0!</v>
      </c>
      <c r="K24" s="87" t="e">
        <f t="shared" si="3"/>
        <v>#DIV/0!</v>
      </c>
      <c r="L24" s="87" t="e">
        <f t="shared" si="3"/>
        <v>#DIV/0!</v>
      </c>
      <c r="M24" s="88" t="e">
        <f t="shared" si="3"/>
        <v>#DIV/0!</v>
      </c>
      <c r="O24" s="61" t="str">
        <f t="shared" si="1"/>
        <v>נהריה</v>
      </c>
      <c r="P24" s="61" t="str">
        <f t="shared" si="2"/>
        <v>נצרת</v>
      </c>
      <c r="S24" s="110">
        <v>19</v>
      </c>
      <c r="T24" s="110" t="s">
        <v>168</v>
      </c>
    </row>
    <row r="25" spans="1:20" x14ac:dyDescent="0.3">
      <c r="A25" s="61">
        <v>1</v>
      </c>
      <c r="B25" s="61">
        <v>20</v>
      </c>
      <c r="C25" s="60"/>
      <c r="G25" s="62"/>
      <c r="I25" s="86" t="e">
        <f t="shared" si="3"/>
        <v>#DIV/0!</v>
      </c>
      <c r="J25" s="87" t="e">
        <f t="shared" si="3"/>
        <v>#DIV/0!</v>
      </c>
      <c r="K25" s="87" t="e">
        <f t="shared" si="3"/>
        <v>#DIV/0!</v>
      </c>
      <c r="L25" s="87" t="e">
        <f t="shared" si="3"/>
        <v>#DIV/0!</v>
      </c>
      <c r="M25" s="88" t="e">
        <f t="shared" si="3"/>
        <v>#DIV/0!</v>
      </c>
      <c r="O25" s="61" t="str">
        <f t="shared" si="1"/>
        <v>נהריה</v>
      </c>
      <c r="P25" s="61" t="str">
        <f t="shared" si="2"/>
        <v>נצרת-עילית</v>
      </c>
      <c r="S25" s="110">
        <v>20</v>
      </c>
      <c r="T25" s="110" t="s">
        <v>169</v>
      </c>
    </row>
    <row r="26" spans="1:20" x14ac:dyDescent="0.3">
      <c r="A26" s="61">
        <v>1</v>
      </c>
      <c r="B26" s="61">
        <v>21</v>
      </c>
      <c r="C26" s="60"/>
      <c r="G26" s="62"/>
      <c r="I26" s="86" t="e">
        <f t="shared" si="3"/>
        <v>#DIV/0!</v>
      </c>
      <c r="J26" s="87" t="e">
        <f t="shared" si="3"/>
        <v>#DIV/0!</v>
      </c>
      <c r="K26" s="87" t="e">
        <f t="shared" si="3"/>
        <v>#DIV/0!</v>
      </c>
      <c r="L26" s="87" t="e">
        <f t="shared" si="3"/>
        <v>#DIV/0!</v>
      </c>
      <c r="M26" s="88" t="e">
        <f t="shared" si="3"/>
        <v>#DIV/0!</v>
      </c>
      <c r="O26" s="61" t="str">
        <f t="shared" si="1"/>
        <v>נהריה</v>
      </c>
      <c r="P26" s="61" t="str">
        <f t="shared" si="2"/>
        <v>מגדל העמק</v>
      </c>
      <c r="S26" s="110">
        <v>21</v>
      </c>
      <c r="T26" s="110" t="s">
        <v>170</v>
      </c>
    </row>
    <row r="27" spans="1:20" x14ac:dyDescent="0.3">
      <c r="A27" s="61">
        <v>1</v>
      </c>
      <c r="B27" s="61">
        <v>22</v>
      </c>
      <c r="C27" s="60"/>
      <c r="G27" s="62"/>
      <c r="I27" s="86" t="e">
        <f t="shared" si="3"/>
        <v>#DIV/0!</v>
      </c>
      <c r="J27" s="87" t="e">
        <f t="shared" si="3"/>
        <v>#DIV/0!</v>
      </c>
      <c r="K27" s="87" t="e">
        <f t="shared" si="3"/>
        <v>#DIV/0!</v>
      </c>
      <c r="L27" s="87" t="e">
        <f t="shared" si="3"/>
        <v>#DIV/0!</v>
      </c>
      <c r="M27" s="88" t="e">
        <f t="shared" si="3"/>
        <v>#DIV/0!</v>
      </c>
      <c r="O27" s="61" t="str">
        <f t="shared" si="1"/>
        <v>נהריה</v>
      </c>
      <c r="P27" s="61" t="str">
        <f t="shared" si="2"/>
        <v>יוקנעם</v>
      </c>
      <c r="S27" s="110">
        <v>22</v>
      </c>
      <c r="T27" s="110" t="s">
        <v>171</v>
      </c>
    </row>
    <row r="28" spans="1:20" x14ac:dyDescent="0.3">
      <c r="A28" s="61">
        <v>1</v>
      </c>
      <c r="B28" s="61">
        <v>23</v>
      </c>
      <c r="C28" s="60"/>
      <c r="G28" s="62"/>
      <c r="I28" s="86" t="e">
        <f t="shared" si="3"/>
        <v>#DIV/0!</v>
      </c>
      <c r="J28" s="87" t="e">
        <f t="shared" si="3"/>
        <v>#DIV/0!</v>
      </c>
      <c r="K28" s="87" t="e">
        <f t="shared" si="3"/>
        <v>#DIV/0!</v>
      </c>
      <c r="L28" s="87" t="e">
        <f t="shared" si="3"/>
        <v>#DIV/0!</v>
      </c>
      <c r="M28" s="88" t="e">
        <f t="shared" si="3"/>
        <v>#DIV/0!</v>
      </c>
      <c r="O28" s="61" t="str">
        <f t="shared" si="1"/>
        <v>נהריה</v>
      </c>
      <c r="P28" s="61" t="str">
        <f t="shared" si="2"/>
        <v>דלית אל כרמל</v>
      </c>
      <c r="S28" s="110">
        <v>23</v>
      </c>
      <c r="T28" s="110" t="s">
        <v>172</v>
      </c>
    </row>
    <row r="29" spans="1:20" x14ac:dyDescent="0.3">
      <c r="A29" s="61">
        <v>1</v>
      </c>
      <c r="B29" s="61">
        <v>24</v>
      </c>
      <c r="C29" s="60"/>
      <c r="G29" s="62"/>
      <c r="I29" s="86" t="e">
        <f t="shared" si="3"/>
        <v>#DIV/0!</v>
      </c>
      <c r="J29" s="87" t="e">
        <f t="shared" si="3"/>
        <v>#DIV/0!</v>
      </c>
      <c r="K29" s="87" t="e">
        <f t="shared" si="3"/>
        <v>#DIV/0!</v>
      </c>
      <c r="L29" s="87" t="e">
        <f t="shared" si="3"/>
        <v>#DIV/0!</v>
      </c>
      <c r="M29" s="88" t="e">
        <f t="shared" si="3"/>
        <v>#DIV/0!</v>
      </c>
      <c r="O29" s="61" t="str">
        <f t="shared" si="1"/>
        <v>נהריה</v>
      </c>
      <c r="P29" s="61" t="str">
        <f t="shared" si="2"/>
        <v>חוף הכרמל</v>
      </c>
      <c r="S29" s="110">
        <v>24</v>
      </c>
      <c r="T29" s="110" t="s">
        <v>173</v>
      </c>
    </row>
    <row r="30" spans="1:20" x14ac:dyDescent="0.3">
      <c r="A30" s="61">
        <v>1</v>
      </c>
      <c r="B30" s="61">
        <v>25</v>
      </c>
      <c r="C30" s="60"/>
      <c r="G30" s="62"/>
      <c r="I30" s="86" t="e">
        <f t="shared" si="3"/>
        <v>#DIV/0!</v>
      </c>
      <c r="J30" s="87" t="e">
        <f t="shared" si="3"/>
        <v>#DIV/0!</v>
      </c>
      <c r="K30" s="87" t="e">
        <f t="shared" si="3"/>
        <v>#DIV/0!</v>
      </c>
      <c r="L30" s="87" t="e">
        <f t="shared" si="3"/>
        <v>#DIV/0!</v>
      </c>
      <c r="M30" s="88" t="e">
        <f t="shared" si="3"/>
        <v>#DIV/0!</v>
      </c>
      <c r="O30" s="61" t="str">
        <f t="shared" si="1"/>
        <v>נהריה</v>
      </c>
      <c r="P30" s="61" t="str">
        <f t="shared" si="2"/>
        <v>זכרון יעקב</v>
      </c>
      <c r="S30" s="110">
        <v>25</v>
      </c>
      <c r="T30" s="110" t="s">
        <v>174</v>
      </c>
    </row>
    <row r="31" spans="1:20" x14ac:dyDescent="0.3">
      <c r="A31" s="61">
        <v>1</v>
      </c>
      <c r="B31" s="61">
        <v>30</v>
      </c>
      <c r="C31" s="60"/>
      <c r="G31" s="62"/>
      <c r="I31" s="86" t="e">
        <f t="shared" si="3"/>
        <v>#DIV/0!</v>
      </c>
      <c r="J31" s="87" t="e">
        <f t="shared" si="3"/>
        <v>#DIV/0!</v>
      </c>
      <c r="K31" s="87" t="e">
        <f t="shared" si="3"/>
        <v>#DIV/0!</v>
      </c>
      <c r="L31" s="87" t="e">
        <f t="shared" si="3"/>
        <v>#DIV/0!</v>
      </c>
      <c r="M31" s="88" t="e">
        <f t="shared" si="3"/>
        <v>#DIV/0!</v>
      </c>
      <c r="O31" s="61" t="str">
        <f t="shared" si="1"/>
        <v>נהריה</v>
      </c>
      <c r="P31" s="61" t="str">
        <f t="shared" si="2"/>
        <v>סכנין</v>
      </c>
      <c r="S31" s="110">
        <v>30</v>
      </c>
      <c r="T31" s="110" t="s">
        <v>175</v>
      </c>
    </row>
    <row r="32" spans="1:20" x14ac:dyDescent="0.3">
      <c r="A32" s="61">
        <v>2</v>
      </c>
      <c r="B32" s="61">
        <v>1</v>
      </c>
      <c r="C32" s="60"/>
      <c r="G32" s="62"/>
      <c r="I32" s="86" t="e">
        <f t="shared" si="3"/>
        <v>#DIV/0!</v>
      </c>
      <c r="J32" s="87" t="e">
        <f t="shared" si="3"/>
        <v>#DIV/0!</v>
      </c>
      <c r="K32" s="87" t="e">
        <f t="shared" si="3"/>
        <v>#DIV/0!</v>
      </c>
      <c r="L32" s="87" t="e">
        <f t="shared" si="3"/>
        <v>#DIV/0!</v>
      </c>
      <c r="M32" s="88" t="e">
        <f t="shared" si="3"/>
        <v>#DIV/0!</v>
      </c>
      <c r="O32" s="61" t="str">
        <f t="shared" si="1"/>
        <v>עכו</v>
      </c>
      <c r="P32" s="61" t="str">
        <f t="shared" si="2"/>
        <v>נהריה</v>
      </c>
    </row>
    <row r="33" spans="1:16" x14ac:dyDescent="0.3">
      <c r="A33" s="61">
        <v>2</v>
      </c>
      <c r="B33" s="61">
        <v>2</v>
      </c>
      <c r="C33" s="60"/>
      <c r="G33" s="62"/>
      <c r="I33" s="86" t="e">
        <f t="shared" si="3"/>
        <v>#DIV/0!</v>
      </c>
      <c r="J33" s="87" t="e">
        <f t="shared" si="3"/>
        <v>#DIV/0!</v>
      </c>
      <c r="K33" s="87" t="e">
        <f t="shared" si="3"/>
        <v>#DIV/0!</v>
      </c>
      <c r="L33" s="87" t="e">
        <f t="shared" si="3"/>
        <v>#DIV/0!</v>
      </c>
      <c r="M33" s="88" t="e">
        <f t="shared" si="3"/>
        <v>#DIV/0!</v>
      </c>
      <c r="O33" s="61" t="str">
        <f t="shared" si="1"/>
        <v>עכו</v>
      </c>
      <c r="P33" s="61" t="str">
        <f t="shared" si="2"/>
        <v>עכו</v>
      </c>
    </row>
    <row r="34" spans="1:16" x14ac:dyDescent="0.3">
      <c r="A34" s="61">
        <v>2</v>
      </c>
      <c r="B34" s="61">
        <v>3</v>
      </c>
      <c r="C34" s="60"/>
      <c r="G34" s="62"/>
      <c r="I34" s="86" t="e">
        <f t="shared" si="3"/>
        <v>#DIV/0!</v>
      </c>
      <c r="J34" s="87" t="e">
        <f t="shared" si="3"/>
        <v>#DIV/0!</v>
      </c>
      <c r="K34" s="87" t="e">
        <f t="shared" si="3"/>
        <v>#DIV/0!</v>
      </c>
      <c r="L34" s="87" t="e">
        <f t="shared" si="3"/>
        <v>#DIV/0!</v>
      </c>
      <c r="M34" s="88" t="e">
        <f t="shared" si="3"/>
        <v>#DIV/0!</v>
      </c>
      <c r="O34" s="61" t="str">
        <f t="shared" si="1"/>
        <v>עכו</v>
      </c>
      <c r="P34" s="61" t="str">
        <f t="shared" si="2"/>
        <v>כרמיאל</v>
      </c>
    </row>
    <row r="35" spans="1:16" x14ac:dyDescent="0.3">
      <c r="A35" s="61">
        <v>2</v>
      </c>
      <c r="B35" s="61">
        <v>4</v>
      </c>
      <c r="C35" s="60"/>
      <c r="G35" s="62"/>
      <c r="I35" s="86" t="e">
        <f t="shared" si="3"/>
        <v>#DIV/0!</v>
      </c>
      <c r="J35" s="87" t="e">
        <f t="shared" si="3"/>
        <v>#DIV/0!</v>
      </c>
      <c r="K35" s="87" t="e">
        <f t="shared" si="3"/>
        <v>#DIV/0!</v>
      </c>
      <c r="L35" s="87" t="e">
        <f t="shared" si="3"/>
        <v>#DIV/0!</v>
      </c>
      <c r="M35" s="88" t="e">
        <f t="shared" si="3"/>
        <v>#DIV/0!</v>
      </c>
      <c r="O35" s="61" t="str">
        <f t="shared" si="1"/>
        <v>עכו</v>
      </c>
      <c r="P35" s="61" t="str">
        <f t="shared" si="2"/>
        <v>שפרעם</v>
      </c>
    </row>
    <row r="36" spans="1:16" x14ac:dyDescent="0.3">
      <c r="A36" s="61">
        <v>2</v>
      </c>
      <c r="B36" s="61">
        <v>5</v>
      </c>
      <c r="C36" s="60"/>
      <c r="G36" s="62"/>
      <c r="I36" s="86" t="e">
        <f t="shared" si="3"/>
        <v>#DIV/0!</v>
      </c>
      <c r="J36" s="87" t="e">
        <f t="shared" si="3"/>
        <v>#DIV/0!</v>
      </c>
      <c r="K36" s="87" t="e">
        <f t="shared" si="3"/>
        <v>#DIV/0!</v>
      </c>
      <c r="L36" s="87" t="e">
        <f t="shared" si="3"/>
        <v>#DIV/0!</v>
      </c>
      <c r="M36" s="88" t="e">
        <f t="shared" si="3"/>
        <v>#DIV/0!</v>
      </c>
      <c r="O36" s="61" t="str">
        <f t="shared" si="1"/>
        <v>עכו</v>
      </c>
      <c r="P36" s="61" t="str">
        <f t="shared" si="2"/>
        <v>קרית ים</v>
      </c>
    </row>
    <row r="37" spans="1:16" x14ac:dyDescent="0.3">
      <c r="A37" s="61">
        <v>2</v>
      </c>
      <c r="B37" s="61">
        <v>6</v>
      </c>
      <c r="C37" s="60"/>
      <c r="G37" s="62"/>
      <c r="I37" s="86" t="e">
        <f t="shared" si="3"/>
        <v>#DIV/0!</v>
      </c>
      <c r="J37" s="87" t="e">
        <f t="shared" si="3"/>
        <v>#DIV/0!</v>
      </c>
      <c r="K37" s="87" t="e">
        <f t="shared" si="3"/>
        <v>#DIV/0!</v>
      </c>
      <c r="L37" s="87" t="e">
        <f t="shared" si="3"/>
        <v>#DIV/0!</v>
      </c>
      <c r="M37" s="88" t="e">
        <f t="shared" si="3"/>
        <v>#DIV/0!</v>
      </c>
      <c r="O37" s="61" t="str">
        <f t="shared" si="1"/>
        <v>עכו</v>
      </c>
      <c r="P37" s="61" t="str">
        <f t="shared" si="2"/>
        <v>קרית מוצקין</v>
      </c>
    </row>
    <row r="38" spans="1:16" x14ac:dyDescent="0.3">
      <c r="A38" s="61">
        <v>2</v>
      </c>
      <c r="B38" s="61">
        <v>7</v>
      </c>
      <c r="C38" s="60"/>
      <c r="G38" s="62"/>
      <c r="I38" s="86" t="e">
        <f t="shared" si="3"/>
        <v>#DIV/0!</v>
      </c>
      <c r="J38" s="87" t="e">
        <f t="shared" si="3"/>
        <v>#DIV/0!</v>
      </c>
      <c r="K38" s="87" t="e">
        <f t="shared" si="3"/>
        <v>#DIV/0!</v>
      </c>
      <c r="L38" s="87" t="e">
        <f t="shared" si="3"/>
        <v>#DIV/0!</v>
      </c>
      <c r="M38" s="88" t="e">
        <f t="shared" si="3"/>
        <v>#DIV/0!</v>
      </c>
      <c r="O38" s="61" t="str">
        <f t="shared" si="1"/>
        <v>עכו</v>
      </c>
      <c r="P38" s="61" t="str">
        <f t="shared" si="2"/>
        <v>קרית ביאליק</v>
      </c>
    </row>
    <row r="39" spans="1:16" x14ac:dyDescent="0.3">
      <c r="A39" s="61">
        <v>2</v>
      </c>
      <c r="B39" s="61">
        <v>8</v>
      </c>
      <c r="C39" s="60"/>
      <c r="G39" s="62"/>
      <c r="I39" s="86" t="e">
        <f t="shared" si="3"/>
        <v>#DIV/0!</v>
      </c>
      <c r="J39" s="87" t="e">
        <f t="shared" si="3"/>
        <v>#DIV/0!</v>
      </c>
      <c r="K39" s="87" t="e">
        <f t="shared" si="3"/>
        <v>#DIV/0!</v>
      </c>
      <c r="L39" s="87" t="e">
        <f t="shared" si="3"/>
        <v>#DIV/0!</v>
      </c>
      <c r="M39" s="88" t="e">
        <f t="shared" si="3"/>
        <v>#DIV/0!</v>
      </c>
      <c r="O39" s="61" t="str">
        <f t="shared" si="1"/>
        <v>עכו</v>
      </c>
      <c r="P39" s="61" t="str">
        <f t="shared" si="2"/>
        <v>קרית חיים</v>
      </c>
    </row>
    <row r="40" spans="1:16" x14ac:dyDescent="0.3">
      <c r="A40" s="61">
        <v>2</v>
      </c>
      <c r="B40" s="61">
        <v>9</v>
      </c>
      <c r="C40" s="60"/>
      <c r="G40" s="62"/>
      <c r="I40" s="86" t="e">
        <f t="shared" si="3"/>
        <v>#DIV/0!</v>
      </c>
      <c r="J40" s="87" t="e">
        <f t="shared" si="3"/>
        <v>#DIV/0!</v>
      </c>
      <c r="K40" s="87" t="e">
        <f t="shared" si="3"/>
        <v>#DIV/0!</v>
      </c>
      <c r="L40" s="87" t="e">
        <f t="shared" si="3"/>
        <v>#DIV/0!</v>
      </c>
      <c r="M40" s="88" t="e">
        <f t="shared" si="3"/>
        <v>#DIV/0!</v>
      </c>
      <c r="O40" s="61" t="str">
        <f t="shared" si="1"/>
        <v>עכו</v>
      </c>
      <c r="P40" s="61" t="str">
        <f t="shared" si="2"/>
        <v>קרית אתא</v>
      </c>
    </row>
    <row r="41" spans="1:16" x14ac:dyDescent="0.3">
      <c r="A41" s="61">
        <v>2</v>
      </c>
      <c r="B41" s="61">
        <v>10</v>
      </c>
      <c r="C41" s="60"/>
      <c r="G41" s="62"/>
      <c r="I41" s="86" t="e">
        <f t="shared" si="3"/>
        <v>#DIV/0!</v>
      </c>
      <c r="J41" s="87" t="e">
        <f t="shared" si="3"/>
        <v>#DIV/0!</v>
      </c>
      <c r="K41" s="87" t="e">
        <f t="shared" si="3"/>
        <v>#DIV/0!</v>
      </c>
      <c r="L41" s="87" t="e">
        <f t="shared" si="3"/>
        <v>#DIV/0!</v>
      </c>
      <c r="M41" s="88" t="e">
        <f t="shared" si="3"/>
        <v>#DIV/0!</v>
      </c>
      <c r="O41" s="61" t="str">
        <f t="shared" si="1"/>
        <v>עכו</v>
      </c>
      <c r="P41" s="61" t="str">
        <f t="shared" si="2"/>
        <v>כפר מנדא</v>
      </c>
    </row>
    <row r="42" spans="1:16" x14ac:dyDescent="0.3">
      <c r="A42" s="61">
        <v>2</v>
      </c>
      <c r="B42" s="61">
        <v>11</v>
      </c>
      <c r="C42" s="60"/>
      <c r="G42" s="62"/>
      <c r="I42" s="86" t="e">
        <f t="shared" si="3"/>
        <v>#DIV/0!</v>
      </c>
      <c r="J42" s="87" t="e">
        <f t="shared" si="3"/>
        <v>#DIV/0!</v>
      </c>
      <c r="K42" s="87" t="e">
        <f t="shared" si="3"/>
        <v>#DIV/0!</v>
      </c>
      <c r="L42" s="87" t="e">
        <f t="shared" si="3"/>
        <v>#DIV/0!</v>
      </c>
      <c r="M42" s="88" t="e">
        <f t="shared" si="3"/>
        <v>#DIV/0!</v>
      </c>
      <c r="O42" s="61" t="str">
        <f t="shared" si="1"/>
        <v>עכו</v>
      </c>
      <c r="P42" s="61" t="str">
        <f t="shared" si="2"/>
        <v>זבולון</v>
      </c>
    </row>
    <row r="43" spans="1:16" x14ac:dyDescent="0.3">
      <c r="A43" s="61">
        <v>2</v>
      </c>
      <c r="B43" s="61">
        <v>12</v>
      </c>
      <c r="C43" s="60"/>
      <c r="G43" s="62"/>
      <c r="I43" s="86" t="e">
        <f t="shared" si="3"/>
        <v>#DIV/0!</v>
      </c>
      <c r="J43" s="87" t="e">
        <f t="shared" si="3"/>
        <v>#DIV/0!</v>
      </c>
      <c r="K43" s="87" t="e">
        <f t="shared" si="3"/>
        <v>#DIV/0!</v>
      </c>
      <c r="L43" s="87" t="e">
        <f t="shared" si="3"/>
        <v>#DIV/0!</v>
      </c>
      <c r="M43" s="88" t="e">
        <f t="shared" si="3"/>
        <v>#DIV/0!</v>
      </c>
      <c r="O43" s="61" t="str">
        <f t="shared" si="1"/>
        <v>עכו</v>
      </c>
      <c r="P43" s="61" t="str">
        <f t="shared" si="2"/>
        <v>חיפה מפרץ</v>
      </c>
    </row>
    <row r="44" spans="1:16" x14ac:dyDescent="0.3">
      <c r="A44" s="61">
        <v>2</v>
      </c>
      <c r="B44" s="61">
        <v>13</v>
      </c>
      <c r="C44" s="60"/>
      <c r="G44" s="62"/>
      <c r="I44" s="86" t="e">
        <f t="shared" si="3"/>
        <v>#DIV/0!</v>
      </c>
      <c r="J44" s="87" t="e">
        <f t="shared" si="3"/>
        <v>#DIV/0!</v>
      </c>
      <c r="K44" s="87" t="e">
        <f t="shared" si="3"/>
        <v>#DIV/0!</v>
      </c>
      <c r="L44" s="87" t="e">
        <f t="shared" si="3"/>
        <v>#DIV/0!</v>
      </c>
      <c r="M44" s="88" t="e">
        <f t="shared" si="3"/>
        <v>#DIV/0!</v>
      </c>
      <c r="O44" s="61" t="str">
        <f t="shared" si="1"/>
        <v>עכו</v>
      </c>
      <c r="P44" s="61" t="str">
        <f t="shared" si="2"/>
        <v>חיפה עיר תחתית</v>
      </c>
    </row>
    <row r="45" spans="1:16" x14ac:dyDescent="0.3">
      <c r="A45" s="61">
        <v>2</v>
      </c>
      <c r="B45" s="61">
        <v>14</v>
      </c>
      <c r="C45" s="60"/>
      <c r="G45" s="62"/>
      <c r="I45" s="86" t="e">
        <f t="shared" si="3"/>
        <v>#DIV/0!</v>
      </c>
      <c r="J45" s="87" t="e">
        <f t="shared" si="3"/>
        <v>#DIV/0!</v>
      </c>
      <c r="K45" s="87" t="e">
        <f t="shared" si="3"/>
        <v>#DIV/0!</v>
      </c>
      <c r="L45" s="87" t="e">
        <f t="shared" si="3"/>
        <v>#DIV/0!</v>
      </c>
      <c r="M45" s="88" t="e">
        <f t="shared" si="3"/>
        <v>#DIV/0!</v>
      </c>
      <c r="O45" s="61" t="str">
        <f t="shared" si="1"/>
        <v>עכו</v>
      </c>
      <c r="P45" s="61" t="str">
        <f t="shared" si="2"/>
        <v>חיפה הדר-כרמל</v>
      </c>
    </row>
    <row r="46" spans="1:16" x14ac:dyDescent="0.3">
      <c r="A46" s="61">
        <v>2</v>
      </c>
      <c r="B46" s="61">
        <v>15</v>
      </c>
      <c r="C46" s="60"/>
      <c r="G46" s="62"/>
      <c r="I46" s="86" t="e">
        <f t="shared" si="3"/>
        <v>#DIV/0!</v>
      </c>
      <c r="J46" s="87" t="e">
        <f t="shared" si="3"/>
        <v>#DIV/0!</v>
      </c>
      <c r="K46" s="87" t="e">
        <f t="shared" si="3"/>
        <v>#DIV/0!</v>
      </c>
      <c r="L46" s="87" t="e">
        <f t="shared" si="3"/>
        <v>#DIV/0!</v>
      </c>
      <c r="M46" s="88" t="e">
        <f t="shared" si="3"/>
        <v>#DIV/0!</v>
      </c>
      <c r="O46" s="61" t="str">
        <f t="shared" si="1"/>
        <v>עכו</v>
      </c>
      <c r="P46" s="61" t="str">
        <f t="shared" si="2"/>
        <v>חיפה מערב</v>
      </c>
    </row>
    <row r="47" spans="1:16" x14ac:dyDescent="0.3">
      <c r="A47" s="61">
        <v>2</v>
      </c>
      <c r="B47" s="61">
        <v>16</v>
      </c>
      <c r="C47" s="60"/>
      <c r="G47" s="62"/>
      <c r="I47" s="86" t="e">
        <f t="shared" si="3"/>
        <v>#DIV/0!</v>
      </c>
      <c r="J47" s="87" t="e">
        <f t="shared" si="3"/>
        <v>#DIV/0!</v>
      </c>
      <c r="K47" s="87" t="e">
        <f t="shared" si="3"/>
        <v>#DIV/0!</v>
      </c>
      <c r="L47" s="87" t="e">
        <f t="shared" si="3"/>
        <v>#DIV/0!</v>
      </c>
      <c r="M47" s="88" t="e">
        <f t="shared" si="3"/>
        <v>#DIV/0!</v>
      </c>
      <c r="O47" s="61" t="str">
        <f t="shared" si="1"/>
        <v>עכו</v>
      </c>
      <c r="P47" s="61" t="str">
        <f t="shared" si="2"/>
        <v>חיפה כרמל</v>
      </c>
    </row>
    <row r="48" spans="1:16" x14ac:dyDescent="0.3">
      <c r="A48" s="61">
        <v>2</v>
      </c>
      <c r="B48" s="61">
        <v>17</v>
      </c>
      <c r="C48" s="60"/>
      <c r="G48" s="62"/>
      <c r="I48" s="86" t="e">
        <f t="shared" si="3"/>
        <v>#DIV/0!</v>
      </c>
      <c r="J48" s="87" t="e">
        <f t="shared" si="3"/>
        <v>#DIV/0!</v>
      </c>
      <c r="K48" s="87" t="e">
        <f t="shared" si="3"/>
        <v>#DIV/0!</v>
      </c>
      <c r="L48" s="87" t="e">
        <f t="shared" si="3"/>
        <v>#DIV/0!</v>
      </c>
      <c r="M48" s="88" t="e">
        <f t="shared" si="3"/>
        <v>#DIV/0!</v>
      </c>
      <c r="O48" s="61" t="str">
        <f t="shared" si="1"/>
        <v>עכו</v>
      </c>
      <c r="P48" s="61" t="str">
        <f t="shared" si="2"/>
        <v>חיפה נווה שאנן</v>
      </c>
    </row>
    <row r="49" spans="1:16" x14ac:dyDescent="0.3">
      <c r="A49" s="61">
        <v>2</v>
      </c>
      <c r="B49" s="61">
        <v>18</v>
      </c>
      <c r="C49" s="60"/>
      <c r="G49" s="62"/>
      <c r="I49" s="86" t="e">
        <f t="shared" si="3"/>
        <v>#DIV/0!</v>
      </c>
      <c r="J49" s="87" t="e">
        <f t="shared" si="3"/>
        <v>#DIV/0!</v>
      </c>
      <c r="K49" s="87" t="e">
        <f t="shared" si="3"/>
        <v>#DIV/0!</v>
      </c>
      <c r="L49" s="87" t="e">
        <f t="shared" si="3"/>
        <v>#DIV/0!</v>
      </c>
      <c r="M49" s="88" t="e">
        <f t="shared" si="3"/>
        <v>#DIV/0!</v>
      </c>
      <c r="O49" s="61" t="str">
        <f t="shared" si="1"/>
        <v>עכו</v>
      </c>
      <c r="P49" s="61" t="str">
        <f t="shared" si="2"/>
        <v>נשר</v>
      </c>
    </row>
    <row r="50" spans="1:16" x14ac:dyDescent="0.3">
      <c r="A50" s="61">
        <v>2</v>
      </c>
      <c r="B50" s="61">
        <v>19</v>
      </c>
      <c r="C50" s="60"/>
      <c r="G50" s="62"/>
      <c r="I50" s="86" t="e">
        <f t="shared" si="3"/>
        <v>#DIV/0!</v>
      </c>
      <c r="J50" s="87" t="e">
        <f t="shared" si="3"/>
        <v>#DIV/0!</v>
      </c>
      <c r="K50" s="87" t="e">
        <f t="shared" si="3"/>
        <v>#DIV/0!</v>
      </c>
      <c r="L50" s="87" t="e">
        <f t="shared" si="3"/>
        <v>#DIV/0!</v>
      </c>
      <c r="M50" s="88" t="e">
        <f t="shared" si="3"/>
        <v>#DIV/0!</v>
      </c>
      <c r="O50" s="61" t="str">
        <f t="shared" si="1"/>
        <v>עכו</v>
      </c>
      <c r="P50" s="61" t="str">
        <f t="shared" si="2"/>
        <v>נצרת</v>
      </c>
    </row>
    <row r="51" spans="1:16" x14ac:dyDescent="0.3">
      <c r="A51" s="61">
        <v>2</v>
      </c>
      <c r="B51" s="61">
        <v>20</v>
      </c>
      <c r="C51" s="60"/>
      <c r="G51" s="62"/>
      <c r="I51" s="86" t="e">
        <f t="shared" si="3"/>
        <v>#DIV/0!</v>
      </c>
      <c r="J51" s="87" t="e">
        <f t="shared" si="3"/>
        <v>#DIV/0!</v>
      </c>
      <c r="K51" s="87" t="e">
        <f t="shared" si="3"/>
        <v>#DIV/0!</v>
      </c>
      <c r="L51" s="87" t="e">
        <f t="shared" si="3"/>
        <v>#DIV/0!</v>
      </c>
      <c r="M51" s="88" t="e">
        <f t="shared" si="3"/>
        <v>#DIV/0!</v>
      </c>
      <c r="O51" s="61" t="str">
        <f t="shared" si="1"/>
        <v>עכו</v>
      </c>
      <c r="P51" s="61" t="str">
        <f t="shared" si="2"/>
        <v>נצרת-עילית</v>
      </c>
    </row>
    <row r="52" spans="1:16" x14ac:dyDescent="0.3">
      <c r="A52" s="61">
        <v>2</v>
      </c>
      <c r="B52" s="61">
        <v>21</v>
      </c>
      <c r="C52" s="60"/>
      <c r="G52" s="62"/>
      <c r="I52" s="86" t="e">
        <f t="shared" si="3"/>
        <v>#DIV/0!</v>
      </c>
      <c r="J52" s="87" t="e">
        <f t="shared" si="3"/>
        <v>#DIV/0!</v>
      </c>
      <c r="K52" s="87" t="e">
        <f t="shared" si="3"/>
        <v>#DIV/0!</v>
      </c>
      <c r="L52" s="87" t="e">
        <f t="shared" si="3"/>
        <v>#DIV/0!</v>
      </c>
      <c r="M52" s="88" t="e">
        <f t="shared" si="3"/>
        <v>#DIV/0!</v>
      </c>
      <c r="O52" s="61" t="str">
        <f t="shared" si="1"/>
        <v>עכו</v>
      </c>
      <c r="P52" s="61" t="str">
        <f t="shared" si="2"/>
        <v>מגדל העמק</v>
      </c>
    </row>
    <row r="53" spans="1:16" x14ac:dyDescent="0.3">
      <c r="A53" s="61">
        <v>2</v>
      </c>
      <c r="B53" s="61">
        <v>22</v>
      </c>
      <c r="C53" s="60"/>
      <c r="G53" s="62"/>
      <c r="I53" s="86" t="e">
        <f t="shared" si="3"/>
        <v>#DIV/0!</v>
      </c>
      <c r="J53" s="87" t="e">
        <f t="shared" si="3"/>
        <v>#DIV/0!</v>
      </c>
      <c r="K53" s="87" t="e">
        <f t="shared" si="3"/>
        <v>#DIV/0!</v>
      </c>
      <c r="L53" s="87" t="e">
        <f t="shared" si="3"/>
        <v>#DIV/0!</v>
      </c>
      <c r="M53" s="88" t="e">
        <f t="shared" si="3"/>
        <v>#DIV/0!</v>
      </c>
      <c r="O53" s="61" t="str">
        <f t="shared" si="1"/>
        <v>עכו</v>
      </c>
      <c r="P53" s="61" t="str">
        <f t="shared" si="2"/>
        <v>יוקנעם</v>
      </c>
    </row>
    <row r="54" spans="1:16" x14ac:dyDescent="0.3">
      <c r="A54" s="61">
        <v>2</v>
      </c>
      <c r="B54" s="61">
        <v>23</v>
      </c>
      <c r="C54" s="60"/>
      <c r="G54" s="62"/>
      <c r="I54" s="86" t="e">
        <f t="shared" si="3"/>
        <v>#DIV/0!</v>
      </c>
      <c r="J54" s="87" t="e">
        <f t="shared" si="3"/>
        <v>#DIV/0!</v>
      </c>
      <c r="K54" s="87" t="e">
        <f t="shared" si="3"/>
        <v>#DIV/0!</v>
      </c>
      <c r="L54" s="87" t="e">
        <f t="shared" si="3"/>
        <v>#DIV/0!</v>
      </c>
      <c r="M54" s="88" t="e">
        <f t="shared" si="3"/>
        <v>#DIV/0!</v>
      </c>
      <c r="O54" s="61" t="str">
        <f t="shared" si="1"/>
        <v>עכו</v>
      </c>
      <c r="P54" s="61" t="str">
        <f t="shared" si="2"/>
        <v>דלית אל כרמל</v>
      </c>
    </row>
    <row r="55" spans="1:16" x14ac:dyDescent="0.3">
      <c r="A55" s="61">
        <v>2</v>
      </c>
      <c r="B55" s="61">
        <v>24</v>
      </c>
      <c r="C55" s="60"/>
      <c r="G55" s="62"/>
      <c r="I55" s="86" t="e">
        <f t="shared" si="3"/>
        <v>#DIV/0!</v>
      </c>
      <c r="J55" s="87" t="e">
        <f t="shared" si="3"/>
        <v>#DIV/0!</v>
      </c>
      <c r="K55" s="87" t="e">
        <f t="shared" si="3"/>
        <v>#DIV/0!</v>
      </c>
      <c r="L55" s="87" t="e">
        <f t="shared" si="3"/>
        <v>#DIV/0!</v>
      </c>
      <c r="M55" s="88" t="e">
        <f t="shared" si="3"/>
        <v>#DIV/0!</v>
      </c>
      <c r="O55" s="61" t="str">
        <f t="shared" si="1"/>
        <v>עכו</v>
      </c>
      <c r="P55" s="61" t="str">
        <f t="shared" si="2"/>
        <v>חוף הכרמל</v>
      </c>
    </row>
    <row r="56" spans="1:16" x14ac:dyDescent="0.3">
      <c r="A56" s="61">
        <v>2</v>
      </c>
      <c r="B56" s="61">
        <v>25</v>
      </c>
      <c r="C56" s="60"/>
      <c r="G56" s="62"/>
      <c r="I56" s="86" t="e">
        <f t="shared" si="3"/>
        <v>#DIV/0!</v>
      </c>
      <c r="J56" s="87" t="e">
        <f t="shared" si="3"/>
        <v>#DIV/0!</v>
      </c>
      <c r="K56" s="87" t="e">
        <f t="shared" si="3"/>
        <v>#DIV/0!</v>
      </c>
      <c r="L56" s="87" t="e">
        <f t="shared" si="3"/>
        <v>#DIV/0!</v>
      </c>
      <c r="M56" s="88" t="e">
        <f t="shared" si="3"/>
        <v>#DIV/0!</v>
      </c>
      <c r="O56" s="61" t="str">
        <f t="shared" si="1"/>
        <v>עכו</v>
      </c>
      <c r="P56" s="61" t="str">
        <f t="shared" si="2"/>
        <v>זכרון יעקב</v>
      </c>
    </row>
    <row r="57" spans="1:16" x14ac:dyDescent="0.3">
      <c r="A57" s="61">
        <v>2</v>
      </c>
      <c r="B57" s="61">
        <v>30</v>
      </c>
      <c r="C57" s="60"/>
      <c r="G57" s="62"/>
      <c r="I57" s="86" t="e">
        <f t="shared" si="3"/>
        <v>#DIV/0!</v>
      </c>
      <c r="J57" s="87" t="e">
        <f t="shared" si="3"/>
        <v>#DIV/0!</v>
      </c>
      <c r="K57" s="87" t="e">
        <f t="shared" si="3"/>
        <v>#DIV/0!</v>
      </c>
      <c r="L57" s="87" t="e">
        <f t="shared" si="3"/>
        <v>#DIV/0!</v>
      </c>
      <c r="M57" s="88" t="e">
        <f t="shared" si="3"/>
        <v>#DIV/0!</v>
      </c>
      <c r="O57" s="61" t="str">
        <f t="shared" si="1"/>
        <v>עכו</v>
      </c>
      <c r="P57" s="61" t="str">
        <f t="shared" si="2"/>
        <v>סכנין</v>
      </c>
    </row>
    <row r="58" spans="1:16" x14ac:dyDescent="0.3">
      <c r="A58" s="61">
        <v>3</v>
      </c>
      <c r="B58" s="61">
        <v>1</v>
      </c>
      <c r="C58" s="60"/>
      <c r="G58" s="62"/>
      <c r="I58" s="86" t="e">
        <f t="shared" si="3"/>
        <v>#DIV/0!</v>
      </c>
      <c r="J58" s="87" t="e">
        <f t="shared" si="3"/>
        <v>#DIV/0!</v>
      </c>
      <c r="K58" s="87" t="e">
        <f t="shared" si="3"/>
        <v>#DIV/0!</v>
      </c>
      <c r="L58" s="87" t="e">
        <f t="shared" si="3"/>
        <v>#DIV/0!</v>
      </c>
      <c r="M58" s="88" t="e">
        <f t="shared" si="3"/>
        <v>#DIV/0!</v>
      </c>
      <c r="O58" s="61" t="str">
        <f t="shared" si="1"/>
        <v>כרמיאל</v>
      </c>
      <c r="P58" s="61" t="str">
        <f t="shared" si="2"/>
        <v>נהריה</v>
      </c>
    </row>
    <row r="59" spans="1:16" x14ac:dyDescent="0.3">
      <c r="A59" s="61">
        <v>3</v>
      </c>
      <c r="B59" s="61">
        <v>2</v>
      </c>
      <c r="C59" s="60"/>
      <c r="G59" s="62"/>
      <c r="I59" s="86" t="e">
        <f t="shared" si="3"/>
        <v>#DIV/0!</v>
      </c>
      <c r="J59" s="87" t="e">
        <f t="shared" si="3"/>
        <v>#DIV/0!</v>
      </c>
      <c r="K59" s="87" t="e">
        <f t="shared" si="3"/>
        <v>#DIV/0!</v>
      </c>
      <c r="L59" s="87" t="e">
        <f t="shared" si="3"/>
        <v>#DIV/0!</v>
      </c>
      <c r="M59" s="88" t="e">
        <f t="shared" si="3"/>
        <v>#DIV/0!</v>
      </c>
      <c r="O59" s="61" t="str">
        <f t="shared" si="1"/>
        <v>כרמיאל</v>
      </c>
      <c r="P59" s="61" t="str">
        <f t="shared" si="2"/>
        <v>עכו</v>
      </c>
    </row>
    <row r="60" spans="1:16" x14ac:dyDescent="0.3">
      <c r="A60" s="61">
        <v>3</v>
      </c>
      <c r="B60" s="61">
        <v>3</v>
      </c>
      <c r="C60" s="60"/>
      <c r="G60" s="62"/>
      <c r="I60" s="86" t="e">
        <f t="shared" si="3"/>
        <v>#DIV/0!</v>
      </c>
      <c r="J60" s="87" t="e">
        <f t="shared" si="3"/>
        <v>#DIV/0!</v>
      </c>
      <c r="K60" s="87" t="e">
        <f t="shared" si="3"/>
        <v>#DIV/0!</v>
      </c>
      <c r="L60" s="87" t="e">
        <f t="shared" si="3"/>
        <v>#DIV/0!</v>
      </c>
      <c r="M60" s="88" t="e">
        <f t="shared" si="3"/>
        <v>#DIV/0!</v>
      </c>
      <c r="O60" s="61" t="str">
        <f t="shared" si="1"/>
        <v>כרמיאל</v>
      </c>
      <c r="P60" s="61" t="str">
        <f t="shared" si="2"/>
        <v>כרמיאל</v>
      </c>
    </row>
    <row r="61" spans="1:16" x14ac:dyDescent="0.3">
      <c r="A61" s="61">
        <v>3</v>
      </c>
      <c r="B61" s="61">
        <v>4</v>
      </c>
      <c r="C61" s="60"/>
      <c r="G61" s="62"/>
      <c r="I61" s="86" t="e">
        <f t="shared" si="3"/>
        <v>#DIV/0!</v>
      </c>
      <c r="J61" s="87" t="e">
        <f t="shared" si="3"/>
        <v>#DIV/0!</v>
      </c>
      <c r="K61" s="87" t="e">
        <f t="shared" si="3"/>
        <v>#DIV/0!</v>
      </c>
      <c r="L61" s="87" t="e">
        <f t="shared" si="3"/>
        <v>#DIV/0!</v>
      </c>
      <c r="M61" s="88" t="e">
        <f t="shared" si="3"/>
        <v>#DIV/0!</v>
      </c>
      <c r="O61" s="61" t="str">
        <f t="shared" si="1"/>
        <v>כרמיאל</v>
      </c>
      <c r="P61" s="61" t="str">
        <f t="shared" si="2"/>
        <v>שפרעם</v>
      </c>
    </row>
    <row r="62" spans="1:16" x14ac:dyDescent="0.3">
      <c r="A62" s="61">
        <v>3</v>
      </c>
      <c r="B62" s="61">
        <v>5</v>
      </c>
      <c r="C62" s="60"/>
      <c r="G62" s="62"/>
      <c r="I62" s="86" t="e">
        <f t="shared" si="3"/>
        <v>#DIV/0!</v>
      </c>
      <c r="J62" s="87" t="e">
        <f t="shared" si="3"/>
        <v>#DIV/0!</v>
      </c>
      <c r="K62" s="87" t="e">
        <f t="shared" si="3"/>
        <v>#DIV/0!</v>
      </c>
      <c r="L62" s="87" t="e">
        <f t="shared" si="3"/>
        <v>#DIV/0!</v>
      </c>
      <c r="M62" s="88" t="e">
        <f t="shared" si="3"/>
        <v>#DIV/0!</v>
      </c>
      <c r="O62" s="61" t="str">
        <f t="shared" si="1"/>
        <v>כרמיאל</v>
      </c>
      <c r="P62" s="61" t="str">
        <f t="shared" si="2"/>
        <v>קרית ים</v>
      </c>
    </row>
    <row r="63" spans="1:16" x14ac:dyDescent="0.3">
      <c r="A63" s="61">
        <v>3</v>
      </c>
      <c r="B63" s="61">
        <v>6</v>
      </c>
      <c r="C63" s="60"/>
      <c r="G63" s="62"/>
      <c r="I63" s="86" t="e">
        <f t="shared" si="3"/>
        <v>#DIV/0!</v>
      </c>
      <c r="J63" s="87" t="e">
        <f t="shared" si="3"/>
        <v>#DIV/0!</v>
      </c>
      <c r="K63" s="87" t="e">
        <f t="shared" si="3"/>
        <v>#DIV/0!</v>
      </c>
      <c r="L63" s="87" t="e">
        <f t="shared" si="3"/>
        <v>#DIV/0!</v>
      </c>
      <c r="M63" s="88" t="e">
        <f t="shared" si="3"/>
        <v>#DIV/0!</v>
      </c>
      <c r="O63" s="61" t="str">
        <f t="shared" si="1"/>
        <v>כרמיאל</v>
      </c>
      <c r="P63" s="61" t="str">
        <f t="shared" si="2"/>
        <v>קרית מוצקין</v>
      </c>
    </row>
    <row r="64" spans="1:16" x14ac:dyDescent="0.3">
      <c r="A64" s="61">
        <v>3</v>
      </c>
      <c r="B64" s="61">
        <v>7</v>
      </c>
      <c r="C64" s="60"/>
      <c r="G64" s="62"/>
      <c r="I64" s="86" t="e">
        <f t="shared" si="3"/>
        <v>#DIV/0!</v>
      </c>
      <c r="J64" s="87" t="e">
        <f t="shared" si="3"/>
        <v>#DIV/0!</v>
      </c>
      <c r="K64" s="87" t="e">
        <f t="shared" si="3"/>
        <v>#DIV/0!</v>
      </c>
      <c r="L64" s="87" t="e">
        <f t="shared" si="3"/>
        <v>#DIV/0!</v>
      </c>
      <c r="M64" s="88" t="e">
        <f t="shared" si="3"/>
        <v>#DIV/0!</v>
      </c>
      <c r="O64" s="61" t="str">
        <f t="shared" si="1"/>
        <v>כרמיאל</v>
      </c>
      <c r="P64" s="61" t="str">
        <f t="shared" si="2"/>
        <v>קרית ביאליק</v>
      </c>
    </row>
    <row r="65" spans="1:16" x14ac:dyDescent="0.3">
      <c r="A65" s="61">
        <v>3</v>
      </c>
      <c r="B65" s="61">
        <v>8</v>
      </c>
      <c r="C65" s="60"/>
      <c r="G65" s="62"/>
      <c r="I65" s="86" t="e">
        <f t="shared" si="3"/>
        <v>#DIV/0!</v>
      </c>
      <c r="J65" s="87" t="e">
        <f t="shared" si="3"/>
        <v>#DIV/0!</v>
      </c>
      <c r="K65" s="87" t="e">
        <f t="shared" si="3"/>
        <v>#DIV/0!</v>
      </c>
      <c r="L65" s="87" t="e">
        <f t="shared" si="3"/>
        <v>#DIV/0!</v>
      </c>
      <c r="M65" s="88" t="e">
        <f t="shared" si="3"/>
        <v>#DIV/0!</v>
      </c>
      <c r="O65" s="61" t="str">
        <f t="shared" si="1"/>
        <v>כרמיאל</v>
      </c>
      <c r="P65" s="61" t="str">
        <f t="shared" si="2"/>
        <v>קרית חיים</v>
      </c>
    </row>
    <row r="66" spans="1:16" x14ac:dyDescent="0.3">
      <c r="A66" s="61">
        <v>3</v>
      </c>
      <c r="B66" s="61">
        <v>9</v>
      </c>
      <c r="C66" s="60"/>
      <c r="G66" s="62"/>
      <c r="I66" s="86" t="e">
        <f t="shared" si="3"/>
        <v>#DIV/0!</v>
      </c>
      <c r="J66" s="87" t="e">
        <f t="shared" si="3"/>
        <v>#DIV/0!</v>
      </c>
      <c r="K66" s="87" t="e">
        <f t="shared" si="3"/>
        <v>#DIV/0!</v>
      </c>
      <c r="L66" s="87" t="e">
        <f t="shared" si="3"/>
        <v>#DIV/0!</v>
      </c>
      <c r="M66" s="88" t="e">
        <f t="shared" si="3"/>
        <v>#DIV/0!</v>
      </c>
      <c r="O66" s="61" t="str">
        <f t="shared" si="1"/>
        <v>כרמיאל</v>
      </c>
      <c r="P66" s="61" t="str">
        <f t="shared" si="2"/>
        <v>קרית אתא</v>
      </c>
    </row>
    <row r="67" spans="1:16" x14ac:dyDescent="0.3">
      <c r="A67" s="61">
        <v>3</v>
      </c>
      <c r="B67" s="61">
        <v>10</v>
      </c>
      <c r="C67" s="60"/>
      <c r="G67" s="62"/>
      <c r="I67" s="86" t="e">
        <f t="shared" si="3"/>
        <v>#DIV/0!</v>
      </c>
      <c r="J67" s="87" t="e">
        <f t="shared" si="3"/>
        <v>#DIV/0!</v>
      </c>
      <c r="K67" s="87" t="e">
        <f t="shared" si="3"/>
        <v>#DIV/0!</v>
      </c>
      <c r="L67" s="87" t="e">
        <f t="shared" si="3"/>
        <v>#DIV/0!</v>
      </c>
      <c r="M67" s="88" t="e">
        <f t="shared" si="3"/>
        <v>#DIV/0!</v>
      </c>
      <c r="O67" s="61" t="str">
        <f t="shared" si="1"/>
        <v>כרמיאל</v>
      </c>
      <c r="P67" s="61" t="str">
        <f t="shared" si="2"/>
        <v>כפר מנדא</v>
      </c>
    </row>
    <row r="68" spans="1:16" x14ac:dyDescent="0.3">
      <c r="A68" s="61">
        <v>3</v>
      </c>
      <c r="B68" s="61">
        <v>11</v>
      </c>
      <c r="C68" s="60"/>
      <c r="G68" s="62"/>
      <c r="I68" s="86" t="e">
        <f t="shared" si="3"/>
        <v>#DIV/0!</v>
      </c>
      <c r="J68" s="87" t="e">
        <f t="shared" si="3"/>
        <v>#DIV/0!</v>
      </c>
      <c r="K68" s="87" t="e">
        <f t="shared" si="3"/>
        <v>#DIV/0!</v>
      </c>
      <c r="L68" s="87" t="e">
        <f t="shared" si="3"/>
        <v>#DIV/0!</v>
      </c>
      <c r="M68" s="88" t="e">
        <f t="shared" si="3"/>
        <v>#DIV/0!</v>
      </c>
      <c r="O68" s="61" t="str">
        <f t="shared" si="1"/>
        <v>כרמיאל</v>
      </c>
      <c r="P68" s="61" t="str">
        <f t="shared" si="2"/>
        <v>זבולון</v>
      </c>
    </row>
    <row r="69" spans="1:16" x14ac:dyDescent="0.3">
      <c r="A69" s="61">
        <v>3</v>
      </c>
      <c r="B69" s="61">
        <v>12</v>
      </c>
      <c r="C69" s="60"/>
      <c r="G69" s="62"/>
      <c r="I69" s="86" t="e">
        <f t="shared" si="3"/>
        <v>#DIV/0!</v>
      </c>
      <c r="J69" s="87" t="e">
        <f t="shared" si="3"/>
        <v>#DIV/0!</v>
      </c>
      <c r="K69" s="87" t="e">
        <f t="shared" si="3"/>
        <v>#DIV/0!</v>
      </c>
      <c r="L69" s="87" t="e">
        <f t="shared" si="3"/>
        <v>#DIV/0!</v>
      </c>
      <c r="M69" s="88" t="e">
        <f t="shared" si="3"/>
        <v>#DIV/0!</v>
      </c>
      <c r="O69" s="61" t="str">
        <f t="shared" si="1"/>
        <v>כרמיאל</v>
      </c>
      <c r="P69" s="61" t="str">
        <f t="shared" si="2"/>
        <v>חיפה מפרץ</v>
      </c>
    </row>
    <row r="70" spans="1:16" x14ac:dyDescent="0.3">
      <c r="A70" s="61">
        <v>3</v>
      </c>
      <c r="B70" s="61">
        <v>13</v>
      </c>
      <c r="C70" s="60"/>
      <c r="G70" s="62"/>
      <c r="I70" s="86" t="e">
        <f t="shared" ref="I70:M120" si="4">C70/SUM($C70:$G70)</f>
        <v>#DIV/0!</v>
      </c>
      <c r="J70" s="87" t="e">
        <f t="shared" si="4"/>
        <v>#DIV/0!</v>
      </c>
      <c r="K70" s="87" t="e">
        <f t="shared" si="4"/>
        <v>#DIV/0!</v>
      </c>
      <c r="L70" s="87" t="e">
        <f t="shared" si="4"/>
        <v>#DIV/0!</v>
      </c>
      <c r="M70" s="88" t="e">
        <f t="shared" si="4"/>
        <v>#DIV/0!</v>
      </c>
      <c r="O70" s="61" t="str">
        <f t="shared" ref="O70:O133" si="5">VLOOKUP(A70,$S$6:$T$31,2,0)</f>
        <v>כרמיאל</v>
      </c>
      <c r="P70" s="61" t="str">
        <f t="shared" ref="P70:P133" si="6">VLOOKUP(B70,$S$6:$T$31,2,0)</f>
        <v>חיפה עיר תחתית</v>
      </c>
    </row>
    <row r="71" spans="1:16" x14ac:dyDescent="0.3">
      <c r="A71" s="61">
        <v>3</v>
      </c>
      <c r="B71" s="61">
        <v>14</v>
      </c>
      <c r="C71" s="60"/>
      <c r="G71" s="62"/>
      <c r="I71" s="86" t="e">
        <f t="shared" si="4"/>
        <v>#DIV/0!</v>
      </c>
      <c r="J71" s="87" t="e">
        <f t="shared" si="4"/>
        <v>#DIV/0!</v>
      </c>
      <c r="K71" s="87" t="e">
        <f t="shared" si="4"/>
        <v>#DIV/0!</v>
      </c>
      <c r="L71" s="87" t="e">
        <f t="shared" si="4"/>
        <v>#DIV/0!</v>
      </c>
      <c r="M71" s="88" t="e">
        <f t="shared" si="4"/>
        <v>#DIV/0!</v>
      </c>
      <c r="O71" s="61" t="str">
        <f t="shared" si="5"/>
        <v>כרמיאל</v>
      </c>
      <c r="P71" s="61" t="str">
        <f t="shared" si="6"/>
        <v>חיפה הדר-כרמל</v>
      </c>
    </row>
    <row r="72" spans="1:16" x14ac:dyDescent="0.3">
      <c r="A72" s="61">
        <v>3</v>
      </c>
      <c r="B72" s="61">
        <v>15</v>
      </c>
      <c r="C72" s="60"/>
      <c r="G72" s="62"/>
      <c r="I72" s="86" t="e">
        <f t="shared" si="4"/>
        <v>#DIV/0!</v>
      </c>
      <c r="J72" s="87" t="e">
        <f t="shared" si="4"/>
        <v>#DIV/0!</v>
      </c>
      <c r="K72" s="87" t="e">
        <f t="shared" si="4"/>
        <v>#DIV/0!</v>
      </c>
      <c r="L72" s="87" t="e">
        <f t="shared" si="4"/>
        <v>#DIV/0!</v>
      </c>
      <c r="M72" s="88" t="e">
        <f t="shared" si="4"/>
        <v>#DIV/0!</v>
      </c>
      <c r="O72" s="61" t="str">
        <f t="shared" si="5"/>
        <v>כרמיאל</v>
      </c>
      <c r="P72" s="61" t="str">
        <f t="shared" si="6"/>
        <v>חיפה מערב</v>
      </c>
    </row>
    <row r="73" spans="1:16" x14ac:dyDescent="0.3">
      <c r="A73" s="61">
        <v>3</v>
      </c>
      <c r="B73" s="61">
        <v>16</v>
      </c>
      <c r="C73" s="60"/>
      <c r="G73" s="62"/>
      <c r="I73" s="86" t="e">
        <f t="shared" si="4"/>
        <v>#DIV/0!</v>
      </c>
      <c r="J73" s="87" t="e">
        <f t="shared" si="4"/>
        <v>#DIV/0!</v>
      </c>
      <c r="K73" s="87" t="e">
        <f t="shared" si="4"/>
        <v>#DIV/0!</v>
      </c>
      <c r="L73" s="87" t="e">
        <f t="shared" si="4"/>
        <v>#DIV/0!</v>
      </c>
      <c r="M73" s="88" t="e">
        <f t="shared" si="4"/>
        <v>#DIV/0!</v>
      </c>
      <c r="O73" s="61" t="str">
        <f t="shared" si="5"/>
        <v>כרמיאל</v>
      </c>
      <c r="P73" s="61" t="str">
        <f t="shared" si="6"/>
        <v>חיפה כרמל</v>
      </c>
    </row>
    <row r="74" spans="1:16" x14ac:dyDescent="0.3">
      <c r="A74" s="61">
        <v>3</v>
      </c>
      <c r="B74" s="61">
        <v>17</v>
      </c>
      <c r="C74" s="60"/>
      <c r="G74" s="62"/>
      <c r="I74" s="86" t="e">
        <f t="shared" si="4"/>
        <v>#DIV/0!</v>
      </c>
      <c r="J74" s="87" t="e">
        <f t="shared" si="4"/>
        <v>#DIV/0!</v>
      </c>
      <c r="K74" s="87" t="e">
        <f t="shared" si="4"/>
        <v>#DIV/0!</v>
      </c>
      <c r="L74" s="87" t="e">
        <f t="shared" si="4"/>
        <v>#DIV/0!</v>
      </c>
      <c r="M74" s="88" t="e">
        <f t="shared" si="4"/>
        <v>#DIV/0!</v>
      </c>
      <c r="O74" s="61" t="str">
        <f t="shared" si="5"/>
        <v>כרמיאל</v>
      </c>
      <c r="P74" s="61" t="str">
        <f t="shared" si="6"/>
        <v>חיפה נווה שאנן</v>
      </c>
    </row>
    <row r="75" spans="1:16" x14ac:dyDescent="0.3">
      <c r="A75" s="61">
        <v>3</v>
      </c>
      <c r="B75" s="61">
        <v>18</v>
      </c>
      <c r="C75" s="60"/>
      <c r="G75" s="62"/>
      <c r="I75" s="86" t="e">
        <f t="shared" si="4"/>
        <v>#DIV/0!</v>
      </c>
      <c r="J75" s="87" t="e">
        <f t="shared" si="4"/>
        <v>#DIV/0!</v>
      </c>
      <c r="K75" s="87" t="e">
        <f t="shared" si="4"/>
        <v>#DIV/0!</v>
      </c>
      <c r="L75" s="87" t="e">
        <f t="shared" si="4"/>
        <v>#DIV/0!</v>
      </c>
      <c r="M75" s="88" t="e">
        <f t="shared" si="4"/>
        <v>#DIV/0!</v>
      </c>
      <c r="O75" s="61" t="str">
        <f t="shared" si="5"/>
        <v>כרמיאל</v>
      </c>
      <c r="P75" s="61" t="str">
        <f t="shared" si="6"/>
        <v>נשר</v>
      </c>
    </row>
    <row r="76" spans="1:16" x14ac:dyDescent="0.3">
      <c r="A76" s="61">
        <v>3</v>
      </c>
      <c r="B76" s="61">
        <v>19</v>
      </c>
      <c r="C76" s="60"/>
      <c r="G76" s="62"/>
      <c r="I76" s="86" t="e">
        <f t="shared" si="4"/>
        <v>#DIV/0!</v>
      </c>
      <c r="J76" s="87" t="e">
        <f t="shared" si="4"/>
        <v>#DIV/0!</v>
      </c>
      <c r="K76" s="87" t="e">
        <f t="shared" si="4"/>
        <v>#DIV/0!</v>
      </c>
      <c r="L76" s="87" t="e">
        <f t="shared" si="4"/>
        <v>#DIV/0!</v>
      </c>
      <c r="M76" s="88" t="e">
        <f t="shared" si="4"/>
        <v>#DIV/0!</v>
      </c>
      <c r="O76" s="61" t="str">
        <f t="shared" si="5"/>
        <v>כרמיאל</v>
      </c>
      <c r="P76" s="61" t="str">
        <f t="shared" si="6"/>
        <v>נצרת</v>
      </c>
    </row>
    <row r="77" spans="1:16" x14ac:dyDescent="0.3">
      <c r="A77" s="61">
        <v>3</v>
      </c>
      <c r="B77" s="61">
        <v>20</v>
      </c>
      <c r="C77" s="60"/>
      <c r="G77" s="62"/>
      <c r="I77" s="86" t="e">
        <f t="shared" si="4"/>
        <v>#DIV/0!</v>
      </c>
      <c r="J77" s="87" t="e">
        <f t="shared" si="4"/>
        <v>#DIV/0!</v>
      </c>
      <c r="K77" s="87" t="e">
        <f t="shared" si="4"/>
        <v>#DIV/0!</v>
      </c>
      <c r="L77" s="87" t="e">
        <f t="shared" si="4"/>
        <v>#DIV/0!</v>
      </c>
      <c r="M77" s="88" t="e">
        <f t="shared" si="4"/>
        <v>#DIV/0!</v>
      </c>
      <c r="O77" s="61" t="str">
        <f t="shared" si="5"/>
        <v>כרמיאל</v>
      </c>
      <c r="P77" s="61" t="str">
        <f t="shared" si="6"/>
        <v>נצרת-עילית</v>
      </c>
    </row>
    <row r="78" spans="1:16" x14ac:dyDescent="0.3">
      <c r="A78" s="61">
        <v>3</v>
      </c>
      <c r="B78" s="61">
        <v>21</v>
      </c>
      <c r="C78" s="60"/>
      <c r="G78" s="62"/>
      <c r="I78" s="86" t="e">
        <f t="shared" si="4"/>
        <v>#DIV/0!</v>
      </c>
      <c r="J78" s="87" t="e">
        <f t="shared" si="4"/>
        <v>#DIV/0!</v>
      </c>
      <c r="K78" s="87" t="e">
        <f t="shared" si="4"/>
        <v>#DIV/0!</v>
      </c>
      <c r="L78" s="87" t="e">
        <f t="shared" si="4"/>
        <v>#DIV/0!</v>
      </c>
      <c r="M78" s="88" t="e">
        <f t="shared" si="4"/>
        <v>#DIV/0!</v>
      </c>
      <c r="O78" s="61" t="str">
        <f t="shared" si="5"/>
        <v>כרמיאל</v>
      </c>
      <c r="P78" s="61" t="str">
        <f t="shared" si="6"/>
        <v>מגדל העמק</v>
      </c>
    </row>
    <row r="79" spans="1:16" x14ac:dyDescent="0.3">
      <c r="A79" s="61">
        <v>3</v>
      </c>
      <c r="B79" s="61">
        <v>22</v>
      </c>
      <c r="C79" s="60"/>
      <c r="G79" s="62"/>
      <c r="I79" s="86" t="e">
        <f t="shared" si="4"/>
        <v>#DIV/0!</v>
      </c>
      <c r="J79" s="87" t="e">
        <f t="shared" si="4"/>
        <v>#DIV/0!</v>
      </c>
      <c r="K79" s="87" t="e">
        <f t="shared" si="4"/>
        <v>#DIV/0!</v>
      </c>
      <c r="L79" s="87" t="e">
        <f t="shared" si="4"/>
        <v>#DIV/0!</v>
      </c>
      <c r="M79" s="88" t="e">
        <f t="shared" si="4"/>
        <v>#DIV/0!</v>
      </c>
      <c r="O79" s="61" t="str">
        <f t="shared" si="5"/>
        <v>כרמיאל</v>
      </c>
      <c r="P79" s="61" t="str">
        <f t="shared" si="6"/>
        <v>יוקנעם</v>
      </c>
    </row>
    <row r="80" spans="1:16" x14ac:dyDescent="0.3">
      <c r="A80" s="61">
        <v>3</v>
      </c>
      <c r="B80" s="61">
        <v>23</v>
      </c>
      <c r="C80" s="60"/>
      <c r="G80" s="62"/>
      <c r="I80" s="86" t="e">
        <f t="shared" si="4"/>
        <v>#DIV/0!</v>
      </c>
      <c r="J80" s="87" t="e">
        <f t="shared" si="4"/>
        <v>#DIV/0!</v>
      </c>
      <c r="K80" s="87" t="e">
        <f t="shared" si="4"/>
        <v>#DIV/0!</v>
      </c>
      <c r="L80" s="87" t="e">
        <f t="shared" si="4"/>
        <v>#DIV/0!</v>
      </c>
      <c r="M80" s="88" t="e">
        <f t="shared" si="4"/>
        <v>#DIV/0!</v>
      </c>
      <c r="O80" s="61" t="str">
        <f t="shared" si="5"/>
        <v>כרמיאל</v>
      </c>
      <c r="P80" s="61" t="str">
        <f t="shared" si="6"/>
        <v>דלית אל כרמל</v>
      </c>
    </row>
    <row r="81" spans="1:16" x14ac:dyDescent="0.3">
      <c r="A81" s="61">
        <v>3</v>
      </c>
      <c r="B81" s="61">
        <v>24</v>
      </c>
      <c r="C81" s="60"/>
      <c r="G81" s="62"/>
      <c r="I81" s="86" t="e">
        <f t="shared" si="4"/>
        <v>#DIV/0!</v>
      </c>
      <c r="J81" s="87" t="e">
        <f t="shared" si="4"/>
        <v>#DIV/0!</v>
      </c>
      <c r="K81" s="87" t="e">
        <f t="shared" si="4"/>
        <v>#DIV/0!</v>
      </c>
      <c r="L81" s="87" t="e">
        <f t="shared" si="4"/>
        <v>#DIV/0!</v>
      </c>
      <c r="M81" s="88" t="e">
        <f t="shared" si="4"/>
        <v>#DIV/0!</v>
      </c>
      <c r="O81" s="61" t="str">
        <f t="shared" si="5"/>
        <v>כרמיאל</v>
      </c>
      <c r="P81" s="61" t="str">
        <f t="shared" si="6"/>
        <v>חוף הכרמל</v>
      </c>
    </row>
    <row r="82" spans="1:16" x14ac:dyDescent="0.3">
      <c r="A82" s="61">
        <v>3</v>
      </c>
      <c r="B82" s="61">
        <v>25</v>
      </c>
      <c r="C82" s="60"/>
      <c r="G82" s="62"/>
      <c r="I82" s="86" t="e">
        <f t="shared" si="4"/>
        <v>#DIV/0!</v>
      </c>
      <c r="J82" s="87" t="e">
        <f t="shared" si="4"/>
        <v>#DIV/0!</v>
      </c>
      <c r="K82" s="87" t="e">
        <f t="shared" si="4"/>
        <v>#DIV/0!</v>
      </c>
      <c r="L82" s="87" t="e">
        <f t="shared" si="4"/>
        <v>#DIV/0!</v>
      </c>
      <c r="M82" s="88" t="e">
        <f t="shared" si="4"/>
        <v>#DIV/0!</v>
      </c>
      <c r="O82" s="61" t="str">
        <f t="shared" si="5"/>
        <v>כרמיאל</v>
      </c>
      <c r="P82" s="61" t="str">
        <f t="shared" si="6"/>
        <v>זכרון יעקב</v>
      </c>
    </row>
    <row r="83" spans="1:16" x14ac:dyDescent="0.3">
      <c r="A83" s="61">
        <v>3</v>
      </c>
      <c r="B83" s="61">
        <v>30</v>
      </c>
      <c r="C83" s="60"/>
      <c r="G83" s="62"/>
      <c r="I83" s="86" t="e">
        <f t="shared" si="4"/>
        <v>#DIV/0!</v>
      </c>
      <c r="J83" s="87" t="e">
        <f t="shared" si="4"/>
        <v>#DIV/0!</v>
      </c>
      <c r="K83" s="87" t="e">
        <f t="shared" si="4"/>
        <v>#DIV/0!</v>
      </c>
      <c r="L83" s="87" t="e">
        <f t="shared" si="4"/>
        <v>#DIV/0!</v>
      </c>
      <c r="M83" s="88" t="e">
        <f t="shared" si="4"/>
        <v>#DIV/0!</v>
      </c>
      <c r="O83" s="61" t="str">
        <f t="shared" si="5"/>
        <v>כרמיאל</v>
      </c>
      <c r="P83" s="61" t="str">
        <f t="shared" si="6"/>
        <v>סכנין</v>
      </c>
    </row>
    <row r="84" spans="1:16" x14ac:dyDescent="0.3">
      <c r="A84" s="61">
        <v>4</v>
      </c>
      <c r="B84" s="61">
        <v>1</v>
      </c>
      <c r="C84" s="60"/>
      <c r="G84" s="62"/>
      <c r="I84" s="86" t="e">
        <f t="shared" si="4"/>
        <v>#DIV/0!</v>
      </c>
      <c r="J84" s="87" t="e">
        <f t="shared" si="4"/>
        <v>#DIV/0!</v>
      </c>
      <c r="K84" s="87" t="e">
        <f t="shared" si="4"/>
        <v>#DIV/0!</v>
      </c>
      <c r="L84" s="87" t="e">
        <f t="shared" si="4"/>
        <v>#DIV/0!</v>
      </c>
      <c r="M84" s="88" t="e">
        <f t="shared" si="4"/>
        <v>#DIV/0!</v>
      </c>
      <c r="O84" s="61" t="str">
        <f t="shared" si="5"/>
        <v>שפרעם</v>
      </c>
      <c r="P84" s="61" t="str">
        <f t="shared" si="6"/>
        <v>נהריה</v>
      </c>
    </row>
    <row r="85" spans="1:16" x14ac:dyDescent="0.3">
      <c r="A85" s="61">
        <v>4</v>
      </c>
      <c r="B85" s="61">
        <v>2</v>
      </c>
      <c r="C85" s="60"/>
      <c r="G85" s="62"/>
      <c r="I85" s="86" t="e">
        <f t="shared" si="4"/>
        <v>#DIV/0!</v>
      </c>
      <c r="J85" s="87" t="e">
        <f t="shared" si="4"/>
        <v>#DIV/0!</v>
      </c>
      <c r="K85" s="87" t="e">
        <f t="shared" si="4"/>
        <v>#DIV/0!</v>
      </c>
      <c r="L85" s="87" t="e">
        <f t="shared" si="4"/>
        <v>#DIV/0!</v>
      </c>
      <c r="M85" s="88" t="e">
        <f t="shared" si="4"/>
        <v>#DIV/0!</v>
      </c>
      <c r="O85" s="61" t="str">
        <f t="shared" si="5"/>
        <v>שפרעם</v>
      </c>
      <c r="P85" s="61" t="str">
        <f t="shared" si="6"/>
        <v>עכו</v>
      </c>
    </row>
    <row r="86" spans="1:16" x14ac:dyDescent="0.3">
      <c r="A86" s="61">
        <v>4</v>
      </c>
      <c r="B86" s="61">
        <v>3</v>
      </c>
      <c r="C86" s="60"/>
      <c r="G86" s="62"/>
      <c r="I86" s="86" t="e">
        <f t="shared" si="4"/>
        <v>#DIV/0!</v>
      </c>
      <c r="J86" s="87" t="e">
        <f t="shared" si="4"/>
        <v>#DIV/0!</v>
      </c>
      <c r="K86" s="87" t="e">
        <f t="shared" si="4"/>
        <v>#DIV/0!</v>
      </c>
      <c r="L86" s="87" t="e">
        <f t="shared" si="4"/>
        <v>#DIV/0!</v>
      </c>
      <c r="M86" s="88" t="e">
        <f t="shared" si="4"/>
        <v>#DIV/0!</v>
      </c>
      <c r="O86" s="61" t="str">
        <f t="shared" si="5"/>
        <v>שפרעם</v>
      </c>
      <c r="P86" s="61" t="str">
        <f t="shared" si="6"/>
        <v>כרמיאל</v>
      </c>
    </row>
    <row r="87" spans="1:16" x14ac:dyDescent="0.3">
      <c r="A87" s="61">
        <v>4</v>
      </c>
      <c r="B87" s="61">
        <v>4</v>
      </c>
      <c r="C87" s="60"/>
      <c r="G87" s="62"/>
      <c r="I87" s="86" t="e">
        <f t="shared" si="4"/>
        <v>#DIV/0!</v>
      </c>
      <c r="J87" s="87" t="e">
        <f t="shared" si="4"/>
        <v>#DIV/0!</v>
      </c>
      <c r="K87" s="87" t="e">
        <f t="shared" si="4"/>
        <v>#DIV/0!</v>
      </c>
      <c r="L87" s="87" t="e">
        <f t="shared" si="4"/>
        <v>#DIV/0!</v>
      </c>
      <c r="M87" s="88" t="e">
        <f t="shared" si="4"/>
        <v>#DIV/0!</v>
      </c>
      <c r="O87" s="61" t="str">
        <f t="shared" si="5"/>
        <v>שפרעם</v>
      </c>
      <c r="P87" s="61" t="str">
        <f t="shared" si="6"/>
        <v>שפרעם</v>
      </c>
    </row>
    <row r="88" spans="1:16" x14ac:dyDescent="0.3">
      <c r="A88" s="61">
        <v>4</v>
      </c>
      <c r="B88" s="61">
        <v>5</v>
      </c>
      <c r="C88" s="60"/>
      <c r="G88" s="62"/>
      <c r="I88" s="86" t="e">
        <f t="shared" si="4"/>
        <v>#DIV/0!</v>
      </c>
      <c r="J88" s="87" t="e">
        <f t="shared" si="4"/>
        <v>#DIV/0!</v>
      </c>
      <c r="K88" s="87" t="e">
        <f t="shared" si="4"/>
        <v>#DIV/0!</v>
      </c>
      <c r="L88" s="87" t="e">
        <f t="shared" si="4"/>
        <v>#DIV/0!</v>
      </c>
      <c r="M88" s="88" t="e">
        <f t="shared" si="4"/>
        <v>#DIV/0!</v>
      </c>
      <c r="O88" s="61" t="str">
        <f t="shared" si="5"/>
        <v>שפרעם</v>
      </c>
      <c r="P88" s="61" t="str">
        <f t="shared" si="6"/>
        <v>קרית ים</v>
      </c>
    </row>
    <row r="89" spans="1:16" x14ac:dyDescent="0.3">
      <c r="A89" s="61">
        <v>4</v>
      </c>
      <c r="B89" s="61">
        <v>6</v>
      </c>
      <c r="C89" s="60"/>
      <c r="G89" s="62"/>
      <c r="I89" s="86" t="e">
        <f t="shared" si="4"/>
        <v>#DIV/0!</v>
      </c>
      <c r="J89" s="87" t="e">
        <f t="shared" si="4"/>
        <v>#DIV/0!</v>
      </c>
      <c r="K89" s="87" t="e">
        <f t="shared" si="4"/>
        <v>#DIV/0!</v>
      </c>
      <c r="L89" s="87" t="e">
        <f t="shared" si="4"/>
        <v>#DIV/0!</v>
      </c>
      <c r="M89" s="88" t="e">
        <f t="shared" si="4"/>
        <v>#DIV/0!</v>
      </c>
      <c r="O89" s="61" t="str">
        <f t="shared" si="5"/>
        <v>שפרעם</v>
      </c>
      <c r="P89" s="61" t="str">
        <f t="shared" si="6"/>
        <v>קרית מוצקין</v>
      </c>
    </row>
    <row r="90" spans="1:16" x14ac:dyDescent="0.3">
      <c r="A90" s="61">
        <v>4</v>
      </c>
      <c r="B90" s="61">
        <v>7</v>
      </c>
      <c r="C90" s="60"/>
      <c r="G90" s="62"/>
      <c r="I90" s="86" t="e">
        <f t="shared" si="4"/>
        <v>#DIV/0!</v>
      </c>
      <c r="J90" s="87" t="e">
        <f t="shared" si="4"/>
        <v>#DIV/0!</v>
      </c>
      <c r="K90" s="87" t="e">
        <f t="shared" si="4"/>
        <v>#DIV/0!</v>
      </c>
      <c r="L90" s="87" t="e">
        <f t="shared" si="4"/>
        <v>#DIV/0!</v>
      </c>
      <c r="M90" s="88" t="e">
        <f t="shared" si="4"/>
        <v>#DIV/0!</v>
      </c>
      <c r="O90" s="61" t="str">
        <f t="shared" si="5"/>
        <v>שפרעם</v>
      </c>
      <c r="P90" s="61" t="str">
        <f t="shared" si="6"/>
        <v>קרית ביאליק</v>
      </c>
    </row>
    <row r="91" spans="1:16" x14ac:dyDescent="0.3">
      <c r="A91" s="61">
        <v>4</v>
      </c>
      <c r="B91" s="61">
        <v>8</v>
      </c>
      <c r="C91" s="60"/>
      <c r="G91" s="62"/>
      <c r="I91" s="86" t="e">
        <f t="shared" si="4"/>
        <v>#DIV/0!</v>
      </c>
      <c r="J91" s="87" t="e">
        <f t="shared" si="4"/>
        <v>#DIV/0!</v>
      </c>
      <c r="K91" s="87" t="e">
        <f t="shared" si="4"/>
        <v>#DIV/0!</v>
      </c>
      <c r="L91" s="87" t="e">
        <f t="shared" si="4"/>
        <v>#DIV/0!</v>
      </c>
      <c r="M91" s="88" t="e">
        <f t="shared" si="4"/>
        <v>#DIV/0!</v>
      </c>
      <c r="O91" s="61" t="str">
        <f t="shared" si="5"/>
        <v>שפרעם</v>
      </c>
      <c r="P91" s="61" t="str">
        <f t="shared" si="6"/>
        <v>קרית חיים</v>
      </c>
    </row>
    <row r="92" spans="1:16" x14ac:dyDescent="0.3">
      <c r="A92" s="61">
        <v>4</v>
      </c>
      <c r="B92" s="61">
        <v>9</v>
      </c>
      <c r="C92" s="60"/>
      <c r="G92" s="62"/>
      <c r="I92" s="86" t="e">
        <f t="shared" si="4"/>
        <v>#DIV/0!</v>
      </c>
      <c r="J92" s="87" t="e">
        <f t="shared" si="4"/>
        <v>#DIV/0!</v>
      </c>
      <c r="K92" s="87" t="e">
        <f t="shared" si="4"/>
        <v>#DIV/0!</v>
      </c>
      <c r="L92" s="87" t="e">
        <f t="shared" si="4"/>
        <v>#DIV/0!</v>
      </c>
      <c r="M92" s="88" t="e">
        <f t="shared" si="4"/>
        <v>#DIV/0!</v>
      </c>
      <c r="O92" s="61" t="str">
        <f t="shared" si="5"/>
        <v>שפרעם</v>
      </c>
      <c r="P92" s="61" t="str">
        <f t="shared" si="6"/>
        <v>קרית אתא</v>
      </c>
    </row>
    <row r="93" spans="1:16" x14ac:dyDescent="0.3">
      <c r="A93" s="61">
        <v>4</v>
      </c>
      <c r="B93" s="61">
        <v>10</v>
      </c>
      <c r="C93" s="60"/>
      <c r="G93" s="62"/>
      <c r="I93" s="86" t="e">
        <f t="shared" si="4"/>
        <v>#DIV/0!</v>
      </c>
      <c r="J93" s="87" t="e">
        <f t="shared" si="4"/>
        <v>#DIV/0!</v>
      </c>
      <c r="K93" s="87" t="e">
        <f t="shared" si="4"/>
        <v>#DIV/0!</v>
      </c>
      <c r="L93" s="87" t="e">
        <f t="shared" si="4"/>
        <v>#DIV/0!</v>
      </c>
      <c r="M93" s="88" t="e">
        <f t="shared" si="4"/>
        <v>#DIV/0!</v>
      </c>
      <c r="O93" s="61" t="str">
        <f t="shared" si="5"/>
        <v>שפרעם</v>
      </c>
      <c r="P93" s="61" t="str">
        <f t="shared" si="6"/>
        <v>כפר מנדא</v>
      </c>
    </row>
    <row r="94" spans="1:16" x14ac:dyDescent="0.3">
      <c r="A94" s="61">
        <v>4</v>
      </c>
      <c r="B94" s="61">
        <v>11</v>
      </c>
      <c r="C94" s="60"/>
      <c r="G94" s="62"/>
      <c r="I94" s="86" t="e">
        <f t="shared" si="4"/>
        <v>#DIV/0!</v>
      </c>
      <c r="J94" s="87" t="e">
        <f t="shared" si="4"/>
        <v>#DIV/0!</v>
      </c>
      <c r="K94" s="87" t="e">
        <f t="shared" si="4"/>
        <v>#DIV/0!</v>
      </c>
      <c r="L94" s="87" t="e">
        <f t="shared" si="4"/>
        <v>#DIV/0!</v>
      </c>
      <c r="M94" s="88" t="e">
        <f t="shared" si="4"/>
        <v>#DIV/0!</v>
      </c>
      <c r="O94" s="61" t="str">
        <f t="shared" si="5"/>
        <v>שפרעם</v>
      </c>
      <c r="P94" s="61" t="str">
        <f t="shared" si="6"/>
        <v>זבולון</v>
      </c>
    </row>
    <row r="95" spans="1:16" x14ac:dyDescent="0.3">
      <c r="A95" s="61">
        <v>4</v>
      </c>
      <c r="B95" s="61">
        <v>12</v>
      </c>
      <c r="C95" s="60"/>
      <c r="G95" s="62"/>
      <c r="I95" s="86" t="e">
        <f t="shared" si="4"/>
        <v>#DIV/0!</v>
      </c>
      <c r="J95" s="87" t="e">
        <f t="shared" si="4"/>
        <v>#DIV/0!</v>
      </c>
      <c r="K95" s="87" t="e">
        <f t="shared" si="4"/>
        <v>#DIV/0!</v>
      </c>
      <c r="L95" s="87" t="e">
        <f t="shared" si="4"/>
        <v>#DIV/0!</v>
      </c>
      <c r="M95" s="88" t="e">
        <f t="shared" si="4"/>
        <v>#DIV/0!</v>
      </c>
      <c r="O95" s="61" t="str">
        <f t="shared" si="5"/>
        <v>שפרעם</v>
      </c>
      <c r="P95" s="61" t="str">
        <f t="shared" si="6"/>
        <v>חיפה מפרץ</v>
      </c>
    </row>
    <row r="96" spans="1:16" x14ac:dyDescent="0.3">
      <c r="A96" s="61">
        <v>4</v>
      </c>
      <c r="B96" s="61">
        <v>13</v>
      </c>
      <c r="C96" s="60"/>
      <c r="G96" s="62"/>
      <c r="I96" s="86" t="e">
        <f t="shared" si="4"/>
        <v>#DIV/0!</v>
      </c>
      <c r="J96" s="87" t="e">
        <f t="shared" si="4"/>
        <v>#DIV/0!</v>
      </c>
      <c r="K96" s="87" t="e">
        <f t="shared" si="4"/>
        <v>#DIV/0!</v>
      </c>
      <c r="L96" s="87" t="e">
        <f t="shared" si="4"/>
        <v>#DIV/0!</v>
      </c>
      <c r="M96" s="88" t="e">
        <f t="shared" si="4"/>
        <v>#DIV/0!</v>
      </c>
      <c r="O96" s="61" t="str">
        <f t="shared" si="5"/>
        <v>שפרעם</v>
      </c>
      <c r="P96" s="61" t="str">
        <f t="shared" si="6"/>
        <v>חיפה עיר תחתית</v>
      </c>
    </row>
    <row r="97" spans="1:16" x14ac:dyDescent="0.3">
      <c r="A97" s="61">
        <v>4</v>
      </c>
      <c r="B97" s="61">
        <v>14</v>
      </c>
      <c r="C97" s="60"/>
      <c r="G97" s="62"/>
      <c r="I97" s="86" t="e">
        <f t="shared" si="4"/>
        <v>#DIV/0!</v>
      </c>
      <c r="J97" s="87" t="e">
        <f t="shared" si="4"/>
        <v>#DIV/0!</v>
      </c>
      <c r="K97" s="87" t="e">
        <f t="shared" si="4"/>
        <v>#DIV/0!</v>
      </c>
      <c r="L97" s="87" t="e">
        <f t="shared" si="4"/>
        <v>#DIV/0!</v>
      </c>
      <c r="M97" s="88" t="e">
        <f t="shared" si="4"/>
        <v>#DIV/0!</v>
      </c>
      <c r="O97" s="61" t="str">
        <f t="shared" si="5"/>
        <v>שפרעם</v>
      </c>
      <c r="P97" s="61" t="str">
        <f t="shared" si="6"/>
        <v>חיפה הדר-כרמל</v>
      </c>
    </row>
    <row r="98" spans="1:16" x14ac:dyDescent="0.3">
      <c r="A98" s="61">
        <v>4</v>
      </c>
      <c r="B98" s="61">
        <v>15</v>
      </c>
      <c r="C98" s="60"/>
      <c r="G98" s="62"/>
      <c r="I98" s="86" t="e">
        <f t="shared" si="4"/>
        <v>#DIV/0!</v>
      </c>
      <c r="J98" s="87" t="e">
        <f t="shared" si="4"/>
        <v>#DIV/0!</v>
      </c>
      <c r="K98" s="87" t="e">
        <f t="shared" si="4"/>
        <v>#DIV/0!</v>
      </c>
      <c r="L98" s="87" t="e">
        <f t="shared" si="4"/>
        <v>#DIV/0!</v>
      </c>
      <c r="M98" s="88" t="e">
        <f t="shared" si="4"/>
        <v>#DIV/0!</v>
      </c>
      <c r="O98" s="61" t="str">
        <f t="shared" si="5"/>
        <v>שפרעם</v>
      </c>
      <c r="P98" s="61" t="str">
        <f t="shared" si="6"/>
        <v>חיפה מערב</v>
      </c>
    </row>
    <row r="99" spans="1:16" x14ac:dyDescent="0.3">
      <c r="A99" s="61">
        <v>4</v>
      </c>
      <c r="B99" s="61">
        <v>16</v>
      </c>
      <c r="C99" s="60"/>
      <c r="G99" s="62"/>
      <c r="I99" s="86" t="e">
        <f t="shared" si="4"/>
        <v>#DIV/0!</v>
      </c>
      <c r="J99" s="87" t="e">
        <f t="shared" si="4"/>
        <v>#DIV/0!</v>
      </c>
      <c r="K99" s="87" t="e">
        <f t="shared" si="4"/>
        <v>#DIV/0!</v>
      </c>
      <c r="L99" s="87" t="e">
        <f t="shared" si="4"/>
        <v>#DIV/0!</v>
      </c>
      <c r="M99" s="88" t="e">
        <f t="shared" si="4"/>
        <v>#DIV/0!</v>
      </c>
      <c r="O99" s="61" t="str">
        <f t="shared" si="5"/>
        <v>שפרעם</v>
      </c>
      <c r="P99" s="61" t="str">
        <f t="shared" si="6"/>
        <v>חיפה כרמל</v>
      </c>
    </row>
    <row r="100" spans="1:16" x14ac:dyDescent="0.3">
      <c r="A100" s="61">
        <v>4</v>
      </c>
      <c r="B100" s="61">
        <v>17</v>
      </c>
      <c r="C100" s="60"/>
      <c r="G100" s="62"/>
      <c r="I100" s="86" t="e">
        <f t="shared" si="4"/>
        <v>#DIV/0!</v>
      </c>
      <c r="J100" s="87" t="e">
        <f t="shared" si="4"/>
        <v>#DIV/0!</v>
      </c>
      <c r="K100" s="87" t="e">
        <f t="shared" si="4"/>
        <v>#DIV/0!</v>
      </c>
      <c r="L100" s="87" t="e">
        <f t="shared" si="4"/>
        <v>#DIV/0!</v>
      </c>
      <c r="M100" s="88" t="e">
        <f t="shared" si="4"/>
        <v>#DIV/0!</v>
      </c>
      <c r="O100" s="61" t="str">
        <f t="shared" si="5"/>
        <v>שפרעם</v>
      </c>
      <c r="P100" s="61" t="str">
        <f t="shared" si="6"/>
        <v>חיפה נווה שאנן</v>
      </c>
    </row>
    <row r="101" spans="1:16" x14ac:dyDescent="0.3">
      <c r="A101" s="61">
        <v>4</v>
      </c>
      <c r="B101" s="61">
        <v>18</v>
      </c>
      <c r="C101" s="60"/>
      <c r="G101" s="62"/>
      <c r="I101" s="86" t="e">
        <f t="shared" si="4"/>
        <v>#DIV/0!</v>
      </c>
      <c r="J101" s="87" t="e">
        <f t="shared" si="4"/>
        <v>#DIV/0!</v>
      </c>
      <c r="K101" s="87" t="e">
        <f t="shared" si="4"/>
        <v>#DIV/0!</v>
      </c>
      <c r="L101" s="87" t="e">
        <f t="shared" si="4"/>
        <v>#DIV/0!</v>
      </c>
      <c r="M101" s="88" t="e">
        <f t="shared" si="4"/>
        <v>#DIV/0!</v>
      </c>
      <c r="O101" s="61" t="str">
        <f t="shared" si="5"/>
        <v>שפרעם</v>
      </c>
      <c r="P101" s="61" t="str">
        <f t="shared" si="6"/>
        <v>נשר</v>
      </c>
    </row>
    <row r="102" spans="1:16" x14ac:dyDescent="0.3">
      <c r="A102" s="61">
        <v>4</v>
      </c>
      <c r="B102" s="61">
        <v>19</v>
      </c>
      <c r="C102" s="60"/>
      <c r="G102" s="62"/>
      <c r="I102" s="86" t="e">
        <f t="shared" si="4"/>
        <v>#DIV/0!</v>
      </c>
      <c r="J102" s="87" t="e">
        <f t="shared" si="4"/>
        <v>#DIV/0!</v>
      </c>
      <c r="K102" s="87" t="e">
        <f t="shared" si="4"/>
        <v>#DIV/0!</v>
      </c>
      <c r="L102" s="87" t="e">
        <f t="shared" si="4"/>
        <v>#DIV/0!</v>
      </c>
      <c r="M102" s="88" t="e">
        <f t="shared" si="4"/>
        <v>#DIV/0!</v>
      </c>
      <c r="O102" s="61" t="str">
        <f t="shared" si="5"/>
        <v>שפרעם</v>
      </c>
      <c r="P102" s="61" t="str">
        <f t="shared" si="6"/>
        <v>נצרת</v>
      </c>
    </row>
    <row r="103" spans="1:16" x14ac:dyDescent="0.3">
      <c r="A103" s="61">
        <v>4</v>
      </c>
      <c r="B103" s="61">
        <v>20</v>
      </c>
      <c r="C103" s="60"/>
      <c r="G103" s="62"/>
      <c r="I103" s="86" t="e">
        <f t="shared" si="4"/>
        <v>#DIV/0!</v>
      </c>
      <c r="J103" s="87" t="e">
        <f t="shared" si="4"/>
        <v>#DIV/0!</v>
      </c>
      <c r="K103" s="87" t="e">
        <f t="shared" si="4"/>
        <v>#DIV/0!</v>
      </c>
      <c r="L103" s="87" t="e">
        <f t="shared" si="4"/>
        <v>#DIV/0!</v>
      </c>
      <c r="M103" s="88" t="e">
        <f t="shared" si="4"/>
        <v>#DIV/0!</v>
      </c>
      <c r="O103" s="61" t="str">
        <f t="shared" si="5"/>
        <v>שפרעם</v>
      </c>
      <c r="P103" s="61" t="str">
        <f t="shared" si="6"/>
        <v>נצרת-עילית</v>
      </c>
    </row>
    <row r="104" spans="1:16" x14ac:dyDescent="0.3">
      <c r="A104" s="61">
        <v>4</v>
      </c>
      <c r="B104" s="61">
        <v>21</v>
      </c>
      <c r="C104" s="60"/>
      <c r="G104" s="62"/>
      <c r="I104" s="86" t="e">
        <f t="shared" si="4"/>
        <v>#DIV/0!</v>
      </c>
      <c r="J104" s="87" t="e">
        <f t="shared" si="4"/>
        <v>#DIV/0!</v>
      </c>
      <c r="K104" s="87" t="e">
        <f t="shared" si="4"/>
        <v>#DIV/0!</v>
      </c>
      <c r="L104" s="87" t="e">
        <f t="shared" si="4"/>
        <v>#DIV/0!</v>
      </c>
      <c r="M104" s="88" t="e">
        <f t="shared" si="4"/>
        <v>#DIV/0!</v>
      </c>
      <c r="O104" s="61" t="str">
        <f t="shared" si="5"/>
        <v>שפרעם</v>
      </c>
      <c r="P104" s="61" t="str">
        <f t="shared" si="6"/>
        <v>מגדל העמק</v>
      </c>
    </row>
    <row r="105" spans="1:16" x14ac:dyDescent="0.3">
      <c r="A105" s="61">
        <v>4</v>
      </c>
      <c r="B105" s="61">
        <v>22</v>
      </c>
      <c r="C105" s="60"/>
      <c r="G105" s="62"/>
      <c r="I105" s="86" t="e">
        <f t="shared" si="4"/>
        <v>#DIV/0!</v>
      </c>
      <c r="J105" s="87" t="e">
        <f t="shared" si="4"/>
        <v>#DIV/0!</v>
      </c>
      <c r="K105" s="87" t="e">
        <f t="shared" si="4"/>
        <v>#DIV/0!</v>
      </c>
      <c r="L105" s="87" t="e">
        <f t="shared" si="4"/>
        <v>#DIV/0!</v>
      </c>
      <c r="M105" s="88" t="e">
        <f t="shared" si="4"/>
        <v>#DIV/0!</v>
      </c>
      <c r="O105" s="61" t="str">
        <f t="shared" si="5"/>
        <v>שפרעם</v>
      </c>
      <c r="P105" s="61" t="str">
        <f t="shared" si="6"/>
        <v>יוקנעם</v>
      </c>
    </row>
    <row r="106" spans="1:16" x14ac:dyDescent="0.3">
      <c r="A106" s="61">
        <v>4</v>
      </c>
      <c r="B106" s="61">
        <v>23</v>
      </c>
      <c r="C106" s="60"/>
      <c r="G106" s="62"/>
      <c r="I106" s="86" t="e">
        <f t="shared" si="4"/>
        <v>#DIV/0!</v>
      </c>
      <c r="J106" s="87" t="e">
        <f t="shared" si="4"/>
        <v>#DIV/0!</v>
      </c>
      <c r="K106" s="87" t="e">
        <f t="shared" si="4"/>
        <v>#DIV/0!</v>
      </c>
      <c r="L106" s="87" t="e">
        <f t="shared" si="4"/>
        <v>#DIV/0!</v>
      </c>
      <c r="M106" s="88" t="e">
        <f t="shared" si="4"/>
        <v>#DIV/0!</v>
      </c>
      <c r="O106" s="61" t="str">
        <f t="shared" si="5"/>
        <v>שפרעם</v>
      </c>
      <c r="P106" s="61" t="str">
        <f t="shared" si="6"/>
        <v>דלית אל כרמל</v>
      </c>
    </row>
    <row r="107" spans="1:16" x14ac:dyDescent="0.3">
      <c r="A107" s="61">
        <v>4</v>
      </c>
      <c r="B107" s="61">
        <v>24</v>
      </c>
      <c r="C107" s="60"/>
      <c r="G107" s="62"/>
      <c r="I107" s="86" t="e">
        <f t="shared" si="4"/>
        <v>#DIV/0!</v>
      </c>
      <c r="J107" s="87" t="e">
        <f t="shared" si="4"/>
        <v>#DIV/0!</v>
      </c>
      <c r="K107" s="87" t="e">
        <f t="shared" si="4"/>
        <v>#DIV/0!</v>
      </c>
      <c r="L107" s="87" t="e">
        <f t="shared" si="4"/>
        <v>#DIV/0!</v>
      </c>
      <c r="M107" s="88" t="e">
        <f t="shared" si="4"/>
        <v>#DIV/0!</v>
      </c>
      <c r="O107" s="61" t="str">
        <f t="shared" si="5"/>
        <v>שפרעם</v>
      </c>
      <c r="P107" s="61" t="str">
        <f t="shared" si="6"/>
        <v>חוף הכרמל</v>
      </c>
    </row>
    <row r="108" spans="1:16" x14ac:dyDescent="0.3">
      <c r="A108" s="61">
        <v>4</v>
      </c>
      <c r="B108" s="61">
        <v>25</v>
      </c>
      <c r="C108" s="60"/>
      <c r="G108" s="62"/>
      <c r="I108" s="86" t="e">
        <f t="shared" si="4"/>
        <v>#DIV/0!</v>
      </c>
      <c r="J108" s="87" t="e">
        <f t="shared" si="4"/>
        <v>#DIV/0!</v>
      </c>
      <c r="K108" s="87" t="e">
        <f t="shared" si="4"/>
        <v>#DIV/0!</v>
      </c>
      <c r="L108" s="87" t="e">
        <f t="shared" si="4"/>
        <v>#DIV/0!</v>
      </c>
      <c r="M108" s="88" t="e">
        <f t="shared" si="4"/>
        <v>#DIV/0!</v>
      </c>
      <c r="O108" s="61" t="str">
        <f t="shared" si="5"/>
        <v>שפרעם</v>
      </c>
      <c r="P108" s="61" t="str">
        <f t="shared" si="6"/>
        <v>זכרון יעקב</v>
      </c>
    </row>
    <row r="109" spans="1:16" x14ac:dyDescent="0.3">
      <c r="A109" s="61">
        <v>4</v>
      </c>
      <c r="B109" s="61">
        <v>30</v>
      </c>
      <c r="C109" s="60"/>
      <c r="G109" s="62"/>
      <c r="I109" s="86" t="e">
        <f t="shared" si="4"/>
        <v>#DIV/0!</v>
      </c>
      <c r="J109" s="87" t="e">
        <f t="shared" si="4"/>
        <v>#DIV/0!</v>
      </c>
      <c r="K109" s="87" t="e">
        <f t="shared" si="4"/>
        <v>#DIV/0!</v>
      </c>
      <c r="L109" s="87" t="e">
        <f t="shared" si="4"/>
        <v>#DIV/0!</v>
      </c>
      <c r="M109" s="88" t="e">
        <f t="shared" si="4"/>
        <v>#DIV/0!</v>
      </c>
      <c r="O109" s="61" t="str">
        <f t="shared" si="5"/>
        <v>שפרעם</v>
      </c>
      <c r="P109" s="61" t="str">
        <f t="shared" si="6"/>
        <v>סכנין</v>
      </c>
    </row>
    <row r="110" spans="1:16" x14ac:dyDescent="0.3">
      <c r="A110" s="61">
        <v>5</v>
      </c>
      <c r="B110" s="61">
        <v>1</v>
      </c>
      <c r="C110" s="60"/>
      <c r="G110" s="62"/>
      <c r="I110" s="86" t="e">
        <f t="shared" si="4"/>
        <v>#DIV/0!</v>
      </c>
      <c r="J110" s="87" t="e">
        <f t="shared" si="4"/>
        <v>#DIV/0!</v>
      </c>
      <c r="K110" s="87" t="e">
        <f t="shared" si="4"/>
        <v>#DIV/0!</v>
      </c>
      <c r="L110" s="87" t="e">
        <f t="shared" si="4"/>
        <v>#DIV/0!</v>
      </c>
      <c r="M110" s="88" t="e">
        <f t="shared" si="4"/>
        <v>#DIV/0!</v>
      </c>
      <c r="O110" s="61" t="str">
        <f t="shared" si="5"/>
        <v>קרית ים</v>
      </c>
      <c r="P110" s="61" t="str">
        <f t="shared" si="6"/>
        <v>נהריה</v>
      </c>
    </row>
    <row r="111" spans="1:16" x14ac:dyDescent="0.3">
      <c r="A111" s="61">
        <v>5</v>
      </c>
      <c r="B111" s="61">
        <v>2</v>
      </c>
      <c r="C111" s="60"/>
      <c r="G111" s="62"/>
      <c r="I111" s="86" t="e">
        <f t="shared" si="4"/>
        <v>#DIV/0!</v>
      </c>
      <c r="J111" s="87" t="e">
        <f t="shared" si="4"/>
        <v>#DIV/0!</v>
      </c>
      <c r="K111" s="87" t="e">
        <f t="shared" si="4"/>
        <v>#DIV/0!</v>
      </c>
      <c r="L111" s="87" t="e">
        <f t="shared" si="4"/>
        <v>#DIV/0!</v>
      </c>
      <c r="M111" s="88" t="e">
        <f t="shared" si="4"/>
        <v>#DIV/0!</v>
      </c>
      <c r="O111" s="61" t="str">
        <f t="shared" si="5"/>
        <v>קרית ים</v>
      </c>
      <c r="P111" s="61" t="str">
        <f t="shared" si="6"/>
        <v>עכו</v>
      </c>
    </row>
    <row r="112" spans="1:16" x14ac:dyDescent="0.3">
      <c r="A112" s="61">
        <v>5</v>
      </c>
      <c r="B112" s="61">
        <v>3</v>
      </c>
      <c r="C112" s="60"/>
      <c r="G112" s="62"/>
      <c r="I112" s="86" t="e">
        <f t="shared" si="4"/>
        <v>#DIV/0!</v>
      </c>
      <c r="J112" s="87" t="e">
        <f t="shared" si="4"/>
        <v>#DIV/0!</v>
      </c>
      <c r="K112" s="87" t="e">
        <f t="shared" si="4"/>
        <v>#DIV/0!</v>
      </c>
      <c r="L112" s="87" t="e">
        <f t="shared" si="4"/>
        <v>#DIV/0!</v>
      </c>
      <c r="M112" s="88" t="e">
        <f t="shared" si="4"/>
        <v>#DIV/0!</v>
      </c>
      <c r="O112" s="61" t="str">
        <f t="shared" si="5"/>
        <v>קרית ים</v>
      </c>
      <c r="P112" s="61" t="str">
        <f t="shared" si="6"/>
        <v>כרמיאל</v>
      </c>
    </row>
    <row r="113" spans="1:16" x14ac:dyDescent="0.3">
      <c r="A113" s="61">
        <v>5</v>
      </c>
      <c r="B113" s="61">
        <v>4</v>
      </c>
      <c r="C113" s="60"/>
      <c r="G113" s="62"/>
      <c r="I113" s="86" t="e">
        <f t="shared" si="4"/>
        <v>#DIV/0!</v>
      </c>
      <c r="J113" s="87" t="e">
        <f t="shared" si="4"/>
        <v>#DIV/0!</v>
      </c>
      <c r="K113" s="87" t="e">
        <f t="shared" si="4"/>
        <v>#DIV/0!</v>
      </c>
      <c r="L113" s="87" t="e">
        <f t="shared" si="4"/>
        <v>#DIV/0!</v>
      </c>
      <c r="M113" s="88" t="e">
        <f t="shared" si="4"/>
        <v>#DIV/0!</v>
      </c>
      <c r="O113" s="61" t="str">
        <f t="shared" si="5"/>
        <v>קרית ים</v>
      </c>
      <c r="P113" s="61" t="str">
        <f t="shared" si="6"/>
        <v>שפרעם</v>
      </c>
    </row>
    <row r="114" spans="1:16" x14ac:dyDescent="0.3">
      <c r="A114" s="61">
        <v>5</v>
      </c>
      <c r="B114" s="61">
        <v>5</v>
      </c>
      <c r="C114" s="60"/>
      <c r="G114" s="62"/>
      <c r="I114" s="86" t="e">
        <f t="shared" si="4"/>
        <v>#DIV/0!</v>
      </c>
      <c r="J114" s="87" t="e">
        <f t="shared" si="4"/>
        <v>#DIV/0!</v>
      </c>
      <c r="K114" s="87" t="e">
        <f t="shared" si="4"/>
        <v>#DIV/0!</v>
      </c>
      <c r="L114" s="87" t="e">
        <f t="shared" si="4"/>
        <v>#DIV/0!</v>
      </c>
      <c r="M114" s="88" t="e">
        <f t="shared" si="4"/>
        <v>#DIV/0!</v>
      </c>
      <c r="O114" s="61" t="str">
        <f t="shared" si="5"/>
        <v>קרית ים</v>
      </c>
      <c r="P114" s="61" t="str">
        <f t="shared" si="6"/>
        <v>קרית ים</v>
      </c>
    </row>
    <row r="115" spans="1:16" x14ac:dyDescent="0.3">
      <c r="A115" s="61">
        <v>5</v>
      </c>
      <c r="B115" s="61">
        <v>6</v>
      </c>
      <c r="C115" s="60"/>
      <c r="G115" s="62"/>
      <c r="I115" s="86" t="e">
        <f t="shared" si="4"/>
        <v>#DIV/0!</v>
      </c>
      <c r="J115" s="87" t="e">
        <f t="shared" si="4"/>
        <v>#DIV/0!</v>
      </c>
      <c r="K115" s="87" t="e">
        <f t="shared" si="4"/>
        <v>#DIV/0!</v>
      </c>
      <c r="L115" s="87" t="e">
        <f t="shared" si="4"/>
        <v>#DIV/0!</v>
      </c>
      <c r="M115" s="88" t="e">
        <f t="shared" si="4"/>
        <v>#DIV/0!</v>
      </c>
      <c r="O115" s="61" t="str">
        <f t="shared" si="5"/>
        <v>קרית ים</v>
      </c>
      <c r="P115" s="61" t="str">
        <f t="shared" si="6"/>
        <v>קרית מוצקין</v>
      </c>
    </row>
    <row r="116" spans="1:16" x14ac:dyDescent="0.3">
      <c r="A116" s="61">
        <v>5</v>
      </c>
      <c r="B116" s="61">
        <v>7</v>
      </c>
      <c r="C116" s="60"/>
      <c r="G116" s="62"/>
      <c r="I116" s="86" t="e">
        <f t="shared" si="4"/>
        <v>#DIV/0!</v>
      </c>
      <c r="J116" s="87" t="e">
        <f t="shared" si="4"/>
        <v>#DIV/0!</v>
      </c>
      <c r="K116" s="87" t="e">
        <f t="shared" si="4"/>
        <v>#DIV/0!</v>
      </c>
      <c r="L116" s="87" t="e">
        <f t="shared" si="4"/>
        <v>#DIV/0!</v>
      </c>
      <c r="M116" s="88" t="e">
        <f t="shared" si="4"/>
        <v>#DIV/0!</v>
      </c>
      <c r="O116" s="61" t="str">
        <f t="shared" si="5"/>
        <v>קרית ים</v>
      </c>
      <c r="P116" s="61" t="str">
        <f t="shared" si="6"/>
        <v>קרית ביאליק</v>
      </c>
    </row>
    <row r="117" spans="1:16" x14ac:dyDescent="0.3">
      <c r="A117" s="61">
        <v>5</v>
      </c>
      <c r="B117" s="61">
        <v>8</v>
      </c>
      <c r="C117" s="60"/>
      <c r="G117" s="62"/>
      <c r="I117" s="86" t="e">
        <f t="shared" si="4"/>
        <v>#DIV/0!</v>
      </c>
      <c r="J117" s="87" t="e">
        <f t="shared" si="4"/>
        <v>#DIV/0!</v>
      </c>
      <c r="K117" s="87" t="e">
        <f t="shared" si="4"/>
        <v>#DIV/0!</v>
      </c>
      <c r="L117" s="87" t="e">
        <f t="shared" si="4"/>
        <v>#DIV/0!</v>
      </c>
      <c r="M117" s="88" t="e">
        <f t="shared" si="4"/>
        <v>#DIV/0!</v>
      </c>
      <c r="O117" s="61" t="str">
        <f t="shared" si="5"/>
        <v>קרית ים</v>
      </c>
      <c r="P117" s="61" t="str">
        <f t="shared" si="6"/>
        <v>קרית חיים</v>
      </c>
    </row>
    <row r="118" spans="1:16" x14ac:dyDescent="0.3">
      <c r="A118" s="61">
        <v>5</v>
      </c>
      <c r="B118" s="61">
        <v>9</v>
      </c>
      <c r="C118" s="60"/>
      <c r="G118" s="62"/>
      <c r="I118" s="86" t="e">
        <f t="shared" si="4"/>
        <v>#DIV/0!</v>
      </c>
      <c r="J118" s="87" t="e">
        <f t="shared" si="4"/>
        <v>#DIV/0!</v>
      </c>
      <c r="K118" s="87" t="e">
        <f t="shared" si="4"/>
        <v>#DIV/0!</v>
      </c>
      <c r="L118" s="87" t="e">
        <f t="shared" si="4"/>
        <v>#DIV/0!</v>
      </c>
      <c r="M118" s="88" t="e">
        <f t="shared" si="4"/>
        <v>#DIV/0!</v>
      </c>
      <c r="O118" s="61" t="str">
        <f t="shared" si="5"/>
        <v>קרית ים</v>
      </c>
      <c r="P118" s="61" t="str">
        <f t="shared" si="6"/>
        <v>קרית אתא</v>
      </c>
    </row>
    <row r="119" spans="1:16" x14ac:dyDescent="0.3">
      <c r="A119" s="61">
        <v>5</v>
      </c>
      <c r="B119" s="61">
        <v>10</v>
      </c>
      <c r="C119" s="60"/>
      <c r="G119" s="62"/>
      <c r="I119" s="86" t="e">
        <f t="shared" si="4"/>
        <v>#DIV/0!</v>
      </c>
      <c r="J119" s="87" t="e">
        <f t="shared" si="4"/>
        <v>#DIV/0!</v>
      </c>
      <c r="K119" s="87" t="e">
        <f t="shared" si="4"/>
        <v>#DIV/0!</v>
      </c>
      <c r="L119" s="87" t="e">
        <f t="shared" si="4"/>
        <v>#DIV/0!</v>
      </c>
      <c r="M119" s="88" t="e">
        <f t="shared" si="4"/>
        <v>#DIV/0!</v>
      </c>
      <c r="O119" s="61" t="str">
        <f t="shared" si="5"/>
        <v>קרית ים</v>
      </c>
      <c r="P119" s="61" t="str">
        <f t="shared" si="6"/>
        <v>כפר מנדא</v>
      </c>
    </row>
    <row r="120" spans="1:16" x14ac:dyDescent="0.3">
      <c r="A120" s="61">
        <v>5</v>
      </c>
      <c r="B120" s="61">
        <v>11</v>
      </c>
      <c r="C120" s="60"/>
      <c r="G120" s="62"/>
      <c r="I120" s="86" t="e">
        <f t="shared" si="4"/>
        <v>#DIV/0!</v>
      </c>
      <c r="J120" s="87" t="e">
        <f t="shared" si="4"/>
        <v>#DIV/0!</v>
      </c>
      <c r="K120" s="87" t="e">
        <f t="shared" si="4"/>
        <v>#DIV/0!</v>
      </c>
      <c r="L120" s="87" t="e">
        <f t="shared" si="4"/>
        <v>#DIV/0!</v>
      </c>
      <c r="M120" s="88" t="e">
        <f t="shared" si="4"/>
        <v>#DIV/0!</v>
      </c>
      <c r="O120" s="61" t="str">
        <f t="shared" si="5"/>
        <v>קרית ים</v>
      </c>
      <c r="P120" s="61" t="str">
        <f t="shared" si="6"/>
        <v>זבולון</v>
      </c>
    </row>
    <row r="121" spans="1:16" x14ac:dyDescent="0.3">
      <c r="A121" s="61">
        <v>5</v>
      </c>
      <c r="B121" s="61">
        <v>12</v>
      </c>
      <c r="C121" s="60"/>
      <c r="G121" s="62"/>
      <c r="I121" s="86" t="e">
        <f t="shared" ref="I121:M171" si="7">C121/SUM($C121:$G121)</f>
        <v>#DIV/0!</v>
      </c>
      <c r="J121" s="87" t="e">
        <f t="shared" si="7"/>
        <v>#DIV/0!</v>
      </c>
      <c r="K121" s="87" t="e">
        <f t="shared" si="7"/>
        <v>#DIV/0!</v>
      </c>
      <c r="L121" s="87" t="e">
        <f t="shared" si="7"/>
        <v>#DIV/0!</v>
      </c>
      <c r="M121" s="88" t="e">
        <f t="shared" si="7"/>
        <v>#DIV/0!</v>
      </c>
      <c r="O121" s="61" t="str">
        <f t="shared" si="5"/>
        <v>קרית ים</v>
      </c>
      <c r="P121" s="61" t="str">
        <f t="shared" si="6"/>
        <v>חיפה מפרץ</v>
      </c>
    </row>
    <row r="122" spans="1:16" x14ac:dyDescent="0.3">
      <c r="A122" s="61">
        <v>5</v>
      </c>
      <c r="B122" s="61">
        <v>13</v>
      </c>
      <c r="C122" s="60"/>
      <c r="G122" s="62"/>
      <c r="I122" s="86" t="e">
        <f t="shared" si="7"/>
        <v>#DIV/0!</v>
      </c>
      <c r="J122" s="87" t="e">
        <f t="shared" si="7"/>
        <v>#DIV/0!</v>
      </c>
      <c r="K122" s="87" t="e">
        <f t="shared" si="7"/>
        <v>#DIV/0!</v>
      </c>
      <c r="L122" s="87" t="e">
        <f t="shared" si="7"/>
        <v>#DIV/0!</v>
      </c>
      <c r="M122" s="88" t="e">
        <f t="shared" si="7"/>
        <v>#DIV/0!</v>
      </c>
      <c r="O122" s="61" t="str">
        <f t="shared" si="5"/>
        <v>קרית ים</v>
      </c>
      <c r="P122" s="61" t="str">
        <f t="shared" si="6"/>
        <v>חיפה עיר תחתית</v>
      </c>
    </row>
    <row r="123" spans="1:16" x14ac:dyDescent="0.3">
      <c r="A123" s="61">
        <v>5</v>
      </c>
      <c r="B123" s="61">
        <v>14</v>
      </c>
      <c r="C123" s="60"/>
      <c r="G123" s="62"/>
      <c r="I123" s="86" t="e">
        <f t="shared" si="7"/>
        <v>#DIV/0!</v>
      </c>
      <c r="J123" s="87" t="e">
        <f t="shared" si="7"/>
        <v>#DIV/0!</v>
      </c>
      <c r="K123" s="87" t="e">
        <f t="shared" si="7"/>
        <v>#DIV/0!</v>
      </c>
      <c r="L123" s="87" t="e">
        <f t="shared" si="7"/>
        <v>#DIV/0!</v>
      </c>
      <c r="M123" s="88" t="e">
        <f t="shared" si="7"/>
        <v>#DIV/0!</v>
      </c>
      <c r="O123" s="61" t="str">
        <f t="shared" si="5"/>
        <v>קרית ים</v>
      </c>
      <c r="P123" s="61" t="str">
        <f t="shared" si="6"/>
        <v>חיפה הדר-כרמל</v>
      </c>
    </row>
    <row r="124" spans="1:16" x14ac:dyDescent="0.3">
      <c r="A124" s="61">
        <v>5</v>
      </c>
      <c r="B124" s="61">
        <v>15</v>
      </c>
      <c r="C124" s="60"/>
      <c r="G124" s="62"/>
      <c r="I124" s="86" t="e">
        <f t="shared" si="7"/>
        <v>#DIV/0!</v>
      </c>
      <c r="J124" s="87" t="e">
        <f t="shared" si="7"/>
        <v>#DIV/0!</v>
      </c>
      <c r="K124" s="87" t="e">
        <f t="shared" si="7"/>
        <v>#DIV/0!</v>
      </c>
      <c r="L124" s="87" t="e">
        <f t="shared" si="7"/>
        <v>#DIV/0!</v>
      </c>
      <c r="M124" s="88" t="e">
        <f t="shared" si="7"/>
        <v>#DIV/0!</v>
      </c>
      <c r="O124" s="61" t="str">
        <f t="shared" si="5"/>
        <v>קרית ים</v>
      </c>
      <c r="P124" s="61" t="str">
        <f t="shared" si="6"/>
        <v>חיפה מערב</v>
      </c>
    </row>
    <row r="125" spans="1:16" x14ac:dyDescent="0.3">
      <c r="A125" s="61">
        <v>5</v>
      </c>
      <c r="B125" s="61">
        <v>16</v>
      </c>
      <c r="C125" s="60"/>
      <c r="G125" s="62"/>
      <c r="I125" s="86" t="e">
        <f t="shared" si="7"/>
        <v>#DIV/0!</v>
      </c>
      <c r="J125" s="87" t="e">
        <f t="shared" si="7"/>
        <v>#DIV/0!</v>
      </c>
      <c r="K125" s="87" t="e">
        <f t="shared" si="7"/>
        <v>#DIV/0!</v>
      </c>
      <c r="L125" s="87" t="e">
        <f t="shared" si="7"/>
        <v>#DIV/0!</v>
      </c>
      <c r="M125" s="88" t="e">
        <f t="shared" si="7"/>
        <v>#DIV/0!</v>
      </c>
      <c r="O125" s="61" t="str">
        <f t="shared" si="5"/>
        <v>קרית ים</v>
      </c>
      <c r="P125" s="61" t="str">
        <f t="shared" si="6"/>
        <v>חיפה כרמל</v>
      </c>
    </row>
    <row r="126" spans="1:16" x14ac:dyDescent="0.3">
      <c r="A126" s="61">
        <v>5</v>
      </c>
      <c r="B126" s="61">
        <v>17</v>
      </c>
      <c r="C126" s="60"/>
      <c r="G126" s="62"/>
      <c r="I126" s="86" t="e">
        <f t="shared" si="7"/>
        <v>#DIV/0!</v>
      </c>
      <c r="J126" s="87" t="e">
        <f t="shared" si="7"/>
        <v>#DIV/0!</v>
      </c>
      <c r="K126" s="87" t="e">
        <f t="shared" si="7"/>
        <v>#DIV/0!</v>
      </c>
      <c r="L126" s="87" t="e">
        <f t="shared" si="7"/>
        <v>#DIV/0!</v>
      </c>
      <c r="M126" s="88" t="e">
        <f t="shared" si="7"/>
        <v>#DIV/0!</v>
      </c>
      <c r="O126" s="61" t="str">
        <f t="shared" si="5"/>
        <v>קרית ים</v>
      </c>
      <c r="P126" s="61" t="str">
        <f t="shared" si="6"/>
        <v>חיפה נווה שאנן</v>
      </c>
    </row>
    <row r="127" spans="1:16" x14ac:dyDescent="0.3">
      <c r="A127" s="61">
        <v>5</v>
      </c>
      <c r="B127" s="61">
        <v>18</v>
      </c>
      <c r="C127" s="60"/>
      <c r="G127" s="62"/>
      <c r="I127" s="86" t="e">
        <f t="shared" si="7"/>
        <v>#DIV/0!</v>
      </c>
      <c r="J127" s="87" t="e">
        <f t="shared" si="7"/>
        <v>#DIV/0!</v>
      </c>
      <c r="K127" s="87" t="e">
        <f t="shared" si="7"/>
        <v>#DIV/0!</v>
      </c>
      <c r="L127" s="87" t="e">
        <f t="shared" si="7"/>
        <v>#DIV/0!</v>
      </c>
      <c r="M127" s="88" t="e">
        <f t="shared" si="7"/>
        <v>#DIV/0!</v>
      </c>
      <c r="O127" s="61" t="str">
        <f t="shared" si="5"/>
        <v>קרית ים</v>
      </c>
      <c r="P127" s="61" t="str">
        <f t="shared" si="6"/>
        <v>נשר</v>
      </c>
    </row>
    <row r="128" spans="1:16" x14ac:dyDescent="0.3">
      <c r="A128" s="61">
        <v>5</v>
      </c>
      <c r="B128" s="61">
        <v>19</v>
      </c>
      <c r="C128" s="60"/>
      <c r="G128" s="62"/>
      <c r="I128" s="86" t="e">
        <f t="shared" si="7"/>
        <v>#DIV/0!</v>
      </c>
      <c r="J128" s="87" t="e">
        <f t="shared" si="7"/>
        <v>#DIV/0!</v>
      </c>
      <c r="K128" s="87" t="e">
        <f t="shared" si="7"/>
        <v>#DIV/0!</v>
      </c>
      <c r="L128" s="87" t="e">
        <f t="shared" si="7"/>
        <v>#DIV/0!</v>
      </c>
      <c r="M128" s="88" t="e">
        <f t="shared" si="7"/>
        <v>#DIV/0!</v>
      </c>
      <c r="O128" s="61" t="str">
        <f t="shared" si="5"/>
        <v>קרית ים</v>
      </c>
      <c r="P128" s="61" t="str">
        <f t="shared" si="6"/>
        <v>נצרת</v>
      </c>
    </row>
    <row r="129" spans="1:16" x14ac:dyDescent="0.3">
      <c r="A129" s="61">
        <v>5</v>
      </c>
      <c r="B129" s="61">
        <v>20</v>
      </c>
      <c r="C129" s="60"/>
      <c r="G129" s="62"/>
      <c r="I129" s="86" t="e">
        <f t="shared" si="7"/>
        <v>#DIV/0!</v>
      </c>
      <c r="J129" s="87" t="e">
        <f t="shared" si="7"/>
        <v>#DIV/0!</v>
      </c>
      <c r="K129" s="87" t="e">
        <f t="shared" si="7"/>
        <v>#DIV/0!</v>
      </c>
      <c r="L129" s="87" t="e">
        <f t="shared" si="7"/>
        <v>#DIV/0!</v>
      </c>
      <c r="M129" s="88" t="e">
        <f t="shared" si="7"/>
        <v>#DIV/0!</v>
      </c>
      <c r="O129" s="61" t="str">
        <f t="shared" si="5"/>
        <v>קרית ים</v>
      </c>
      <c r="P129" s="61" t="str">
        <f t="shared" si="6"/>
        <v>נצרת-עילית</v>
      </c>
    </row>
    <row r="130" spans="1:16" x14ac:dyDescent="0.3">
      <c r="A130" s="61">
        <v>5</v>
      </c>
      <c r="B130" s="61">
        <v>21</v>
      </c>
      <c r="C130" s="60"/>
      <c r="G130" s="62"/>
      <c r="I130" s="86" t="e">
        <f t="shared" si="7"/>
        <v>#DIV/0!</v>
      </c>
      <c r="J130" s="87" t="e">
        <f t="shared" si="7"/>
        <v>#DIV/0!</v>
      </c>
      <c r="K130" s="87" t="e">
        <f t="shared" si="7"/>
        <v>#DIV/0!</v>
      </c>
      <c r="L130" s="87" t="e">
        <f t="shared" si="7"/>
        <v>#DIV/0!</v>
      </c>
      <c r="M130" s="88" t="e">
        <f t="shared" si="7"/>
        <v>#DIV/0!</v>
      </c>
      <c r="O130" s="61" t="str">
        <f t="shared" si="5"/>
        <v>קרית ים</v>
      </c>
      <c r="P130" s="61" t="str">
        <f t="shared" si="6"/>
        <v>מגדל העמק</v>
      </c>
    </row>
    <row r="131" spans="1:16" x14ac:dyDescent="0.3">
      <c r="A131" s="61">
        <v>5</v>
      </c>
      <c r="B131" s="61">
        <v>22</v>
      </c>
      <c r="C131" s="60"/>
      <c r="G131" s="62"/>
      <c r="I131" s="86" t="e">
        <f t="shared" si="7"/>
        <v>#DIV/0!</v>
      </c>
      <c r="J131" s="87" t="e">
        <f t="shared" si="7"/>
        <v>#DIV/0!</v>
      </c>
      <c r="K131" s="87" t="e">
        <f t="shared" si="7"/>
        <v>#DIV/0!</v>
      </c>
      <c r="L131" s="87" t="e">
        <f t="shared" si="7"/>
        <v>#DIV/0!</v>
      </c>
      <c r="M131" s="88" t="e">
        <f t="shared" si="7"/>
        <v>#DIV/0!</v>
      </c>
      <c r="O131" s="61" t="str">
        <f t="shared" si="5"/>
        <v>קרית ים</v>
      </c>
      <c r="P131" s="61" t="str">
        <f t="shared" si="6"/>
        <v>יוקנעם</v>
      </c>
    </row>
    <row r="132" spans="1:16" x14ac:dyDescent="0.3">
      <c r="A132" s="61">
        <v>5</v>
      </c>
      <c r="B132" s="61">
        <v>23</v>
      </c>
      <c r="C132" s="60"/>
      <c r="G132" s="62"/>
      <c r="I132" s="86" t="e">
        <f t="shared" si="7"/>
        <v>#DIV/0!</v>
      </c>
      <c r="J132" s="87" t="e">
        <f t="shared" si="7"/>
        <v>#DIV/0!</v>
      </c>
      <c r="K132" s="87" t="e">
        <f t="shared" si="7"/>
        <v>#DIV/0!</v>
      </c>
      <c r="L132" s="87" t="e">
        <f t="shared" si="7"/>
        <v>#DIV/0!</v>
      </c>
      <c r="M132" s="88" t="e">
        <f t="shared" si="7"/>
        <v>#DIV/0!</v>
      </c>
      <c r="O132" s="61" t="str">
        <f t="shared" si="5"/>
        <v>קרית ים</v>
      </c>
      <c r="P132" s="61" t="str">
        <f t="shared" si="6"/>
        <v>דלית אל כרמל</v>
      </c>
    </row>
    <row r="133" spans="1:16" x14ac:dyDescent="0.3">
      <c r="A133" s="61">
        <v>5</v>
      </c>
      <c r="B133" s="61">
        <v>24</v>
      </c>
      <c r="C133" s="60"/>
      <c r="G133" s="62"/>
      <c r="I133" s="86" t="e">
        <f t="shared" si="7"/>
        <v>#DIV/0!</v>
      </c>
      <c r="J133" s="87" t="e">
        <f t="shared" si="7"/>
        <v>#DIV/0!</v>
      </c>
      <c r="K133" s="87" t="e">
        <f t="shared" si="7"/>
        <v>#DIV/0!</v>
      </c>
      <c r="L133" s="87" t="e">
        <f t="shared" si="7"/>
        <v>#DIV/0!</v>
      </c>
      <c r="M133" s="88" t="e">
        <f t="shared" si="7"/>
        <v>#DIV/0!</v>
      </c>
      <c r="O133" s="61" t="str">
        <f t="shared" si="5"/>
        <v>קרית ים</v>
      </c>
      <c r="P133" s="61" t="str">
        <f t="shared" si="6"/>
        <v>חוף הכרמל</v>
      </c>
    </row>
    <row r="134" spans="1:16" x14ac:dyDescent="0.3">
      <c r="A134" s="61">
        <v>5</v>
      </c>
      <c r="B134" s="61">
        <v>25</v>
      </c>
      <c r="C134" s="60"/>
      <c r="G134" s="62"/>
      <c r="I134" s="86" t="e">
        <f t="shared" si="7"/>
        <v>#DIV/0!</v>
      </c>
      <c r="J134" s="87" t="e">
        <f t="shared" si="7"/>
        <v>#DIV/0!</v>
      </c>
      <c r="K134" s="87" t="e">
        <f t="shared" si="7"/>
        <v>#DIV/0!</v>
      </c>
      <c r="L134" s="87" t="e">
        <f t="shared" si="7"/>
        <v>#DIV/0!</v>
      </c>
      <c r="M134" s="88" t="e">
        <f t="shared" si="7"/>
        <v>#DIV/0!</v>
      </c>
      <c r="O134" s="61" t="str">
        <f t="shared" ref="O134:O197" si="8">VLOOKUP(A134,$S$6:$T$31,2,0)</f>
        <v>קרית ים</v>
      </c>
      <c r="P134" s="61" t="str">
        <f t="shared" ref="P134:P197" si="9">VLOOKUP(B134,$S$6:$T$31,2,0)</f>
        <v>זכרון יעקב</v>
      </c>
    </row>
    <row r="135" spans="1:16" x14ac:dyDescent="0.3">
      <c r="A135" s="61">
        <v>5</v>
      </c>
      <c r="B135" s="61">
        <v>30</v>
      </c>
      <c r="C135" s="60"/>
      <c r="G135" s="62"/>
      <c r="I135" s="86" t="e">
        <f t="shared" si="7"/>
        <v>#DIV/0!</v>
      </c>
      <c r="J135" s="87" t="e">
        <f t="shared" si="7"/>
        <v>#DIV/0!</v>
      </c>
      <c r="K135" s="87" t="e">
        <f t="shared" si="7"/>
        <v>#DIV/0!</v>
      </c>
      <c r="L135" s="87" t="e">
        <f t="shared" si="7"/>
        <v>#DIV/0!</v>
      </c>
      <c r="M135" s="88" t="e">
        <f t="shared" si="7"/>
        <v>#DIV/0!</v>
      </c>
      <c r="O135" s="61" t="str">
        <f t="shared" si="8"/>
        <v>קרית ים</v>
      </c>
      <c r="P135" s="61" t="str">
        <f t="shared" si="9"/>
        <v>סכנין</v>
      </c>
    </row>
    <row r="136" spans="1:16" x14ac:dyDescent="0.3">
      <c r="A136" s="61">
        <v>6</v>
      </c>
      <c r="B136" s="61">
        <v>1</v>
      </c>
      <c r="C136" s="60"/>
      <c r="G136" s="62"/>
      <c r="I136" s="86" t="e">
        <f t="shared" si="7"/>
        <v>#DIV/0!</v>
      </c>
      <c r="J136" s="87" t="e">
        <f t="shared" si="7"/>
        <v>#DIV/0!</v>
      </c>
      <c r="K136" s="87" t="e">
        <f t="shared" si="7"/>
        <v>#DIV/0!</v>
      </c>
      <c r="L136" s="87" t="e">
        <f t="shared" si="7"/>
        <v>#DIV/0!</v>
      </c>
      <c r="M136" s="88" t="e">
        <f t="shared" si="7"/>
        <v>#DIV/0!</v>
      </c>
      <c r="O136" s="61" t="str">
        <f t="shared" si="8"/>
        <v>קרית מוצקין</v>
      </c>
      <c r="P136" s="61" t="str">
        <f t="shared" si="9"/>
        <v>נהריה</v>
      </c>
    </row>
    <row r="137" spans="1:16" x14ac:dyDescent="0.3">
      <c r="A137" s="61">
        <v>6</v>
      </c>
      <c r="B137" s="61">
        <v>2</v>
      </c>
      <c r="C137" s="60"/>
      <c r="G137" s="62"/>
      <c r="I137" s="86" t="e">
        <f t="shared" si="7"/>
        <v>#DIV/0!</v>
      </c>
      <c r="J137" s="87" t="e">
        <f t="shared" si="7"/>
        <v>#DIV/0!</v>
      </c>
      <c r="K137" s="87" t="e">
        <f t="shared" si="7"/>
        <v>#DIV/0!</v>
      </c>
      <c r="L137" s="87" t="e">
        <f t="shared" si="7"/>
        <v>#DIV/0!</v>
      </c>
      <c r="M137" s="88" t="e">
        <f t="shared" si="7"/>
        <v>#DIV/0!</v>
      </c>
      <c r="O137" s="61" t="str">
        <f t="shared" si="8"/>
        <v>קרית מוצקין</v>
      </c>
      <c r="P137" s="61" t="str">
        <f t="shared" si="9"/>
        <v>עכו</v>
      </c>
    </row>
    <row r="138" spans="1:16" x14ac:dyDescent="0.3">
      <c r="A138" s="61">
        <v>6</v>
      </c>
      <c r="B138" s="61">
        <v>3</v>
      </c>
      <c r="C138" s="60"/>
      <c r="G138" s="62"/>
      <c r="I138" s="86" t="e">
        <f t="shared" si="7"/>
        <v>#DIV/0!</v>
      </c>
      <c r="J138" s="87" t="e">
        <f t="shared" si="7"/>
        <v>#DIV/0!</v>
      </c>
      <c r="K138" s="87" t="e">
        <f t="shared" si="7"/>
        <v>#DIV/0!</v>
      </c>
      <c r="L138" s="87" t="e">
        <f t="shared" si="7"/>
        <v>#DIV/0!</v>
      </c>
      <c r="M138" s="88" t="e">
        <f t="shared" si="7"/>
        <v>#DIV/0!</v>
      </c>
      <c r="O138" s="61" t="str">
        <f t="shared" si="8"/>
        <v>קרית מוצקין</v>
      </c>
      <c r="P138" s="61" t="str">
        <f t="shared" si="9"/>
        <v>כרמיאל</v>
      </c>
    </row>
    <row r="139" spans="1:16" x14ac:dyDescent="0.3">
      <c r="A139" s="61">
        <v>6</v>
      </c>
      <c r="B139" s="61">
        <v>4</v>
      </c>
      <c r="C139" s="60"/>
      <c r="G139" s="62"/>
      <c r="I139" s="86" t="e">
        <f t="shared" si="7"/>
        <v>#DIV/0!</v>
      </c>
      <c r="J139" s="87" t="e">
        <f t="shared" si="7"/>
        <v>#DIV/0!</v>
      </c>
      <c r="K139" s="87" t="e">
        <f t="shared" si="7"/>
        <v>#DIV/0!</v>
      </c>
      <c r="L139" s="87" t="e">
        <f t="shared" si="7"/>
        <v>#DIV/0!</v>
      </c>
      <c r="M139" s="88" t="e">
        <f t="shared" si="7"/>
        <v>#DIV/0!</v>
      </c>
      <c r="O139" s="61" t="str">
        <f t="shared" si="8"/>
        <v>קרית מוצקין</v>
      </c>
      <c r="P139" s="61" t="str">
        <f t="shared" si="9"/>
        <v>שפרעם</v>
      </c>
    </row>
    <row r="140" spans="1:16" x14ac:dyDescent="0.3">
      <c r="A140" s="61">
        <v>6</v>
      </c>
      <c r="B140" s="61">
        <v>5</v>
      </c>
      <c r="C140" s="60"/>
      <c r="G140" s="62"/>
      <c r="I140" s="86" t="e">
        <f t="shared" si="7"/>
        <v>#DIV/0!</v>
      </c>
      <c r="J140" s="87" t="e">
        <f t="shared" si="7"/>
        <v>#DIV/0!</v>
      </c>
      <c r="K140" s="87" t="e">
        <f t="shared" si="7"/>
        <v>#DIV/0!</v>
      </c>
      <c r="L140" s="87" t="e">
        <f t="shared" si="7"/>
        <v>#DIV/0!</v>
      </c>
      <c r="M140" s="88" t="e">
        <f t="shared" si="7"/>
        <v>#DIV/0!</v>
      </c>
      <c r="O140" s="61" t="str">
        <f t="shared" si="8"/>
        <v>קרית מוצקין</v>
      </c>
      <c r="P140" s="61" t="str">
        <f t="shared" si="9"/>
        <v>קרית ים</v>
      </c>
    </row>
    <row r="141" spans="1:16" x14ac:dyDescent="0.3">
      <c r="A141" s="61">
        <v>6</v>
      </c>
      <c r="B141" s="61">
        <v>6</v>
      </c>
      <c r="C141" s="60"/>
      <c r="G141" s="62"/>
      <c r="I141" s="86" t="e">
        <f t="shared" si="7"/>
        <v>#DIV/0!</v>
      </c>
      <c r="J141" s="87" t="e">
        <f t="shared" si="7"/>
        <v>#DIV/0!</v>
      </c>
      <c r="K141" s="87" t="e">
        <f t="shared" si="7"/>
        <v>#DIV/0!</v>
      </c>
      <c r="L141" s="87" t="e">
        <f t="shared" si="7"/>
        <v>#DIV/0!</v>
      </c>
      <c r="M141" s="88" t="e">
        <f t="shared" si="7"/>
        <v>#DIV/0!</v>
      </c>
      <c r="O141" s="61" t="str">
        <f t="shared" si="8"/>
        <v>קרית מוצקין</v>
      </c>
      <c r="P141" s="61" t="str">
        <f t="shared" si="9"/>
        <v>קרית מוצקין</v>
      </c>
    </row>
    <row r="142" spans="1:16" x14ac:dyDescent="0.3">
      <c r="A142" s="61">
        <v>6</v>
      </c>
      <c r="B142" s="61">
        <v>7</v>
      </c>
      <c r="C142" s="60"/>
      <c r="G142" s="62"/>
      <c r="I142" s="86" t="e">
        <f t="shared" si="7"/>
        <v>#DIV/0!</v>
      </c>
      <c r="J142" s="87" t="e">
        <f t="shared" si="7"/>
        <v>#DIV/0!</v>
      </c>
      <c r="K142" s="87" t="e">
        <f t="shared" si="7"/>
        <v>#DIV/0!</v>
      </c>
      <c r="L142" s="87" t="e">
        <f t="shared" si="7"/>
        <v>#DIV/0!</v>
      </c>
      <c r="M142" s="88" t="e">
        <f t="shared" si="7"/>
        <v>#DIV/0!</v>
      </c>
      <c r="O142" s="61" t="str">
        <f t="shared" si="8"/>
        <v>קרית מוצקין</v>
      </c>
      <c r="P142" s="61" t="str">
        <f t="shared" si="9"/>
        <v>קרית ביאליק</v>
      </c>
    </row>
    <row r="143" spans="1:16" x14ac:dyDescent="0.3">
      <c r="A143" s="61">
        <v>6</v>
      </c>
      <c r="B143" s="61">
        <v>8</v>
      </c>
      <c r="C143" s="60"/>
      <c r="G143" s="62"/>
      <c r="I143" s="86" t="e">
        <f t="shared" si="7"/>
        <v>#DIV/0!</v>
      </c>
      <c r="J143" s="87" t="e">
        <f t="shared" si="7"/>
        <v>#DIV/0!</v>
      </c>
      <c r="K143" s="87" t="e">
        <f t="shared" si="7"/>
        <v>#DIV/0!</v>
      </c>
      <c r="L143" s="87" t="e">
        <f t="shared" si="7"/>
        <v>#DIV/0!</v>
      </c>
      <c r="M143" s="88" t="e">
        <f t="shared" si="7"/>
        <v>#DIV/0!</v>
      </c>
      <c r="O143" s="61" t="str">
        <f t="shared" si="8"/>
        <v>קרית מוצקין</v>
      </c>
      <c r="P143" s="61" t="str">
        <f t="shared" si="9"/>
        <v>קרית חיים</v>
      </c>
    </row>
    <row r="144" spans="1:16" x14ac:dyDescent="0.3">
      <c r="A144" s="61">
        <v>6</v>
      </c>
      <c r="B144" s="61">
        <v>9</v>
      </c>
      <c r="C144" s="60"/>
      <c r="G144" s="62"/>
      <c r="I144" s="86" t="e">
        <f t="shared" si="7"/>
        <v>#DIV/0!</v>
      </c>
      <c r="J144" s="87" t="e">
        <f t="shared" si="7"/>
        <v>#DIV/0!</v>
      </c>
      <c r="K144" s="87" t="e">
        <f t="shared" si="7"/>
        <v>#DIV/0!</v>
      </c>
      <c r="L144" s="87" t="e">
        <f t="shared" si="7"/>
        <v>#DIV/0!</v>
      </c>
      <c r="M144" s="88" t="e">
        <f t="shared" si="7"/>
        <v>#DIV/0!</v>
      </c>
      <c r="O144" s="61" t="str">
        <f t="shared" si="8"/>
        <v>קרית מוצקין</v>
      </c>
      <c r="P144" s="61" t="str">
        <f t="shared" si="9"/>
        <v>קרית אתא</v>
      </c>
    </row>
    <row r="145" spans="1:16" x14ac:dyDescent="0.3">
      <c r="A145" s="61">
        <v>6</v>
      </c>
      <c r="B145" s="61">
        <v>10</v>
      </c>
      <c r="C145" s="60"/>
      <c r="G145" s="62"/>
      <c r="I145" s="86" t="e">
        <f t="shared" si="7"/>
        <v>#DIV/0!</v>
      </c>
      <c r="J145" s="87" t="e">
        <f t="shared" si="7"/>
        <v>#DIV/0!</v>
      </c>
      <c r="K145" s="87" t="e">
        <f t="shared" si="7"/>
        <v>#DIV/0!</v>
      </c>
      <c r="L145" s="87" t="e">
        <f t="shared" si="7"/>
        <v>#DIV/0!</v>
      </c>
      <c r="M145" s="88" t="e">
        <f t="shared" si="7"/>
        <v>#DIV/0!</v>
      </c>
      <c r="O145" s="61" t="str">
        <f t="shared" si="8"/>
        <v>קרית מוצקין</v>
      </c>
      <c r="P145" s="61" t="str">
        <f t="shared" si="9"/>
        <v>כפר מנדא</v>
      </c>
    </row>
    <row r="146" spans="1:16" x14ac:dyDescent="0.3">
      <c r="A146" s="61">
        <v>6</v>
      </c>
      <c r="B146" s="61">
        <v>11</v>
      </c>
      <c r="C146" s="60"/>
      <c r="G146" s="62"/>
      <c r="I146" s="86" t="e">
        <f t="shared" si="7"/>
        <v>#DIV/0!</v>
      </c>
      <c r="J146" s="87" t="e">
        <f t="shared" si="7"/>
        <v>#DIV/0!</v>
      </c>
      <c r="K146" s="87" t="e">
        <f t="shared" si="7"/>
        <v>#DIV/0!</v>
      </c>
      <c r="L146" s="87" t="e">
        <f t="shared" si="7"/>
        <v>#DIV/0!</v>
      </c>
      <c r="M146" s="88" t="e">
        <f t="shared" si="7"/>
        <v>#DIV/0!</v>
      </c>
      <c r="O146" s="61" t="str">
        <f t="shared" si="8"/>
        <v>קרית מוצקין</v>
      </c>
      <c r="P146" s="61" t="str">
        <f t="shared" si="9"/>
        <v>זבולון</v>
      </c>
    </row>
    <row r="147" spans="1:16" x14ac:dyDescent="0.3">
      <c r="A147" s="61">
        <v>6</v>
      </c>
      <c r="B147" s="61">
        <v>12</v>
      </c>
      <c r="C147" s="60"/>
      <c r="G147" s="62"/>
      <c r="I147" s="86" t="e">
        <f t="shared" si="7"/>
        <v>#DIV/0!</v>
      </c>
      <c r="J147" s="87" t="e">
        <f t="shared" si="7"/>
        <v>#DIV/0!</v>
      </c>
      <c r="K147" s="87" t="e">
        <f t="shared" si="7"/>
        <v>#DIV/0!</v>
      </c>
      <c r="L147" s="87" t="e">
        <f t="shared" si="7"/>
        <v>#DIV/0!</v>
      </c>
      <c r="M147" s="88" t="e">
        <f t="shared" si="7"/>
        <v>#DIV/0!</v>
      </c>
      <c r="O147" s="61" t="str">
        <f t="shared" si="8"/>
        <v>קרית מוצקין</v>
      </c>
      <c r="P147" s="61" t="str">
        <f t="shared" si="9"/>
        <v>חיפה מפרץ</v>
      </c>
    </row>
    <row r="148" spans="1:16" x14ac:dyDescent="0.3">
      <c r="A148" s="61">
        <v>6</v>
      </c>
      <c r="B148" s="61">
        <v>13</v>
      </c>
      <c r="C148" s="60"/>
      <c r="G148" s="62"/>
      <c r="I148" s="86" t="e">
        <f t="shared" si="7"/>
        <v>#DIV/0!</v>
      </c>
      <c r="J148" s="87" t="e">
        <f t="shared" si="7"/>
        <v>#DIV/0!</v>
      </c>
      <c r="K148" s="87" t="e">
        <f t="shared" si="7"/>
        <v>#DIV/0!</v>
      </c>
      <c r="L148" s="87" t="e">
        <f t="shared" si="7"/>
        <v>#DIV/0!</v>
      </c>
      <c r="M148" s="88" t="e">
        <f t="shared" si="7"/>
        <v>#DIV/0!</v>
      </c>
      <c r="O148" s="61" t="str">
        <f t="shared" si="8"/>
        <v>קרית מוצקין</v>
      </c>
      <c r="P148" s="61" t="str">
        <f t="shared" si="9"/>
        <v>חיפה עיר תחתית</v>
      </c>
    </row>
    <row r="149" spans="1:16" x14ac:dyDescent="0.3">
      <c r="A149" s="61">
        <v>6</v>
      </c>
      <c r="B149" s="61">
        <v>14</v>
      </c>
      <c r="C149" s="60"/>
      <c r="G149" s="62"/>
      <c r="I149" s="86" t="e">
        <f t="shared" si="7"/>
        <v>#DIV/0!</v>
      </c>
      <c r="J149" s="87" t="e">
        <f t="shared" si="7"/>
        <v>#DIV/0!</v>
      </c>
      <c r="K149" s="87" t="e">
        <f t="shared" si="7"/>
        <v>#DIV/0!</v>
      </c>
      <c r="L149" s="87" t="e">
        <f t="shared" si="7"/>
        <v>#DIV/0!</v>
      </c>
      <c r="M149" s="88" t="e">
        <f t="shared" si="7"/>
        <v>#DIV/0!</v>
      </c>
      <c r="O149" s="61" t="str">
        <f t="shared" si="8"/>
        <v>קרית מוצקין</v>
      </c>
      <c r="P149" s="61" t="str">
        <f t="shared" si="9"/>
        <v>חיפה הדר-כרמל</v>
      </c>
    </row>
    <row r="150" spans="1:16" x14ac:dyDescent="0.3">
      <c r="A150" s="61">
        <v>6</v>
      </c>
      <c r="B150" s="61">
        <v>15</v>
      </c>
      <c r="C150" s="60"/>
      <c r="G150" s="62"/>
      <c r="I150" s="86" t="e">
        <f t="shared" si="7"/>
        <v>#DIV/0!</v>
      </c>
      <c r="J150" s="87" t="e">
        <f t="shared" si="7"/>
        <v>#DIV/0!</v>
      </c>
      <c r="K150" s="87" t="e">
        <f t="shared" si="7"/>
        <v>#DIV/0!</v>
      </c>
      <c r="L150" s="87" t="e">
        <f t="shared" si="7"/>
        <v>#DIV/0!</v>
      </c>
      <c r="M150" s="88" t="e">
        <f t="shared" si="7"/>
        <v>#DIV/0!</v>
      </c>
      <c r="O150" s="61" t="str">
        <f t="shared" si="8"/>
        <v>קרית מוצקין</v>
      </c>
      <c r="P150" s="61" t="str">
        <f t="shared" si="9"/>
        <v>חיפה מערב</v>
      </c>
    </row>
    <row r="151" spans="1:16" x14ac:dyDescent="0.3">
      <c r="A151" s="61">
        <v>6</v>
      </c>
      <c r="B151" s="61">
        <v>16</v>
      </c>
      <c r="C151" s="60"/>
      <c r="G151" s="62"/>
      <c r="I151" s="86" t="e">
        <f t="shared" si="7"/>
        <v>#DIV/0!</v>
      </c>
      <c r="J151" s="87" t="e">
        <f t="shared" si="7"/>
        <v>#DIV/0!</v>
      </c>
      <c r="K151" s="87" t="e">
        <f t="shared" si="7"/>
        <v>#DIV/0!</v>
      </c>
      <c r="L151" s="87" t="e">
        <f t="shared" si="7"/>
        <v>#DIV/0!</v>
      </c>
      <c r="M151" s="88" t="e">
        <f t="shared" si="7"/>
        <v>#DIV/0!</v>
      </c>
      <c r="O151" s="61" t="str">
        <f t="shared" si="8"/>
        <v>קרית מוצקין</v>
      </c>
      <c r="P151" s="61" t="str">
        <f t="shared" si="9"/>
        <v>חיפה כרמל</v>
      </c>
    </row>
    <row r="152" spans="1:16" x14ac:dyDescent="0.3">
      <c r="A152" s="61">
        <v>6</v>
      </c>
      <c r="B152" s="61">
        <v>17</v>
      </c>
      <c r="C152" s="60"/>
      <c r="G152" s="62"/>
      <c r="I152" s="86" t="e">
        <f t="shared" si="7"/>
        <v>#DIV/0!</v>
      </c>
      <c r="J152" s="87" t="e">
        <f t="shared" si="7"/>
        <v>#DIV/0!</v>
      </c>
      <c r="K152" s="87" t="e">
        <f t="shared" si="7"/>
        <v>#DIV/0!</v>
      </c>
      <c r="L152" s="87" t="e">
        <f t="shared" si="7"/>
        <v>#DIV/0!</v>
      </c>
      <c r="M152" s="88" t="e">
        <f t="shared" si="7"/>
        <v>#DIV/0!</v>
      </c>
      <c r="O152" s="61" t="str">
        <f t="shared" si="8"/>
        <v>קרית מוצקין</v>
      </c>
      <c r="P152" s="61" t="str">
        <f t="shared" si="9"/>
        <v>חיפה נווה שאנן</v>
      </c>
    </row>
    <row r="153" spans="1:16" x14ac:dyDescent="0.3">
      <c r="A153" s="61">
        <v>6</v>
      </c>
      <c r="B153" s="61">
        <v>18</v>
      </c>
      <c r="C153" s="60"/>
      <c r="G153" s="62"/>
      <c r="I153" s="86" t="e">
        <f t="shared" si="7"/>
        <v>#DIV/0!</v>
      </c>
      <c r="J153" s="87" t="e">
        <f t="shared" si="7"/>
        <v>#DIV/0!</v>
      </c>
      <c r="K153" s="87" t="e">
        <f t="shared" si="7"/>
        <v>#DIV/0!</v>
      </c>
      <c r="L153" s="87" t="e">
        <f t="shared" si="7"/>
        <v>#DIV/0!</v>
      </c>
      <c r="M153" s="88" t="e">
        <f t="shared" si="7"/>
        <v>#DIV/0!</v>
      </c>
      <c r="O153" s="61" t="str">
        <f t="shared" si="8"/>
        <v>קרית מוצקין</v>
      </c>
      <c r="P153" s="61" t="str">
        <f t="shared" si="9"/>
        <v>נשר</v>
      </c>
    </row>
    <row r="154" spans="1:16" x14ac:dyDescent="0.3">
      <c r="A154" s="61">
        <v>6</v>
      </c>
      <c r="B154" s="61">
        <v>19</v>
      </c>
      <c r="C154" s="60"/>
      <c r="G154" s="62"/>
      <c r="I154" s="86" t="e">
        <f t="shared" si="7"/>
        <v>#DIV/0!</v>
      </c>
      <c r="J154" s="87" t="e">
        <f t="shared" si="7"/>
        <v>#DIV/0!</v>
      </c>
      <c r="K154" s="87" t="e">
        <f t="shared" si="7"/>
        <v>#DIV/0!</v>
      </c>
      <c r="L154" s="87" t="e">
        <f t="shared" si="7"/>
        <v>#DIV/0!</v>
      </c>
      <c r="M154" s="88" t="e">
        <f t="shared" si="7"/>
        <v>#DIV/0!</v>
      </c>
      <c r="O154" s="61" t="str">
        <f t="shared" si="8"/>
        <v>קרית מוצקין</v>
      </c>
      <c r="P154" s="61" t="str">
        <f t="shared" si="9"/>
        <v>נצרת</v>
      </c>
    </row>
    <row r="155" spans="1:16" x14ac:dyDescent="0.3">
      <c r="A155" s="61">
        <v>6</v>
      </c>
      <c r="B155" s="61">
        <v>20</v>
      </c>
      <c r="C155" s="60"/>
      <c r="G155" s="62"/>
      <c r="I155" s="86" t="e">
        <f t="shared" si="7"/>
        <v>#DIV/0!</v>
      </c>
      <c r="J155" s="87" t="e">
        <f t="shared" si="7"/>
        <v>#DIV/0!</v>
      </c>
      <c r="K155" s="87" t="e">
        <f t="shared" si="7"/>
        <v>#DIV/0!</v>
      </c>
      <c r="L155" s="87" t="e">
        <f t="shared" si="7"/>
        <v>#DIV/0!</v>
      </c>
      <c r="M155" s="88" t="e">
        <f t="shared" si="7"/>
        <v>#DIV/0!</v>
      </c>
      <c r="O155" s="61" t="str">
        <f t="shared" si="8"/>
        <v>קרית מוצקין</v>
      </c>
      <c r="P155" s="61" t="str">
        <f t="shared" si="9"/>
        <v>נצרת-עילית</v>
      </c>
    </row>
    <row r="156" spans="1:16" x14ac:dyDescent="0.3">
      <c r="A156" s="61">
        <v>6</v>
      </c>
      <c r="B156" s="61">
        <v>21</v>
      </c>
      <c r="C156" s="60"/>
      <c r="G156" s="62"/>
      <c r="I156" s="86" t="e">
        <f t="shared" si="7"/>
        <v>#DIV/0!</v>
      </c>
      <c r="J156" s="87" t="e">
        <f t="shared" si="7"/>
        <v>#DIV/0!</v>
      </c>
      <c r="K156" s="87" t="e">
        <f t="shared" si="7"/>
        <v>#DIV/0!</v>
      </c>
      <c r="L156" s="87" t="e">
        <f t="shared" si="7"/>
        <v>#DIV/0!</v>
      </c>
      <c r="M156" s="88" t="e">
        <f t="shared" si="7"/>
        <v>#DIV/0!</v>
      </c>
      <c r="O156" s="61" t="str">
        <f t="shared" si="8"/>
        <v>קרית מוצקין</v>
      </c>
      <c r="P156" s="61" t="str">
        <f t="shared" si="9"/>
        <v>מגדל העמק</v>
      </c>
    </row>
    <row r="157" spans="1:16" x14ac:dyDescent="0.3">
      <c r="A157" s="61">
        <v>6</v>
      </c>
      <c r="B157" s="61">
        <v>22</v>
      </c>
      <c r="C157" s="60"/>
      <c r="G157" s="62"/>
      <c r="I157" s="86" t="e">
        <f t="shared" si="7"/>
        <v>#DIV/0!</v>
      </c>
      <c r="J157" s="87" t="e">
        <f t="shared" si="7"/>
        <v>#DIV/0!</v>
      </c>
      <c r="K157" s="87" t="e">
        <f t="shared" si="7"/>
        <v>#DIV/0!</v>
      </c>
      <c r="L157" s="87" t="e">
        <f t="shared" si="7"/>
        <v>#DIV/0!</v>
      </c>
      <c r="M157" s="88" t="e">
        <f t="shared" si="7"/>
        <v>#DIV/0!</v>
      </c>
      <c r="O157" s="61" t="str">
        <f t="shared" si="8"/>
        <v>קרית מוצקין</v>
      </c>
      <c r="P157" s="61" t="str">
        <f t="shared" si="9"/>
        <v>יוקנעם</v>
      </c>
    </row>
    <row r="158" spans="1:16" x14ac:dyDescent="0.3">
      <c r="A158" s="61">
        <v>6</v>
      </c>
      <c r="B158" s="61">
        <v>23</v>
      </c>
      <c r="C158" s="60"/>
      <c r="G158" s="62"/>
      <c r="I158" s="86" t="e">
        <f t="shared" si="7"/>
        <v>#DIV/0!</v>
      </c>
      <c r="J158" s="87" t="e">
        <f t="shared" si="7"/>
        <v>#DIV/0!</v>
      </c>
      <c r="K158" s="87" t="e">
        <f t="shared" si="7"/>
        <v>#DIV/0!</v>
      </c>
      <c r="L158" s="87" t="e">
        <f t="shared" si="7"/>
        <v>#DIV/0!</v>
      </c>
      <c r="M158" s="88" t="e">
        <f t="shared" si="7"/>
        <v>#DIV/0!</v>
      </c>
      <c r="O158" s="61" t="str">
        <f t="shared" si="8"/>
        <v>קרית מוצקין</v>
      </c>
      <c r="P158" s="61" t="str">
        <f t="shared" si="9"/>
        <v>דלית אל כרמל</v>
      </c>
    </row>
    <row r="159" spans="1:16" x14ac:dyDescent="0.3">
      <c r="A159" s="61">
        <v>6</v>
      </c>
      <c r="B159" s="61">
        <v>24</v>
      </c>
      <c r="C159" s="60"/>
      <c r="G159" s="62"/>
      <c r="I159" s="86" t="e">
        <f t="shared" si="7"/>
        <v>#DIV/0!</v>
      </c>
      <c r="J159" s="87" t="e">
        <f t="shared" si="7"/>
        <v>#DIV/0!</v>
      </c>
      <c r="K159" s="87" t="e">
        <f t="shared" si="7"/>
        <v>#DIV/0!</v>
      </c>
      <c r="L159" s="87" t="e">
        <f t="shared" si="7"/>
        <v>#DIV/0!</v>
      </c>
      <c r="M159" s="88" t="e">
        <f t="shared" si="7"/>
        <v>#DIV/0!</v>
      </c>
      <c r="O159" s="61" t="str">
        <f t="shared" si="8"/>
        <v>קרית מוצקין</v>
      </c>
      <c r="P159" s="61" t="str">
        <f t="shared" si="9"/>
        <v>חוף הכרמל</v>
      </c>
    </row>
    <row r="160" spans="1:16" x14ac:dyDescent="0.3">
      <c r="A160" s="61">
        <v>6</v>
      </c>
      <c r="B160" s="61">
        <v>25</v>
      </c>
      <c r="C160" s="60"/>
      <c r="G160" s="62"/>
      <c r="I160" s="86" t="e">
        <f t="shared" si="7"/>
        <v>#DIV/0!</v>
      </c>
      <c r="J160" s="87" t="e">
        <f t="shared" si="7"/>
        <v>#DIV/0!</v>
      </c>
      <c r="K160" s="87" t="e">
        <f t="shared" si="7"/>
        <v>#DIV/0!</v>
      </c>
      <c r="L160" s="87" t="e">
        <f t="shared" si="7"/>
        <v>#DIV/0!</v>
      </c>
      <c r="M160" s="88" t="e">
        <f t="shared" si="7"/>
        <v>#DIV/0!</v>
      </c>
      <c r="O160" s="61" t="str">
        <f t="shared" si="8"/>
        <v>קרית מוצקין</v>
      </c>
      <c r="P160" s="61" t="str">
        <f t="shared" si="9"/>
        <v>זכרון יעקב</v>
      </c>
    </row>
    <row r="161" spans="1:16" x14ac:dyDescent="0.3">
      <c r="A161" s="61">
        <v>6</v>
      </c>
      <c r="B161" s="61">
        <v>30</v>
      </c>
      <c r="C161" s="60"/>
      <c r="G161" s="62"/>
      <c r="I161" s="86" t="e">
        <f t="shared" si="7"/>
        <v>#DIV/0!</v>
      </c>
      <c r="J161" s="87" t="e">
        <f t="shared" si="7"/>
        <v>#DIV/0!</v>
      </c>
      <c r="K161" s="87" t="e">
        <f t="shared" si="7"/>
        <v>#DIV/0!</v>
      </c>
      <c r="L161" s="87" t="e">
        <f t="shared" si="7"/>
        <v>#DIV/0!</v>
      </c>
      <c r="M161" s="88" t="e">
        <f t="shared" si="7"/>
        <v>#DIV/0!</v>
      </c>
      <c r="O161" s="61" t="str">
        <f t="shared" si="8"/>
        <v>קרית מוצקין</v>
      </c>
      <c r="P161" s="61" t="str">
        <f t="shared" si="9"/>
        <v>סכנין</v>
      </c>
    </row>
    <row r="162" spans="1:16" x14ac:dyDescent="0.3">
      <c r="A162" s="61">
        <v>7</v>
      </c>
      <c r="B162" s="61">
        <v>1</v>
      </c>
      <c r="C162" s="60"/>
      <c r="G162" s="62"/>
      <c r="I162" s="86" t="e">
        <f t="shared" si="7"/>
        <v>#DIV/0!</v>
      </c>
      <c r="J162" s="87" t="e">
        <f t="shared" si="7"/>
        <v>#DIV/0!</v>
      </c>
      <c r="K162" s="87" t="e">
        <f t="shared" si="7"/>
        <v>#DIV/0!</v>
      </c>
      <c r="L162" s="87" t="e">
        <f t="shared" si="7"/>
        <v>#DIV/0!</v>
      </c>
      <c r="M162" s="88" t="e">
        <f t="shared" si="7"/>
        <v>#DIV/0!</v>
      </c>
      <c r="O162" s="61" t="str">
        <f t="shared" si="8"/>
        <v>קרית ביאליק</v>
      </c>
      <c r="P162" s="61" t="str">
        <f t="shared" si="9"/>
        <v>נהריה</v>
      </c>
    </row>
    <row r="163" spans="1:16" x14ac:dyDescent="0.3">
      <c r="A163" s="61">
        <v>7</v>
      </c>
      <c r="B163" s="61">
        <v>2</v>
      </c>
      <c r="C163" s="60"/>
      <c r="G163" s="62"/>
      <c r="I163" s="86" t="e">
        <f t="shared" si="7"/>
        <v>#DIV/0!</v>
      </c>
      <c r="J163" s="87" t="e">
        <f t="shared" si="7"/>
        <v>#DIV/0!</v>
      </c>
      <c r="K163" s="87" t="e">
        <f t="shared" si="7"/>
        <v>#DIV/0!</v>
      </c>
      <c r="L163" s="87" t="e">
        <f t="shared" si="7"/>
        <v>#DIV/0!</v>
      </c>
      <c r="M163" s="88" t="e">
        <f t="shared" si="7"/>
        <v>#DIV/0!</v>
      </c>
      <c r="O163" s="61" t="str">
        <f t="shared" si="8"/>
        <v>קרית ביאליק</v>
      </c>
      <c r="P163" s="61" t="str">
        <f t="shared" si="9"/>
        <v>עכו</v>
      </c>
    </row>
    <row r="164" spans="1:16" x14ac:dyDescent="0.3">
      <c r="A164" s="61">
        <v>7</v>
      </c>
      <c r="B164" s="61">
        <v>3</v>
      </c>
      <c r="C164" s="60"/>
      <c r="G164" s="62"/>
      <c r="I164" s="86" t="e">
        <f t="shared" si="7"/>
        <v>#DIV/0!</v>
      </c>
      <c r="J164" s="87" t="e">
        <f t="shared" si="7"/>
        <v>#DIV/0!</v>
      </c>
      <c r="K164" s="87" t="e">
        <f t="shared" si="7"/>
        <v>#DIV/0!</v>
      </c>
      <c r="L164" s="87" t="e">
        <f t="shared" si="7"/>
        <v>#DIV/0!</v>
      </c>
      <c r="M164" s="88" t="e">
        <f t="shared" si="7"/>
        <v>#DIV/0!</v>
      </c>
      <c r="O164" s="61" t="str">
        <f t="shared" si="8"/>
        <v>קרית ביאליק</v>
      </c>
      <c r="P164" s="61" t="str">
        <f t="shared" si="9"/>
        <v>כרמיאל</v>
      </c>
    </row>
    <row r="165" spans="1:16" x14ac:dyDescent="0.3">
      <c r="A165" s="61">
        <v>7</v>
      </c>
      <c r="B165" s="61">
        <v>4</v>
      </c>
      <c r="C165" s="60"/>
      <c r="G165" s="62"/>
      <c r="I165" s="86" t="e">
        <f t="shared" si="7"/>
        <v>#DIV/0!</v>
      </c>
      <c r="J165" s="87" t="e">
        <f t="shared" si="7"/>
        <v>#DIV/0!</v>
      </c>
      <c r="K165" s="87" t="e">
        <f t="shared" si="7"/>
        <v>#DIV/0!</v>
      </c>
      <c r="L165" s="87" t="e">
        <f t="shared" si="7"/>
        <v>#DIV/0!</v>
      </c>
      <c r="M165" s="88" t="e">
        <f t="shared" si="7"/>
        <v>#DIV/0!</v>
      </c>
      <c r="O165" s="61" t="str">
        <f t="shared" si="8"/>
        <v>קרית ביאליק</v>
      </c>
      <c r="P165" s="61" t="str">
        <f t="shared" si="9"/>
        <v>שפרעם</v>
      </c>
    </row>
    <row r="166" spans="1:16" x14ac:dyDescent="0.3">
      <c r="A166" s="61">
        <v>7</v>
      </c>
      <c r="B166" s="61">
        <v>5</v>
      </c>
      <c r="C166" s="60"/>
      <c r="G166" s="62"/>
      <c r="I166" s="86" t="e">
        <f t="shared" si="7"/>
        <v>#DIV/0!</v>
      </c>
      <c r="J166" s="87" t="e">
        <f t="shared" si="7"/>
        <v>#DIV/0!</v>
      </c>
      <c r="K166" s="87" t="e">
        <f t="shared" si="7"/>
        <v>#DIV/0!</v>
      </c>
      <c r="L166" s="87" t="e">
        <f t="shared" si="7"/>
        <v>#DIV/0!</v>
      </c>
      <c r="M166" s="88" t="e">
        <f t="shared" si="7"/>
        <v>#DIV/0!</v>
      </c>
      <c r="O166" s="61" t="str">
        <f t="shared" si="8"/>
        <v>קרית ביאליק</v>
      </c>
      <c r="P166" s="61" t="str">
        <f t="shared" si="9"/>
        <v>קרית ים</v>
      </c>
    </row>
    <row r="167" spans="1:16" x14ac:dyDescent="0.3">
      <c r="A167" s="61">
        <v>7</v>
      </c>
      <c r="B167" s="61">
        <v>6</v>
      </c>
      <c r="C167" s="60"/>
      <c r="G167" s="62"/>
      <c r="I167" s="86" t="e">
        <f t="shared" si="7"/>
        <v>#DIV/0!</v>
      </c>
      <c r="J167" s="87" t="e">
        <f t="shared" si="7"/>
        <v>#DIV/0!</v>
      </c>
      <c r="K167" s="87" t="e">
        <f t="shared" si="7"/>
        <v>#DIV/0!</v>
      </c>
      <c r="L167" s="87" t="e">
        <f t="shared" si="7"/>
        <v>#DIV/0!</v>
      </c>
      <c r="M167" s="88" t="e">
        <f t="shared" si="7"/>
        <v>#DIV/0!</v>
      </c>
      <c r="O167" s="61" t="str">
        <f t="shared" si="8"/>
        <v>קרית ביאליק</v>
      </c>
      <c r="P167" s="61" t="str">
        <f t="shared" si="9"/>
        <v>קרית מוצקין</v>
      </c>
    </row>
    <row r="168" spans="1:16" x14ac:dyDescent="0.3">
      <c r="A168" s="61">
        <v>7</v>
      </c>
      <c r="B168" s="61">
        <v>7</v>
      </c>
      <c r="C168" s="60"/>
      <c r="G168" s="62"/>
      <c r="I168" s="86" t="e">
        <f t="shared" si="7"/>
        <v>#DIV/0!</v>
      </c>
      <c r="J168" s="87" t="e">
        <f t="shared" si="7"/>
        <v>#DIV/0!</v>
      </c>
      <c r="K168" s="87" t="e">
        <f t="shared" si="7"/>
        <v>#DIV/0!</v>
      </c>
      <c r="L168" s="87" t="e">
        <f t="shared" si="7"/>
        <v>#DIV/0!</v>
      </c>
      <c r="M168" s="88" t="e">
        <f t="shared" si="7"/>
        <v>#DIV/0!</v>
      </c>
      <c r="O168" s="61" t="str">
        <f t="shared" si="8"/>
        <v>קרית ביאליק</v>
      </c>
      <c r="P168" s="61" t="str">
        <f t="shared" si="9"/>
        <v>קרית ביאליק</v>
      </c>
    </row>
    <row r="169" spans="1:16" x14ac:dyDescent="0.3">
      <c r="A169" s="61">
        <v>7</v>
      </c>
      <c r="B169" s="61">
        <v>8</v>
      </c>
      <c r="C169" s="60"/>
      <c r="G169" s="62"/>
      <c r="I169" s="86" t="e">
        <f t="shared" si="7"/>
        <v>#DIV/0!</v>
      </c>
      <c r="J169" s="87" t="e">
        <f t="shared" si="7"/>
        <v>#DIV/0!</v>
      </c>
      <c r="K169" s="87" t="e">
        <f t="shared" si="7"/>
        <v>#DIV/0!</v>
      </c>
      <c r="L169" s="87" t="e">
        <f t="shared" si="7"/>
        <v>#DIV/0!</v>
      </c>
      <c r="M169" s="88" t="e">
        <f t="shared" si="7"/>
        <v>#DIV/0!</v>
      </c>
      <c r="O169" s="61" t="str">
        <f t="shared" si="8"/>
        <v>קרית ביאליק</v>
      </c>
      <c r="P169" s="61" t="str">
        <f t="shared" si="9"/>
        <v>קרית חיים</v>
      </c>
    </row>
    <row r="170" spans="1:16" x14ac:dyDescent="0.3">
      <c r="A170" s="61">
        <v>7</v>
      </c>
      <c r="B170" s="61">
        <v>9</v>
      </c>
      <c r="C170" s="60"/>
      <c r="G170" s="62"/>
      <c r="I170" s="86" t="e">
        <f t="shared" si="7"/>
        <v>#DIV/0!</v>
      </c>
      <c r="J170" s="87" t="e">
        <f t="shared" si="7"/>
        <v>#DIV/0!</v>
      </c>
      <c r="K170" s="87" t="e">
        <f t="shared" si="7"/>
        <v>#DIV/0!</v>
      </c>
      <c r="L170" s="87" t="e">
        <f t="shared" si="7"/>
        <v>#DIV/0!</v>
      </c>
      <c r="M170" s="88" t="e">
        <f t="shared" si="7"/>
        <v>#DIV/0!</v>
      </c>
      <c r="O170" s="61" t="str">
        <f t="shared" si="8"/>
        <v>קרית ביאליק</v>
      </c>
      <c r="P170" s="61" t="str">
        <f t="shared" si="9"/>
        <v>קרית אתא</v>
      </c>
    </row>
    <row r="171" spans="1:16" x14ac:dyDescent="0.3">
      <c r="A171" s="61">
        <v>7</v>
      </c>
      <c r="B171" s="61">
        <v>10</v>
      </c>
      <c r="C171" s="60"/>
      <c r="G171" s="62"/>
      <c r="I171" s="86" t="e">
        <f t="shared" si="7"/>
        <v>#DIV/0!</v>
      </c>
      <c r="J171" s="87" t="e">
        <f t="shared" si="7"/>
        <v>#DIV/0!</v>
      </c>
      <c r="K171" s="87" t="e">
        <f t="shared" si="7"/>
        <v>#DIV/0!</v>
      </c>
      <c r="L171" s="87" t="e">
        <f t="shared" si="7"/>
        <v>#DIV/0!</v>
      </c>
      <c r="M171" s="88" t="e">
        <f t="shared" si="7"/>
        <v>#DIV/0!</v>
      </c>
      <c r="O171" s="61" t="str">
        <f t="shared" si="8"/>
        <v>קרית ביאליק</v>
      </c>
      <c r="P171" s="61" t="str">
        <f t="shared" si="9"/>
        <v>כפר מנדא</v>
      </c>
    </row>
    <row r="172" spans="1:16" x14ac:dyDescent="0.3">
      <c r="A172" s="61">
        <v>7</v>
      </c>
      <c r="B172" s="61">
        <v>11</v>
      </c>
      <c r="C172" s="60"/>
      <c r="G172" s="62"/>
      <c r="I172" s="86" t="e">
        <f t="shared" ref="I172:M222" si="10">C172/SUM($C172:$G172)</f>
        <v>#DIV/0!</v>
      </c>
      <c r="J172" s="87" t="e">
        <f t="shared" si="10"/>
        <v>#DIV/0!</v>
      </c>
      <c r="K172" s="87" t="e">
        <f t="shared" si="10"/>
        <v>#DIV/0!</v>
      </c>
      <c r="L172" s="87" t="e">
        <f t="shared" si="10"/>
        <v>#DIV/0!</v>
      </c>
      <c r="M172" s="88" t="e">
        <f t="shared" si="10"/>
        <v>#DIV/0!</v>
      </c>
      <c r="O172" s="61" t="str">
        <f t="shared" si="8"/>
        <v>קרית ביאליק</v>
      </c>
      <c r="P172" s="61" t="str">
        <f t="shared" si="9"/>
        <v>זבולון</v>
      </c>
    </row>
    <row r="173" spans="1:16" x14ac:dyDescent="0.3">
      <c r="A173" s="61">
        <v>7</v>
      </c>
      <c r="B173" s="61">
        <v>12</v>
      </c>
      <c r="C173" s="60"/>
      <c r="G173" s="62"/>
      <c r="I173" s="86" t="e">
        <f t="shared" si="10"/>
        <v>#DIV/0!</v>
      </c>
      <c r="J173" s="87" t="e">
        <f t="shared" si="10"/>
        <v>#DIV/0!</v>
      </c>
      <c r="K173" s="87" t="e">
        <f t="shared" si="10"/>
        <v>#DIV/0!</v>
      </c>
      <c r="L173" s="87" t="e">
        <f t="shared" si="10"/>
        <v>#DIV/0!</v>
      </c>
      <c r="M173" s="88" t="e">
        <f t="shared" si="10"/>
        <v>#DIV/0!</v>
      </c>
      <c r="O173" s="61" t="str">
        <f t="shared" si="8"/>
        <v>קרית ביאליק</v>
      </c>
      <c r="P173" s="61" t="str">
        <f t="shared" si="9"/>
        <v>חיפה מפרץ</v>
      </c>
    </row>
    <row r="174" spans="1:16" x14ac:dyDescent="0.3">
      <c r="A174" s="61">
        <v>7</v>
      </c>
      <c r="B174" s="61">
        <v>13</v>
      </c>
      <c r="C174" s="60"/>
      <c r="G174" s="62"/>
      <c r="I174" s="86" t="e">
        <f t="shared" si="10"/>
        <v>#DIV/0!</v>
      </c>
      <c r="J174" s="87" t="e">
        <f t="shared" si="10"/>
        <v>#DIV/0!</v>
      </c>
      <c r="K174" s="87" t="e">
        <f t="shared" si="10"/>
        <v>#DIV/0!</v>
      </c>
      <c r="L174" s="87" t="e">
        <f t="shared" si="10"/>
        <v>#DIV/0!</v>
      </c>
      <c r="M174" s="88" t="e">
        <f t="shared" si="10"/>
        <v>#DIV/0!</v>
      </c>
      <c r="O174" s="61" t="str">
        <f t="shared" si="8"/>
        <v>קרית ביאליק</v>
      </c>
      <c r="P174" s="61" t="str">
        <f t="shared" si="9"/>
        <v>חיפה עיר תחתית</v>
      </c>
    </row>
    <row r="175" spans="1:16" x14ac:dyDescent="0.3">
      <c r="A175" s="61">
        <v>7</v>
      </c>
      <c r="B175" s="61">
        <v>14</v>
      </c>
      <c r="C175" s="60"/>
      <c r="G175" s="62"/>
      <c r="I175" s="86" t="e">
        <f t="shared" si="10"/>
        <v>#DIV/0!</v>
      </c>
      <c r="J175" s="87" t="e">
        <f t="shared" si="10"/>
        <v>#DIV/0!</v>
      </c>
      <c r="K175" s="87" t="e">
        <f t="shared" si="10"/>
        <v>#DIV/0!</v>
      </c>
      <c r="L175" s="87" t="e">
        <f t="shared" si="10"/>
        <v>#DIV/0!</v>
      </c>
      <c r="M175" s="88" t="e">
        <f t="shared" si="10"/>
        <v>#DIV/0!</v>
      </c>
      <c r="O175" s="61" t="str">
        <f t="shared" si="8"/>
        <v>קרית ביאליק</v>
      </c>
      <c r="P175" s="61" t="str">
        <f t="shared" si="9"/>
        <v>חיפה הדר-כרמל</v>
      </c>
    </row>
    <row r="176" spans="1:16" x14ac:dyDescent="0.3">
      <c r="A176" s="61">
        <v>7</v>
      </c>
      <c r="B176" s="61">
        <v>15</v>
      </c>
      <c r="C176" s="60"/>
      <c r="G176" s="62"/>
      <c r="I176" s="86" t="e">
        <f t="shared" si="10"/>
        <v>#DIV/0!</v>
      </c>
      <c r="J176" s="87" t="e">
        <f t="shared" si="10"/>
        <v>#DIV/0!</v>
      </c>
      <c r="K176" s="87" t="e">
        <f t="shared" si="10"/>
        <v>#DIV/0!</v>
      </c>
      <c r="L176" s="87" t="e">
        <f t="shared" si="10"/>
        <v>#DIV/0!</v>
      </c>
      <c r="M176" s="88" t="e">
        <f t="shared" si="10"/>
        <v>#DIV/0!</v>
      </c>
      <c r="O176" s="61" t="str">
        <f t="shared" si="8"/>
        <v>קרית ביאליק</v>
      </c>
      <c r="P176" s="61" t="str">
        <f t="shared" si="9"/>
        <v>חיפה מערב</v>
      </c>
    </row>
    <row r="177" spans="1:16" x14ac:dyDescent="0.3">
      <c r="A177" s="61">
        <v>7</v>
      </c>
      <c r="B177" s="61">
        <v>16</v>
      </c>
      <c r="C177" s="60"/>
      <c r="G177" s="62"/>
      <c r="I177" s="86" t="e">
        <f t="shared" si="10"/>
        <v>#DIV/0!</v>
      </c>
      <c r="J177" s="87" t="e">
        <f t="shared" si="10"/>
        <v>#DIV/0!</v>
      </c>
      <c r="K177" s="87" t="e">
        <f t="shared" si="10"/>
        <v>#DIV/0!</v>
      </c>
      <c r="L177" s="87" t="e">
        <f t="shared" si="10"/>
        <v>#DIV/0!</v>
      </c>
      <c r="M177" s="88" t="e">
        <f t="shared" si="10"/>
        <v>#DIV/0!</v>
      </c>
      <c r="O177" s="61" t="str">
        <f t="shared" si="8"/>
        <v>קרית ביאליק</v>
      </c>
      <c r="P177" s="61" t="str">
        <f t="shared" si="9"/>
        <v>חיפה כרמל</v>
      </c>
    </row>
    <row r="178" spans="1:16" x14ac:dyDescent="0.3">
      <c r="A178" s="61">
        <v>7</v>
      </c>
      <c r="B178" s="61">
        <v>17</v>
      </c>
      <c r="C178" s="60"/>
      <c r="G178" s="62"/>
      <c r="I178" s="86" t="e">
        <f t="shared" si="10"/>
        <v>#DIV/0!</v>
      </c>
      <c r="J178" s="87" t="e">
        <f t="shared" si="10"/>
        <v>#DIV/0!</v>
      </c>
      <c r="K178" s="87" t="e">
        <f t="shared" si="10"/>
        <v>#DIV/0!</v>
      </c>
      <c r="L178" s="87" t="e">
        <f t="shared" si="10"/>
        <v>#DIV/0!</v>
      </c>
      <c r="M178" s="88" t="e">
        <f t="shared" si="10"/>
        <v>#DIV/0!</v>
      </c>
      <c r="O178" s="61" t="str">
        <f t="shared" si="8"/>
        <v>קרית ביאליק</v>
      </c>
      <c r="P178" s="61" t="str">
        <f t="shared" si="9"/>
        <v>חיפה נווה שאנן</v>
      </c>
    </row>
    <row r="179" spans="1:16" x14ac:dyDescent="0.3">
      <c r="A179" s="61">
        <v>7</v>
      </c>
      <c r="B179" s="61">
        <v>18</v>
      </c>
      <c r="C179" s="60"/>
      <c r="G179" s="62"/>
      <c r="I179" s="86" t="e">
        <f t="shared" si="10"/>
        <v>#DIV/0!</v>
      </c>
      <c r="J179" s="87" t="e">
        <f t="shared" si="10"/>
        <v>#DIV/0!</v>
      </c>
      <c r="K179" s="87" t="e">
        <f t="shared" si="10"/>
        <v>#DIV/0!</v>
      </c>
      <c r="L179" s="87" t="e">
        <f t="shared" si="10"/>
        <v>#DIV/0!</v>
      </c>
      <c r="M179" s="88" t="e">
        <f t="shared" si="10"/>
        <v>#DIV/0!</v>
      </c>
      <c r="O179" s="61" t="str">
        <f t="shared" si="8"/>
        <v>קרית ביאליק</v>
      </c>
      <c r="P179" s="61" t="str">
        <f t="shared" si="9"/>
        <v>נשר</v>
      </c>
    </row>
    <row r="180" spans="1:16" x14ac:dyDescent="0.3">
      <c r="A180" s="61">
        <v>7</v>
      </c>
      <c r="B180" s="61">
        <v>19</v>
      </c>
      <c r="C180" s="60"/>
      <c r="G180" s="62"/>
      <c r="I180" s="86" t="e">
        <f t="shared" si="10"/>
        <v>#DIV/0!</v>
      </c>
      <c r="J180" s="87" t="e">
        <f t="shared" si="10"/>
        <v>#DIV/0!</v>
      </c>
      <c r="K180" s="87" t="e">
        <f t="shared" si="10"/>
        <v>#DIV/0!</v>
      </c>
      <c r="L180" s="87" t="e">
        <f t="shared" si="10"/>
        <v>#DIV/0!</v>
      </c>
      <c r="M180" s="88" t="e">
        <f t="shared" si="10"/>
        <v>#DIV/0!</v>
      </c>
      <c r="O180" s="61" t="str">
        <f t="shared" si="8"/>
        <v>קרית ביאליק</v>
      </c>
      <c r="P180" s="61" t="str">
        <f t="shared" si="9"/>
        <v>נצרת</v>
      </c>
    </row>
    <row r="181" spans="1:16" x14ac:dyDescent="0.3">
      <c r="A181" s="61">
        <v>7</v>
      </c>
      <c r="B181" s="61">
        <v>20</v>
      </c>
      <c r="C181" s="60"/>
      <c r="G181" s="62"/>
      <c r="I181" s="86" t="e">
        <f t="shared" si="10"/>
        <v>#DIV/0!</v>
      </c>
      <c r="J181" s="87" t="e">
        <f t="shared" si="10"/>
        <v>#DIV/0!</v>
      </c>
      <c r="K181" s="87" t="e">
        <f t="shared" si="10"/>
        <v>#DIV/0!</v>
      </c>
      <c r="L181" s="87" t="e">
        <f t="shared" si="10"/>
        <v>#DIV/0!</v>
      </c>
      <c r="M181" s="88" t="e">
        <f t="shared" si="10"/>
        <v>#DIV/0!</v>
      </c>
      <c r="O181" s="61" t="str">
        <f t="shared" si="8"/>
        <v>קרית ביאליק</v>
      </c>
      <c r="P181" s="61" t="str">
        <f t="shared" si="9"/>
        <v>נצרת-עילית</v>
      </c>
    </row>
    <row r="182" spans="1:16" x14ac:dyDescent="0.3">
      <c r="A182" s="61">
        <v>7</v>
      </c>
      <c r="B182" s="61">
        <v>21</v>
      </c>
      <c r="C182" s="60"/>
      <c r="G182" s="62"/>
      <c r="I182" s="86" t="e">
        <f t="shared" si="10"/>
        <v>#DIV/0!</v>
      </c>
      <c r="J182" s="87" t="e">
        <f t="shared" si="10"/>
        <v>#DIV/0!</v>
      </c>
      <c r="K182" s="87" t="e">
        <f t="shared" si="10"/>
        <v>#DIV/0!</v>
      </c>
      <c r="L182" s="87" t="e">
        <f t="shared" si="10"/>
        <v>#DIV/0!</v>
      </c>
      <c r="M182" s="88" t="e">
        <f t="shared" si="10"/>
        <v>#DIV/0!</v>
      </c>
      <c r="O182" s="61" t="str">
        <f t="shared" si="8"/>
        <v>קרית ביאליק</v>
      </c>
      <c r="P182" s="61" t="str">
        <f t="shared" si="9"/>
        <v>מגדל העמק</v>
      </c>
    </row>
    <row r="183" spans="1:16" x14ac:dyDescent="0.3">
      <c r="A183" s="61">
        <v>7</v>
      </c>
      <c r="B183" s="61">
        <v>22</v>
      </c>
      <c r="C183" s="60"/>
      <c r="G183" s="62"/>
      <c r="I183" s="86" t="e">
        <f t="shared" si="10"/>
        <v>#DIV/0!</v>
      </c>
      <c r="J183" s="87" t="e">
        <f t="shared" si="10"/>
        <v>#DIV/0!</v>
      </c>
      <c r="K183" s="87" t="e">
        <f t="shared" si="10"/>
        <v>#DIV/0!</v>
      </c>
      <c r="L183" s="87" t="e">
        <f t="shared" si="10"/>
        <v>#DIV/0!</v>
      </c>
      <c r="M183" s="88" t="e">
        <f t="shared" si="10"/>
        <v>#DIV/0!</v>
      </c>
      <c r="O183" s="61" t="str">
        <f t="shared" si="8"/>
        <v>קרית ביאליק</v>
      </c>
      <c r="P183" s="61" t="str">
        <f t="shared" si="9"/>
        <v>יוקנעם</v>
      </c>
    </row>
    <row r="184" spans="1:16" x14ac:dyDescent="0.3">
      <c r="A184" s="61">
        <v>7</v>
      </c>
      <c r="B184" s="61">
        <v>23</v>
      </c>
      <c r="C184" s="60"/>
      <c r="G184" s="62"/>
      <c r="I184" s="86" t="e">
        <f t="shared" si="10"/>
        <v>#DIV/0!</v>
      </c>
      <c r="J184" s="87" t="e">
        <f t="shared" si="10"/>
        <v>#DIV/0!</v>
      </c>
      <c r="K184" s="87" t="e">
        <f t="shared" si="10"/>
        <v>#DIV/0!</v>
      </c>
      <c r="L184" s="87" t="e">
        <f t="shared" si="10"/>
        <v>#DIV/0!</v>
      </c>
      <c r="M184" s="88" t="e">
        <f t="shared" si="10"/>
        <v>#DIV/0!</v>
      </c>
      <c r="O184" s="61" t="str">
        <f t="shared" si="8"/>
        <v>קרית ביאליק</v>
      </c>
      <c r="P184" s="61" t="str">
        <f t="shared" si="9"/>
        <v>דלית אל כרמל</v>
      </c>
    </row>
    <row r="185" spans="1:16" x14ac:dyDescent="0.3">
      <c r="A185" s="61">
        <v>7</v>
      </c>
      <c r="B185" s="61">
        <v>24</v>
      </c>
      <c r="C185" s="60"/>
      <c r="G185" s="62"/>
      <c r="I185" s="86" t="e">
        <f t="shared" si="10"/>
        <v>#DIV/0!</v>
      </c>
      <c r="J185" s="87" t="e">
        <f t="shared" si="10"/>
        <v>#DIV/0!</v>
      </c>
      <c r="K185" s="87" t="e">
        <f t="shared" si="10"/>
        <v>#DIV/0!</v>
      </c>
      <c r="L185" s="87" t="e">
        <f t="shared" si="10"/>
        <v>#DIV/0!</v>
      </c>
      <c r="M185" s="88" t="e">
        <f t="shared" si="10"/>
        <v>#DIV/0!</v>
      </c>
      <c r="O185" s="61" t="str">
        <f t="shared" si="8"/>
        <v>קרית ביאליק</v>
      </c>
      <c r="P185" s="61" t="str">
        <f t="shared" si="9"/>
        <v>חוף הכרמל</v>
      </c>
    </row>
    <row r="186" spans="1:16" x14ac:dyDescent="0.3">
      <c r="A186" s="61">
        <v>7</v>
      </c>
      <c r="B186" s="61">
        <v>25</v>
      </c>
      <c r="C186" s="60"/>
      <c r="G186" s="62"/>
      <c r="I186" s="86" t="e">
        <f t="shared" si="10"/>
        <v>#DIV/0!</v>
      </c>
      <c r="J186" s="87" t="e">
        <f t="shared" si="10"/>
        <v>#DIV/0!</v>
      </c>
      <c r="K186" s="87" t="e">
        <f t="shared" si="10"/>
        <v>#DIV/0!</v>
      </c>
      <c r="L186" s="87" t="e">
        <f t="shared" si="10"/>
        <v>#DIV/0!</v>
      </c>
      <c r="M186" s="88" t="e">
        <f t="shared" si="10"/>
        <v>#DIV/0!</v>
      </c>
      <c r="O186" s="61" t="str">
        <f t="shared" si="8"/>
        <v>קרית ביאליק</v>
      </c>
      <c r="P186" s="61" t="str">
        <f t="shared" si="9"/>
        <v>זכרון יעקב</v>
      </c>
    </row>
    <row r="187" spans="1:16" x14ac:dyDescent="0.3">
      <c r="A187" s="61">
        <v>7</v>
      </c>
      <c r="B187" s="61">
        <v>30</v>
      </c>
      <c r="C187" s="60"/>
      <c r="G187" s="62"/>
      <c r="I187" s="86" t="e">
        <f t="shared" si="10"/>
        <v>#DIV/0!</v>
      </c>
      <c r="J187" s="87" t="e">
        <f t="shared" si="10"/>
        <v>#DIV/0!</v>
      </c>
      <c r="K187" s="87" t="e">
        <f t="shared" si="10"/>
        <v>#DIV/0!</v>
      </c>
      <c r="L187" s="87" t="e">
        <f t="shared" si="10"/>
        <v>#DIV/0!</v>
      </c>
      <c r="M187" s="88" t="e">
        <f t="shared" si="10"/>
        <v>#DIV/0!</v>
      </c>
      <c r="O187" s="61" t="str">
        <f t="shared" si="8"/>
        <v>קרית ביאליק</v>
      </c>
      <c r="P187" s="61" t="str">
        <f t="shared" si="9"/>
        <v>סכנין</v>
      </c>
    </row>
    <row r="188" spans="1:16" x14ac:dyDescent="0.3">
      <c r="A188" s="61">
        <v>8</v>
      </c>
      <c r="B188" s="61">
        <v>1</v>
      </c>
      <c r="C188" s="60"/>
      <c r="G188" s="62"/>
      <c r="I188" s="86" t="e">
        <f t="shared" si="10"/>
        <v>#DIV/0!</v>
      </c>
      <c r="J188" s="87" t="e">
        <f t="shared" si="10"/>
        <v>#DIV/0!</v>
      </c>
      <c r="K188" s="87" t="e">
        <f t="shared" si="10"/>
        <v>#DIV/0!</v>
      </c>
      <c r="L188" s="87" t="e">
        <f t="shared" si="10"/>
        <v>#DIV/0!</v>
      </c>
      <c r="M188" s="88" t="e">
        <f t="shared" si="10"/>
        <v>#DIV/0!</v>
      </c>
      <c r="O188" s="61" t="str">
        <f t="shared" si="8"/>
        <v>קרית חיים</v>
      </c>
      <c r="P188" s="61" t="str">
        <f t="shared" si="9"/>
        <v>נהריה</v>
      </c>
    </row>
    <row r="189" spans="1:16" x14ac:dyDescent="0.3">
      <c r="A189" s="61">
        <v>8</v>
      </c>
      <c r="B189" s="61">
        <v>2</v>
      </c>
      <c r="C189" s="60"/>
      <c r="G189" s="62"/>
      <c r="I189" s="86" t="e">
        <f t="shared" si="10"/>
        <v>#DIV/0!</v>
      </c>
      <c r="J189" s="87" t="e">
        <f t="shared" si="10"/>
        <v>#DIV/0!</v>
      </c>
      <c r="K189" s="87" t="e">
        <f t="shared" si="10"/>
        <v>#DIV/0!</v>
      </c>
      <c r="L189" s="87" t="e">
        <f t="shared" si="10"/>
        <v>#DIV/0!</v>
      </c>
      <c r="M189" s="88" t="e">
        <f t="shared" si="10"/>
        <v>#DIV/0!</v>
      </c>
      <c r="O189" s="61" t="str">
        <f t="shared" si="8"/>
        <v>קרית חיים</v>
      </c>
      <c r="P189" s="61" t="str">
        <f t="shared" si="9"/>
        <v>עכו</v>
      </c>
    </row>
    <row r="190" spans="1:16" x14ac:dyDescent="0.3">
      <c r="A190" s="61">
        <v>8</v>
      </c>
      <c r="B190" s="61">
        <v>3</v>
      </c>
      <c r="C190" s="60"/>
      <c r="G190" s="62"/>
      <c r="I190" s="86" t="e">
        <f t="shared" si="10"/>
        <v>#DIV/0!</v>
      </c>
      <c r="J190" s="87" t="e">
        <f t="shared" si="10"/>
        <v>#DIV/0!</v>
      </c>
      <c r="K190" s="87" t="e">
        <f t="shared" si="10"/>
        <v>#DIV/0!</v>
      </c>
      <c r="L190" s="87" t="e">
        <f t="shared" si="10"/>
        <v>#DIV/0!</v>
      </c>
      <c r="M190" s="88" t="e">
        <f t="shared" si="10"/>
        <v>#DIV/0!</v>
      </c>
      <c r="O190" s="61" t="str">
        <f t="shared" si="8"/>
        <v>קרית חיים</v>
      </c>
      <c r="P190" s="61" t="str">
        <f t="shared" si="9"/>
        <v>כרמיאל</v>
      </c>
    </row>
    <row r="191" spans="1:16" x14ac:dyDescent="0.3">
      <c r="A191" s="61">
        <v>8</v>
      </c>
      <c r="B191" s="61">
        <v>4</v>
      </c>
      <c r="C191" s="60"/>
      <c r="G191" s="62"/>
      <c r="I191" s="86" t="e">
        <f t="shared" si="10"/>
        <v>#DIV/0!</v>
      </c>
      <c r="J191" s="87" t="e">
        <f t="shared" si="10"/>
        <v>#DIV/0!</v>
      </c>
      <c r="K191" s="87" t="e">
        <f t="shared" si="10"/>
        <v>#DIV/0!</v>
      </c>
      <c r="L191" s="87" t="e">
        <f t="shared" si="10"/>
        <v>#DIV/0!</v>
      </c>
      <c r="M191" s="88" t="e">
        <f t="shared" si="10"/>
        <v>#DIV/0!</v>
      </c>
      <c r="O191" s="61" t="str">
        <f t="shared" si="8"/>
        <v>קרית חיים</v>
      </c>
      <c r="P191" s="61" t="str">
        <f t="shared" si="9"/>
        <v>שפרעם</v>
      </c>
    </row>
    <row r="192" spans="1:16" x14ac:dyDescent="0.3">
      <c r="A192" s="61">
        <v>8</v>
      </c>
      <c r="B192" s="61">
        <v>5</v>
      </c>
      <c r="C192" s="60"/>
      <c r="G192" s="62"/>
      <c r="I192" s="86" t="e">
        <f t="shared" si="10"/>
        <v>#DIV/0!</v>
      </c>
      <c r="J192" s="87" t="e">
        <f t="shared" si="10"/>
        <v>#DIV/0!</v>
      </c>
      <c r="K192" s="87" t="e">
        <f t="shared" si="10"/>
        <v>#DIV/0!</v>
      </c>
      <c r="L192" s="87" t="e">
        <f t="shared" si="10"/>
        <v>#DIV/0!</v>
      </c>
      <c r="M192" s="88" t="e">
        <f t="shared" si="10"/>
        <v>#DIV/0!</v>
      </c>
      <c r="O192" s="61" t="str">
        <f t="shared" si="8"/>
        <v>קרית חיים</v>
      </c>
      <c r="P192" s="61" t="str">
        <f t="shared" si="9"/>
        <v>קרית ים</v>
      </c>
    </row>
    <row r="193" spans="1:16" x14ac:dyDescent="0.3">
      <c r="A193" s="61">
        <v>8</v>
      </c>
      <c r="B193" s="61">
        <v>6</v>
      </c>
      <c r="C193" s="60"/>
      <c r="G193" s="62"/>
      <c r="I193" s="86" t="e">
        <f t="shared" si="10"/>
        <v>#DIV/0!</v>
      </c>
      <c r="J193" s="87" t="e">
        <f t="shared" si="10"/>
        <v>#DIV/0!</v>
      </c>
      <c r="K193" s="87" t="e">
        <f t="shared" si="10"/>
        <v>#DIV/0!</v>
      </c>
      <c r="L193" s="87" t="e">
        <f t="shared" si="10"/>
        <v>#DIV/0!</v>
      </c>
      <c r="M193" s="88" t="e">
        <f t="shared" si="10"/>
        <v>#DIV/0!</v>
      </c>
      <c r="O193" s="61" t="str">
        <f t="shared" si="8"/>
        <v>קרית חיים</v>
      </c>
      <c r="P193" s="61" t="str">
        <f t="shared" si="9"/>
        <v>קרית מוצקין</v>
      </c>
    </row>
    <row r="194" spans="1:16" x14ac:dyDescent="0.3">
      <c r="A194" s="61">
        <v>8</v>
      </c>
      <c r="B194" s="61">
        <v>7</v>
      </c>
      <c r="C194" s="60"/>
      <c r="G194" s="62"/>
      <c r="I194" s="86" t="e">
        <f t="shared" si="10"/>
        <v>#DIV/0!</v>
      </c>
      <c r="J194" s="87" t="e">
        <f t="shared" si="10"/>
        <v>#DIV/0!</v>
      </c>
      <c r="K194" s="87" t="e">
        <f t="shared" si="10"/>
        <v>#DIV/0!</v>
      </c>
      <c r="L194" s="87" t="e">
        <f t="shared" si="10"/>
        <v>#DIV/0!</v>
      </c>
      <c r="M194" s="88" t="e">
        <f t="shared" si="10"/>
        <v>#DIV/0!</v>
      </c>
      <c r="O194" s="61" t="str">
        <f t="shared" si="8"/>
        <v>קרית חיים</v>
      </c>
      <c r="P194" s="61" t="str">
        <f t="shared" si="9"/>
        <v>קרית ביאליק</v>
      </c>
    </row>
    <row r="195" spans="1:16" x14ac:dyDescent="0.3">
      <c r="A195" s="61">
        <v>8</v>
      </c>
      <c r="B195" s="61">
        <v>8</v>
      </c>
      <c r="C195" s="60"/>
      <c r="G195" s="62"/>
      <c r="I195" s="86" t="e">
        <f t="shared" si="10"/>
        <v>#DIV/0!</v>
      </c>
      <c r="J195" s="87" t="e">
        <f t="shared" si="10"/>
        <v>#DIV/0!</v>
      </c>
      <c r="K195" s="87" t="e">
        <f t="shared" si="10"/>
        <v>#DIV/0!</v>
      </c>
      <c r="L195" s="87" t="e">
        <f t="shared" si="10"/>
        <v>#DIV/0!</v>
      </c>
      <c r="M195" s="88" t="e">
        <f t="shared" si="10"/>
        <v>#DIV/0!</v>
      </c>
      <c r="O195" s="61" t="str">
        <f t="shared" si="8"/>
        <v>קרית חיים</v>
      </c>
      <c r="P195" s="61" t="str">
        <f t="shared" si="9"/>
        <v>קרית חיים</v>
      </c>
    </row>
    <row r="196" spans="1:16" x14ac:dyDescent="0.3">
      <c r="A196" s="61">
        <v>8</v>
      </c>
      <c r="B196" s="61">
        <v>9</v>
      </c>
      <c r="C196" s="60"/>
      <c r="G196" s="62"/>
      <c r="I196" s="86" t="e">
        <f t="shared" si="10"/>
        <v>#DIV/0!</v>
      </c>
      <c r="J196" s="87" t="e">
        <f t="shared" si="10"/>
        <v>#DIV/0!</v>
      </c>
      <c r="K196" s="87" t="e">
        <f t="shared" si="10"/>
        <v>#DIV/0!</v>
      </c>
      <c r="L196" s="87" t="e">
        <f t="shared" si="10"/>
        <v>#DIV/0!</v>
      </c>
      <c r="M196" s="88" t="e">
        <f t="shared" si="10"/>
        <v>#DIV/0!</v>
      </c>
      <c r="O196" s="61" t="str">
        <f t="shared" si="8"/>
        <v>קרית חיים</v>
      </c>
      <c r="P196" s="61" t="str">
        <f t="shared" si="9"/>
        <v>קרית אתא</v>
      </c>
    </row>
    <row r="197" spans="1:16" x14ac:dyDescent="0.3">
      <c r="A197" s="61">
        <v>8</v>
      </c>
      <c r="B197" s="61">
        <v>10</v>
      </c>
      <c r="C197" s="60"/>
      <c r="G197" s="62"/>
      <c r="I197" s="86" t="e">
        <f t="shared" si="10"/>
        <v>#DIV/0!</v>
      </c>
      <c r="J197" s="87" t="e">
        <f t="shared" si="10"/>
        <v>#DIV/0!</v>
      </c>
      <c r="K197" s="87" t="e">
        <f t="shared" si="10"/>
        <v>#DIV/0!</v>
      </c>
      <c r="L197" s="87" t="e">
        <f t="shared" si="10"/>
        <v>#DIV/0!</v>
      </c>
      <c r="M197" s="88" t="e">
        <f t="shared" si="10"/>
        <v>#DIV/0!</v>
      </c>
      <c r="O197" s="61" t="str">
        <f t="shared" si="8"/>
        <v>קרית חיים</v>
      </c>
      <c r="P197" s="61" t="str">
        <f t="shared" si="9"/>
        <v>כפר מנדא</v>
      </c>
    </row>
    <row r="198" spans="1:16" x14ac:dyDescent="0.3">
      <c r="A198" s="61">
        <v>8</v>
      </c>
      <c r="B198" s="61">
        <v>11</v>
      </c>
      <c r="C198" s="60"/>
      <c r="G198" s="62"/>
      <c r="I198" s="86" t="e">
        <f t="shared" si="10"/>
        <v>#DIV/0!</v>
      </c>
      <c r="J198" s="87" t="e">
        <f t="shared" si="10"/>
        <v>#DIV/0!</v>
      </c>
      <c r="K198" s="87" t="e">
        <f t="shared" si="10"/>
        <v>#DIV/0!</v>
      </c>
      <c r="L198" s="87" t="e">
        <f t="shared" si="10"/>
        <v>#DIV/0!</v>
      </c>
      <c r="M198" s="88" t="e">
        <f t="shared" si="10"/>
        <v>#DIV/0!</v>
      </c>
      <c r="O198" s="61" t="str">
        <f t="shared" ref="O198:O261" si="11">VLOOKUP(A198,$S$6:$T$31,2,0)</f>
        <v>קרית חיים</v>
      </c>
      <c r="P198" s="61" t="str">
        <f t="shared" ref="P198:P261" si="12">VLOOKUP(B198,$S$6:$T$31,2,0)</f>
        <v>זבולון</v>
      </c>
    </row>
    <row r="199" spans="1:16" x14ac:dyDescent="0.3">
      <c r="A199" s="61">
        <v>8</v>
      </c>
      <c r="B199" s="61">
        <v>12</v>
      </c>
      <c r="C199" s="60"/>
      <c r="G199" s="62"/>
      <c r="I199" s="86" t="e">
        <f t="shared" si="10"/>
        <v>#DIV/0!</v>
      </c>
      <c r="J199" s="87" t="e">
        <f t="shared" si="10"/>
        <v>#DIV/0!</v>
      </c>
      <c r="K199" s="87" t="e">
        <f t="shared" si="10"/>
        <v>#DIV/0!</v>
      </c>
      <c r="L199" s="87" t="e">
        <f t="shared" si="10"/>
        <v>#DIV/0!</v>
      </c>
      <c r="M199" s="88" t="e">
        <f t="shared" si="10"/>
        <v>#DIV/0!</v>
      </c>
      <c r="O199" s="61" t="str">
        <f t="shared" si="11"/>
        <v>קרית חיים</v>
      </c>
      <c r="P199" s="61" t="str">
        <f t="shared" si="12"/>
        <v>חיפה מפרץ</v>
      </c>
    </row>
    <row r="200" spans="1:16" x14ac:dyDescent="0.3">
      <c r="A200" s="61">
        <v>8</v>
      </c>
      <c r="B200" s="61">
        <v>13</v>
      </c>
      <c r="C200" s="60"/>
      <c r="G200" s="62"/>
      <c r="I200" s="86" t="e">
        <f t="shared" si="10"/>
        <v>#DIV/0!</v>
      </c>
      <c r="J200" s="87" t="e">
        <f t="shared" si="10"/>
        <v>#DIV/0!</v>
      </c>
      <c r="K200" s="87" t="e">
        <f t="shared" si="10"/>
        <v>#DIV/0!</v>
      </c>
      <c r="L200" s="87" t="e">
        <f t="shared" si="10"/>
        <v>#DIV/0!</v>
      </c>
      <c r="M200" s="88" t="e">
        <f t="shared" si="10"/>
        <v>#DIV/0!</v>
      </c>
      <c r="O200" s="61" t="str">
        <f t="shared" si="11"/>
        <v>קרית חיים</v>
      </c>
      <c r="P200" s="61" t="str">
        <f t="shared" si="12"/>
        <v>חיפה עיר תחתית</v>
      </c>
    </row>
    <row r="201" spans="1:16" x14ac:dyDescent="0.3">
      <c r="A201" s="61">
        <v>8</v>
      </c>
      <c r="B201" s="61">
        <v>14</v>
      </c>
      <c r="C201" s="60"/>
      <c r="G201" s="62"/>
      <c r="I201" s="86" t="e">
        <f t="shared" si="10"/>
        <v>#DIV/0!</v>
      </c>
      <c r="J201" s="87" t="e">
        <f t="shared" si="10"/>
        <v>#DIV/0!</v>
      </c>
      <c r="K201" s="87" t="e">
        <f t="shared" si="10"/>
        <v>#DIV/0!</v>
      </c>
      <c r="L201" s="87" t="e">
        <f t="shared" si="10"/>
        <v>#DIV/0!</v>
      </c>
      <c r="M201" s="88" t="e">
        <f t="shared" si="10"/>
        <v>#DIV/0!</v>
      </c>
      <c r="O201" s="61" t="str">
        <f t="shared" si="11"/>
        <v>קרית חיים</v>
      </c>
      <c r="P201" s="61" t="str">
        <f t="shared" si="12"/>
        <v>חיפה הדר-כרמל</v>
      </c>
    </row>
    <row r="202" spans="1:16" x14ac:dyDescent="0.3">
      <c r="A202" s="61">
        <v>8</v>
      </c>
      <c r="B202" s="61">
        <v>15</v>
      </c>
      <c r="C202" s="60"/>
      <c r="G202" s="62"/>
      <c r="I202" s="86" t="e">
        <f t="shared" si="10"/>
        <v>#DIV/0!</v>
      </c>
      <c r="J202" s="87" t="e">
        <f t="shared" si="10"/>
        <v>#DIV/0!</v>
      </c>
      <c r="K202" s="87" t="e">
        <f t="shared" si="10"/>
        <v>#DIV/0!</v>
      </c>
      <c r="L202" s="87" t="e">
        <f t="shared" si="10"/>
        <v>#DIV/0!</v>
      </c>
      <c r="M202" s="88" t="e">
        <f t="shared" si="10"/>
        <v>#DIV/0!</v>
      </c>
      <c r="O202" s="61" t="str">
        <f t="shared" si="11"/>
        <v>קרית חיים</v>
      </c>
      <c r="P202" s="61" t="str">
        <f t="shared" si="12"/>
        <v>חיפה מערב</v>
      </c>
    </row>
    <row r="203" spans="1:16" x14ac:dyDescent="0.3">
      <c r="A203" s="61">
        <v>8</v>
      </c>
      <c r="B203" s="61">
        <v>16</v>
      </c>
      <c r="C203" s="60"/>
      <c r="G203" s="62"/>
      <c r="I203" s="86" t="e">
        <f t="shared" si="10"/>
        <v>#DIV/0!</v>
      </c>
      <c r="J203" s="87" t="e">
        <f t="shared" si="10"/>
        <v>#DIV/0!</v>
      </c>
      <c r="K203" s="87" t="e">
        <f t="shared" si="10"/>
        <v>#DIV/0!</v>
      </c>
      <c r="L203" s="87" t="e">
        <f t="shared" si="10"/>
        <v>#DIV/0!</v>
      </c>
      <c r="M203" s="88" t="e">
        <f t="shared" si="10"/>
        <v>#DIV/0!</v>
      </c>
      <c r="O203" s="61" t="str">
        <f t="shared" si="11"/>
        <v>קרית חיים</v>
      </c>
      <c r="P203" s="61" t="str">
        <f t="shared" si="12"/>
        <v>חיפה כרמל</v>
      </c>
    </row>
    <row r="204" spans="1:16" x14ac:dyDescent="0.3">
      <c r="A204" s="61">
        <v>8</v>
      </c>
      <c r="B204" s="61">
        <v>17</v>
      </c>
      <c r="C204" s="60"/>
      <c r="G204" s="62"/>
      <c r="I204" s="86" t="e">
        <f t="shared" si="10"/>
        <v>#DIV/0!</v>
      </c>
      <c r="J204" s="87" t="e">
        <f t="shared" si="10"/>
        <v>#DIV/0!</v>
      </c>
      <c r="K204" s="87" t="e">
        <f t="shared" si="10"/>
        <v>#DIV/0!</v>
      </c>
      <c r="L204" s="87" t="e">
        <f t="shared" si="10"/>
        <v>#DIV/0!</v>
      </c>
      <c r="M204" s="88" t="e">
        <f t="shared" si="10"/>
        <v>#DIV/0!</v>
      </c>
      <c r="O204" s="61" t="str">
        <f t="shared" si="11"/>
        <v>קרית חיים</v>
      </c>
      <c r="P204" s="61" t="str">
        <f t="shared" si="12"/>
        <v>חיפה נווה שאנן</v>
      </c>
    </row>
    <row r="205" spans="1:16" x14ac:dyDescent="0.3">
      <c r="A205" s="61">
        <v>8</v>
      </c>
      <c r="B205" s="61">
        <v>18</v>
      </c>
      <c r="C205" s="60"/>
      <c r="G205" s="62"/>
      <c r="I205" s="86" t="e">
        <f t="shared" si="10"/>
        <v>#DIV/0!</v>
      </c>
      <c r="J205" s="87" t="e">
        <f t="shared" si="10"/>
        <v>#DIV/0!</v>
      </c>
      <c r="K205" s="87" t="e">
        <f t="shared" si="10"/>
        <v>#DIV/0!</v>
      </c>
      <c r="L205" s="87" t="e">
        <f t="shared" si="10"/>
        <v>#DIV/0!</v>
      </c>
      <c r="M205" s="88" t="e">
        <f t="shared" si="10"/>
        <v>#DIV/0!</v>
      </c>
      <c r="O205" s="61" t="str">
        <f t="shared" si="11"/>
        <v>קרית חיים</v>
      </c>
      <c r="P205" s="61" t="str">
        <f t="shared" si="12"/>
        <v>נשר</v>
      </c>
    </row>
    <row r="206" spans="1:16" x14ac:dyDescent="0.3">
      <c r="A206" s="61">
        <v>8</v>
      </c>
      <c r="B206" s="61">
        <v>19</v>
      </c>
      <c r="C206" s="60"/>
      <c r="G206" s="62"/>
      <c r="I206" s="86" t="e">
        <f t="shared" si="10"/>
        <v>#DIV/0!</v>
      </c>
      <c r="J206" s="87" t="e">
        <f t="shared" si="10"/>
        <v>#DIV/0!</v>
      </c>
      <c r="K206" s="87" t="e">
        <f t="shared" si="10"/>
        <v>#DIV/0!</v>
      </c>
      <c r="L206" s="87" t="e">
        <f t="shared" si="10"/>
        <v>#DIV/0!</v>
      </c>
      <c r="M206" s="88" t="e">
        <f t="shared" si="10"/>
        <v>#DIV/0!</v>
      </c>
      <c r="O206" s="61" t="str">
        <f t="shared" si="11"/>
        <v>קרית חיים</v>
      </c>
      <c r="P206" s="61" t="str">
        <f t="shared" si="12"/>
        <v>נצרת</v>
      </c>
    </row>
    <row r="207" spans="1:16" x14ac:dyDescent="0.3">
      <c r="A207" s="61">
        <v>8</v>
      </c>
      <c r="B207" s="61">
        <v>20</v>
      </c>
      <c r="C207" s="60"/>
      <c r="G207" s="62"/>
      <c r="I207" s="86" t="e">
        <f t="shared" si="10"/>
        <v>#DIV/0!</v>
      </c>
      <c r="J207" s="87" t="e">
        <f t="shared" si="10"/>
        <v>#DIV/0!</v>
      </c>
      <c r="K207" s="87" t="e">
        <f t="shared" si="10"/>
        <v>#DIV/0!</v>
      </c>
      <c r="L207" s="87" t="e">
        <f t="shared" si="10"/>
        <v>#DIV/0!</v>
      </c>
      <c r="M207" s="88" t="e">
        <f t="shared" si="10"/>
        <v>#DIV/0!</v>
      </c>
      <c r="O207" s="61" t="str">
        <f t="shared" si="11"/>
        <v>קרית חיים</v>
      </c>
      <c r="P207" s="61" t="str">
        <f t="shared" si="12"/>
        <v>נצרת-עילית</v>
      </c>
    </row>
    <row r="208" spans="1:16" x14ac:dyDescent="0.3">
      <c r="A208" s="61">
        <v>8</v>
      </c>
      <c r="B208" s="61">
        <v>21</v>
      </c>
      <c r="C208" s="60"/>
      <c r="G208" s="62"/>
      <c r="I208" s="86" t="e">
        <f t="shared" si="10"/>
        <v>#DIV/0!</v>
      </c>
      <c r="J208" s="87" t="e">
        <f t="shared" si="10"/>
        <v>#DIV/0!</v>
      </c>
      <c r="K208" s="87" t="e">
        <f t="shared" si="10"/>
        <v>#DIV/0!</v>
      </c>
      <c r="L208" s="87" t="e">
        <f t="shared" si="10"/>
        <v>#DIV/0!</v>
      </c>
      <c r="M208" s="88" t="e">
        <f t="shared" si="10"/>
        <v>#DIV/0!</v>
      </c>
      <c r="O208" s="61" t="str">
        <f t="shared" si="11"/>
        <v>קרית חיים</v>
      </c>
      <c r="P208" s="61" t="str">
        <f t="shared" si="12"/>
        <v>מגדל העמק</v>
      </c>
    </row>
    <row r="209" spans="1:16" x14ac:dyDescent="0.3">
      <c r="A209" s="61">
        <v>8</v>
      </c>
      <c r="B209" s="61">
        <v>22</v>
      </c>
      <c r="C209" s="60"/>
      <c r="G209" s="62"/>
      <c r="I209" s="86" t="e">
        <f t="shared" si="10"/>
        <v>#DIV/0!</v>
      </c>
      <c r="J209" s="87" t="e">
        <f t="shared" si="10"/>
        <v>#DIV/0!</v>
      </c>
      <c r="K209" s="87" t="e">
        <f t="shared" si="10"/>
        <v>#DIV/0!</v>
      </c>
      <c r="L209" s="87" t="e">
        <f t="shared" si="10"/>
        <v>#DIV/0!</v>
      </c>
      <c r="M209" s="88" t="e">
        <f t="shared" si="10"/>
        <v>#DIV/0!</v>
      </c>
      <c r="O209" s="61" t="str">
        <f t="shared" si="11"/>
        <v>קרית חיים</v>
      </c>
      <c r="P209" s="61" t="str">
        <f t="shared" si="12"/>
        <v>יוקנעם</v>
      </c>
    </row>
    <row r="210" spans="1:16" x14ac:dyDescent="0.3">
      <c r="A210" s="61">
        <v>8</v>
      </c>
      <c r="B210" s="61">
        <v>23</v>
      </c>
      <c r="C210" s="60"/>
      <c r="G210" s="62"/>
      <c r="I210" s="86" t="e">
        <f t="shared" si="10"/>
        <v>#DIV/0!</v>
      </c>
      <c r="J210" s="87" t="e">
        <f t="shared" si="10"/>
        <v>#DIV/0!</v>
      </c>
      <c r="K210" s="87" t="e">
        <f t="shared" si="10"/>
        <v>#DIV/0!</v>
      </c>
      <c r="L210" s="87" t="e">
        <f t="shared" si="10"/>
        <v>#DIV/0!</v>
      </c>
      <c r="M210" s="88" t="e">
        <f t="shared" si="10"/>
        <v>#DIV/0!</v>
      </c>
      <c r="O210" s="61" t="str">
        <f t="shared" si="11"/>
        <v>קרית חיים</v>
      </c>
      <c r="P210" s="61" t="str">
        <f t="shared" si="12"/>
        <v>דלית אל כרמל</v>
      </c>
    </row>
    <row r="211" spans="1:16" x14ac:dyDescent="0.3">
      <c r="A211" s="61">
        <v>8</v>
      </c>
      <c r="B211" s="61">
        <v>24</v>
      </c>
      <c r="C211" s="60"/>
      <c r="G211" s="62"/>
      <c r="I211" s="86" t="e">
        <f t="shared" si="10"/>
        <v>#DIV/0!</v>
      </c>
      <c r="J211" s="87" t="e">
        <f t="shared" si="10"/>
        <v>#DIV/0!</v>
      </c>
      <c r="K211" s="87" t="e">
        <f t="shared" si="10"/>
        <v>#DIV/0!</v>
      </c>
      <c r="L211" s="87" t="e">
        <f t="shared" si="10"/>
        <v>#DIV/0!</v>
      </c>
      <c r="M211" s="88" t="e">
        <f t="shared" si="10"/>
        <v>#DIV/0!</v>
      </c>
      <c r="O211" s="61" t="str">
        <f t="shared" si="11"/>
        <v>קרית חיים</v>
      </c>
      <c r="P211" s="61" t="str">
        <f t="shared" si="12"/>
        <v>חוף הכרמל</v>
      </c>
    </row>
    <row r="212" spans="1:16" x14ac:dyDescent="0.3">
      <c r="A212" s="61">
        <v>8</v>
      </c>
      <c r="B212" s="61">
        <v>25</v>
      </c>
      <c r="C212" s="60"/>
      <c r="G212" s="62"/>
      <c r="I212" s="86" t="e">
        <f t="shared" si="10"/>
        <v>#DIV/0!</v>
      </c>
      <c r="J212" s="87" t="e">
        <f t="shared" si="10"/>
        <v>#DIV/0!</v>
      </c>
      <c r="K212" s="87" t="e">
        <f t="shared" si="10"/>
        <v>#DIV/0!</v>
      </c>
      <c r="L212" s="87" t="e">
        <f t="shared" si="10"/>
        <v>#DIV/0!</v>
      </c>
      <c r="M212" s="88" t="e">
        <f t="shared" si="10"/>
        <v>#DIV/0!</v>
      </c>
      <c r="O212" s="61" t="str">
        <f t="shared" si="11"/>
        <v>קרית חיים</v>
      </c>
      <c r="P212" s="61" t="str">
        <f t="shared" si="12"/>
        <v>זכרון יעקב</v>
      </c>
    </row>
    <row r="213" spans="1:16" x14ac:dyDescent="0.3">
      <c r="A213" s="61">
        <v>8</v>
      </c>
      <c r="B213" s="61">
        <v>30</v>
      </c>
      <c r="C213" s="60"/>
      <c r="G213" s="62"/>
      <c r="I213" s="86" t="e">
        <f t="shared" si="10"/>
        <v>#DIV/0!</v>
      </c>
      <c r="J213" s="87" t="e">
        <f t="shared" si="10"/>
        <v>#DIV/0!</v>
      </c>
      <c r="K213" s="87" t="e">
        <f t="shared" si="10"/>
        <v>#DIV/0!</v>
      </c>
      <c r="L213" s="87" t="e">
        <f t="shared" si="10"/>
        <v>#DIV/0!</v>
      </c>
      <c r="M213" s="88" t="e">
        <f t="shared" si="10"/>
        <v>#DIV/0!</v>
      </c>
      <c r="O213" s="61" t="str">
        <f t="shared" si="11"/>
        <v>קרית חיים</v>
      </c>
      <c r="P213" s="61" t="str">
        <f t="shared" si="12"/>
        <v>סכנין</v>
      </c>
    </row>
    <row r="214" spans="1:16" x14ac:dyDescent="0.3">
      <c r="A214" s="61">
        <v>9</v>
      </c>
      <c r="B214" s="61">
        <v>1</v>
      </c>
      <c r="C214" s="60"/>
      <c r="G214" s="62"/>
      <c r="I214" s="86" t="e">
        <f t="shared" si="10"/>
        <v>#DIV/0!</v>
      </c>
      <c r="J214" s="87" t="e">
        <f t="shared" si="10"/>
        <v>#DIV/0!</v>
      </c>
      <c r="K214" s="87" t="e">
        <f t="shared" si="10"/>
        <v>#DIV/0!</v>
      </c>
      <c r="L214" s="87" t="e">
        <f t="shared" si="10"/>
        <v>#DIV/0!</v>
      </c>
      <c r="M214" s="88" t="e">
        <f t="shared" si="10"/>
        <v>#DIV/0!</v>
      </c>
      <c r="O214" s="61" t="str">
        <f t="shared" si="11"/>
        <v>קרית אתא</v>
      </c>
      <c r="P214" s="61" t="str">
        <f t="shared" si="12"/>
        <v>נהריה</v>
      </c>
    </row>
    <row r="215" spans="1:16" x14ac:dyDescent="0.3">
      <c r="A215" s="61">
        <v>9</v>
      </c>
      <c r="B215" s="61">
        <v>2</v>
      </c>
      <c r="C215" s="60"/>
      <c r="G215" s="62"/>
      <c r="I215" s="86" t="e">
        <f t="shared" si="10"/>
        <v>#DIV/0!</v>
      </c>
      <c r="J215" s="87" t="e">
        <f t="shared" si="10"/>
        <v>#DIV/0!</v>
      </c>
      <c r="K215" s="87" t="e">
        <f t="shared" si="10"/>
        <v>#DIV/0!</v>
      </c>
      <c r="L215" s="87" t="e">
        <f t="shared" si="10"/>
        <v>#DIV/0!</v>
      </c>
      <c r="M215" s="88" t="e">
        <f t="shared" si="10"/>
        <v>#DIV/0!</v>
      </c>
      <c r="O215" s="61" t="str">
        <f t="shared" si="11"/>
        <v>קרית אתא</v>
      </c>
      <c r="P215" s="61" t="str">
        <f t="shared" si="12"/>
        <v>עכו</v>
      </c>
    </row>
    <row r="216" spans="1:16" x14ac:dyDescent="0.3">
      <c r="A216" s="61">
        <v>9</v>
      </c>
      <c r="B216" s="61">
        <v>3</v>
      </c>
      <c r="C216" s="60"/>
      <c r="G216" s="62"/>
      <c r="I216" s="86" t="e">
        <f t="shared" si="10"/>
        <v>#DIV/0!</v>
      </c>
      <c r="J216" s="87" t="e">
        <f t="shared" si="10"/>
        <v>#DIV/0!</v>
      </c>
      <c r="K216" s="87" t="e">
        <f t="shared" si="10"/>
        <v>#DIV/0!</v>
      </c>
      <c r="L216" s="87" t="e">
        <f t="shared" si="10"/>
        <v>#DIV/0!</v>
      </c>
      <c r="M216" s="88" t="e">
        <f t="shared" si="10"/>
        <v>#DIV/0!</v>
      </c>
      <c r="O216" s="61" t="str">
        <f t="shared" si="11"/>
        <v>קרית אתא</v>
      </c>
      <c r="P216" s="61" t="str">
        <f t="shared" si="12"/>
        <v>כרמיאל</v>
      </c>
    </row>
    <row r="217" spans="1:16" x14ac:dyDescent="0.3">
      <c r="A217" s="61">
        <v>9</v>
      </c>
      <c r="B217" s="61">
        <v>4</v>
      </c>
      <c r="C217" s="60"/>
      <c r="G217" s="62"/>
      <c r="I217" s="86" t="e">
        <f t="shared" si="10"/>
        <v>#DIV/0!</v>
      </c>
      <c r="J217" s="87" t="e">
        <f t="shared" si="10"/>
        <v>#DIV/0!</v>
      </c>
      <c r="K217" s="87" t="e">
        <f t="shared" si="10"/>
        <v>#DIV/0!</v>
      </c>
      <c r="L217" s="87" t="e">
        <f t="shared" si="10"/>
        <v>#DIV/0!</v>
      </c>
      <c r="M217" s="88" t="e">
        <f t="shared" si="10"/>
        <v>#DIV/0!</v>
      </c>
      <c r="O217" s="61" t="str">
        <f t="shared" si="11"/>
        <v>קרית אתא</v>
      </c>
      <c r="P217" s="61" t="str">
        <f t="shared" si="12"/>
        <v>שפרעם</v>
      </c>
    </row>
    <row r="218" spans="1:16" x14ac:dyDescent="0.3">
      <c r="A218" s="61">
        <v>9</v>
      </c>
      <c r="B218" s="61">
        <v>5</v>
      </c>
      <c r="C218" s="60"/>
      <c r="G218" s="62"/>
      <c r="I218" s="86" t="e">
        <f t="shared" si="10"/>
        <v>#DIV/0!</v>
      </c>
      <c r="J218" s="87" t="e">
        <f t="shared" si="10"/>
        <v>#DIV/0!</v>
      </c>
      <c r="K218" s="87" t="e">
        <f t="shared" si="10"/>
        <v>#DIV/0!</v>
      </c>
      <c r="L218" s="87" t="e">
        <f t="shared" si="10"/>
        <v>#DIV/0!</v>
      </c>
      <c r="M218" s="88" t="e">
        <f t="shared" si="10"/>
        <v>#DIV/0!</v>
      </c>
      <c r="O218" s="61" t="str">
        <f t="shared" si="11"/>
        <v>קרית אתא</v>
      </c>
      <c r="P218" s="61" t="str">
        <f t="shared" si="12"/>
        <v>קרית ים</v>
      </c>
    </row>
    <row r="219" spans="1:16" x14ac:dyDescent="0.3">
      <c r="A219" s="61">
        <v>9</v>
      </c>
      <c r="B219" s="61">
        <v>6</v>
      </c>
      <c r="C219" s="60"/>
      <c r="G219" s="62"/>
      <c r="I219" s="86" t="e">
        <f t="shared" si="10"/>
        <v>#DIV/0!</v>
      </c>
      <c r="J219" s="87" t="e">
        <f t="shared" si="10"/>
        <v>#DIV/0!</v>
      </c>
      <c r="K219" s="87" t="e">
        <f t="shared" si="10"/>
        <v>#DIV/0!</v>
      </c>
      <c r="L219" s="87" t="e">
        <f t="shared" si="10"/>
        <v>#DIV/0!</v>
      </c>
      <c r="M219" s="88" t="e">
        <f t="shared" si="10"/>
        <v>#DIV/0!</v>
      </c>
      <c r="O219" s="61" t="str">
        <f t="shared" si="11"/>
        <v>קרית אתא</v>
      </c>
      <c r="P219" s="61" t="str">
        <f t="shared" si="12"/>
        <v>קרית מוצקין</v>
      </c>
    </row>
    <row r="220" spans="1:16" x14ac:dyDescent="0.3">
      <c r="A220" s="61">
        <v>9</v>
      </c>
      <c r="B220" s="61">
        <v>7</v>
      </c>
      <c r="C220" s="60"/>
      <c r="G220" s="62"/>
      <c r="I220" s="86" t="e">
        <f t="shared" si="10"/>
        <v>#DIV/0!</v>
      </c>
      <c r="J220" s="87" t="e">
        <f t="shared" si="10"/>
        <v>#DIV/0!</v>
      </c>
      <c r="K220" s="87" t="e">
        <f t="shared" si="10"/>
        <v>#DIV/0!</v>
      </c>
      <c r="L220" s="87" t="e">
        <f t="shared" si="10"/>
        <v>#DIV/0!</v>
      </c>
      <c r="M220" s="88" t="e">
        <f t="shared" si="10"/>
        <v>#DIV/0!</v>
      </c>
      <c r="O220" s="61" t="str">
        <f t="shared" si="11"/>
        <v>קרית אתא</v>
      </c>
      <c r="P220" s="61" t="str">
        <f t="shared" si="12"/>
        <v>קרית ביאליק</v>
      </c>
    </row>
    <row r="221" spans="1:16" x14ac:dyDescent="0.3">
      <c r="A221" s="61">
        <v>9</v>
      </c>
      <c r="B221" s="61">
        <v>8</v>
      </c>
      <c r="C221" s="60"/>
      <c r="G221" s="62"/>
      <c r="I221" s="86" t="e">
        <f t="shared" si="10"/>
        <v>#DIV/0!</v>
      </c>
      <c r="J221" s="87" t="e">
        <f t="shared" si="10"/>
        <v>#DIV/0!</v>
      </c>
      <c r="K221" s="87" t="e">
        <f t="shared" si="10"/>
        <v>#DIV/0!</v>
      </c>
      <c r="L221" s="87" t="e">
        <f t="shared" si="10"/>
        <v>#DIV/0!</v>
      </c>
      <c r="M221" s="88" t="e">
        <f t="shared" si="10"/>
        <v>#DIV/0!</v>
      </c>
      <c r="O221" s="61" t="str">
        <f t="shared" si="11"/>
        <v>קרית אתא</v>
      </c>
      <c r="P221" s="61" t="str">
        <f t="shared" si="12"/>
        <v>קרית חיים</v>
      </c>
    </row>
    <row r="222" spans="1:16" x14ac:dyDescent="0.3">
      <c r="A222" s="61">
        <v>9</v>
      </c>
      <c r="B222" s="61">
        <v>9</v>
      </c>
      <c r="C222" s="60"/>
      <c r="G222" s="62"/>
      <c r="I222" s="86" t="e">
        <f t="shared" si="10"/>
        <v>#DIV/0!</v>
      </c>
      <c r="J222" s="87" t="e">
        <f t="shared" si="10"/>
        <v>#DIV/0!</v>
      </c>
      <c r="K222" s="87" t="e">
        <f t="shared" si="10"/>
        <v>#DIV/0!</v>
      </c>
      <c r="L222" s="87" t="e">
        <f t="shared" si="10"/>
        <v>#DIV/0!</v>
      </c>
      <c r="M222" s="88" t="e">
        <f t="shared" si="10"/>
        <v>#DIV/0!</v>
      </c>
      <c r="O222" s="61" t="str">
        <f t="shared" si="11"/>
        <v>קרית אתא</v>
      </c>
      <c r="P222" s="61" t="str">
        <f t="shared" si="12"/>
        <v>קרית אתא</v>
      </c>
    </row>
    <row r="223" spans="1:16" x14ac:dyDescent="0.3">
      <c r="A223" s="61">
        <v>9</v>
      </c>
      <c r="B223" s="61">
        <v>10</v>
      </c>
      <c r="C223" s="60"/>
      <c r="G223" s="62"/>
      <c r="I223" s="86" t="e">
        <f t="shared" ref="I223:M273" si="13">C223/SUM($C223:$G223)</f>
        <v>#DIV/0!</v>
      </c>
      <c r="J223" s="87" t="e">
        <f t="shared" si="13"/>
        <v>#DIV/0!</v>
      </c>
      <c r="K223" s="87" t="e">
        <f t="shared" si="13"/>
        <v>#DIV/0!</v>
      </c>
      <c r="L223" s="87" t="e">
        <f t="shared" si="13"/>
        <v>#DIV/0!</v>
      </c>
      <c r="M223" s="88" t="e">
        <f t="shared" si="13"/>
        <v>#DIV/0!</v>
      </c>
      <c r="O223" s="61" t="str">
        <f t="shared" si="11"/>
        <v>קרית אתא</v>
      </c>
      <c r="P223" s="61" t="str">
        <f t="shared" si="12"/>
        <v>כפר מנדא</v>
      </c>
    </row>
    <row r="224" spans="1:16" x14ac:dyDescent="0.3">
      <c r="A224" s="61">
        <v>9</v>
      </c>
      <c r="B224" s="61">
        <v>11</v>
      </c>
      <c r="C224" s="60"/>
      <c r="G224" s="62"/>
      <c r="I224" s="86" t="e">
        <f t="shared" si="13"/>
        <v>#DIV/0!</v>
      </c>
      <c r="J224" s="87" t="e">
        <f t="shared" si="13"/>
        <v>#DIV/0!</v>
      </c>
      <c r="K224" s="87" t="e">
        <f t="shared" si="13"/>
        <v>#DIV/0!</v>
      </c>
      <c r="L224" s="87" t="e">
        <f t="shared" si="13"/>
        <v>#DIV/0!</v>
      </c>
      <c r="M224" s="88" t="e">
        <f t="shared" si="13"/>
        <v>#DIV/0!</v>
      </c>
      <c r="O224" s="61" t="str">
        <f t="shared" si="11"/>
        <v>קרית אתא</v>
      </c>
      <c r="P224" s="61" t="str">
        <f t="shared" si="12"/>
        <v>זבולון</v>
      </c>
    </row>
    <row r="225" spans="1:16" x14ac:dyDescent="0.3">
      <c r="A225" s="61">
        <v>9</v>
      </c>
      <c r="B225" s="61">
        <v>12</v>
      </c>
      <c r="C225" s="60"/>
      <c r="G225" s="62"/>
      <c r="I225" s="86" t="e">
        <f t="shared" si="13"/>
        <v>#DIV/0!</v>
      </c>
      <c r="J225" s="87" t="e">
        <f t="shared" si="13"/>
        <v>#DIV/0!</v>
      </c>
      <c r="K225" s="87" t="e">
        <f t="shared" si="13"/>
        <v>#DIV/0!</v>
      </c>
      <c r="L225" s="87" t="e">
        <f t="shared" si="13"/>
        <v>#DIV/0!</v>
      </c>
      <c r="M225" s="88" t="e">
        <f t="shared" si="13"/>
        <v>#DIV/0!</v>
      </c>
      <c r="O225" s="61" t="str">
        <f t="shared" si="11"/>
        <v>קרית אתא</v>
      </c>
      <c r="P225" s="61" t="str">
        <f t="shared" si="12"/>
        <v>חיפה מפרץ</v>
      </c>
    </row>
    <row r="226" spans="1:16" x14ac:dyDescent="0.3">
      <c r="A226" s="61">
        <v>9</v>
      </c>
      <c r="B226" s="61">
        <v>13</v>
      </c>
      <c r="C226" s="60"/>
      <c r="G226" s="62"/>
      <c r="I226" s="86" t="e">
        <f t="shared" si="13"/>
        <v>#DIV/0!</v>
      </c>
      <c r="J226" s="87" t="e">
        <f t="shared" si="13"/>
        <v>#DIV/0!</v>
      </c>
      <c r="K226" s="87" t="e">
        <f t="shared" si="13"/>
        <v>#DIV/0!</v>
      </c>
      <c r="L226" s="87" t="e">
        <f t="shared" si="13"/>
        <v>#DIV/0!</v>
      </c>
      <c r="M226" s="88" t="e">
        <f t="shared" si="13"/>
        <v>#DIV/0!</v>
      </c>
      <c r="O226" s="61" t="str">
        <f t="shared" si="11"/>
        <v>קרית אתא</v>
      </c>
      <c r="P226" s="61" t="str">
        <f t="shared" si="12"/>
        <v>חיפה עיר תחתית</v>
      </c>
    </row>
    <row r="227" spans="1:16" x14ac:dyDescent="0.3">
      <c r="A227" s="61">
        <v>9</v>
      </c>
      <c r="B227" s="61">
        <v>14</v>
      </c>
      <c r="C227" s="60"/>
      <c r="G227" s="62"/>
      <c r="I227" s="86" t="e">
        <f t="shared" si="13"/>
        <v>#DIV/0!</v>
      </c>
      <c r="J227" s="87" t="e">
        <f t="shared" si="13"/>
        <v>#DIV/0!</v>
      </c>
      <c r="K227" s="87" t="e">
        <f t="shared" si="13"/>
        <v>#DIV/0!</v>
      </c>
      <c r="L227" s="87" t="e">
        <f t="shared" si="13"/>
        <v>#DIV/0!</v>
      </c>
      <c r="M227" s="88" t="e">
        <f t="shared" si="13"/>
        <v>#DIV/0!</v>
      </c>
      <c r="O227" s="61" t="str">
        <f t="shared" si="11"/>
        <v>קרית אתא</v>
      </c>
      <c r="P227" s="61" t="str">
        <f t="shared" si="12"/>
        <v>חיפה הדר-כרמל</v>
      </c>
    </row>
    <row r="228" spans="1:16" x14ac:dyDescent="0.3">
      <c r="A228" s="61">
        <v>9</v>
      </c>
      <c r="B228" s="61">
        <v>15</v>
      </c>
      <c r="C228" s="60"/>
      <c r="G228" s="62"/>
      <c r="I228" s="86" t="e">
        <f t="shared" si="13"/>
        <v>#DIV/0!</v>
      </c>
      <c r="J228" s="87" t="e">
        <f t="shared" si="13"/>
        <v>#DIV/0!</v>
      </c>
      <c r="K228" s="87" t="e">
        <f t="shared" si="13"/>
        <v>#DIV/0!</v>
      </c>
      <c r="L228" s="87" t="e">
        <f t="shared" si="13"/>
        <v>#DIV/0!</v>
      </c>
      <c r="M228" s="88" t="e">
        <f t="shared" si="13"/>
        <v>#DIV/0!</v>
      </c>
      <c r="O228" s="61" t="str">
        <f t="shared" si="11"/>
        <v>קרית אתא</v>
      </c>
      <c r="P228" s="61" t="str">
        <f t="shared" si="12"/>
        <v>חיפה מערב</v>
      </c>
    </row>
    <row r="229" spans="1:16" x14ac:dyDescent="0.3">
      <c r="A229" s="61">
        <v>9</v>
      </c>
      <c r="B229" s="61">
        <v>16</v>
      </c>
      <c r="C229" s="60"/>
      <c r="G229" s="62"/>
      <c r="I229" s="86" t="e">
        <f t="shared" si="13"/>
        <v>#DIV/0!</v>
      </c>
      <c r="J229" s="87" t="e">
        <f t="shared" si="13"/>
        <v>#DIV/0!</v>
      </c>
      <c r="K229" s="87" t="e">
        <f t="shared" si="13"/>
        <v>#DIV/0!</v>
      </c>
      <c r="L229" s="87" t="e">
        <f t="shared" si="13"/>
        <v>#DIV/0!</v>
      </c>
      <c r="M229" s="88" t="e">
        <f t="shared" si="13"/>
        <v>#DIV/0!</v>
      </c>
      <c r="O229" s="61" t="str">
        <f t="shared" si="11"/>
        <v>קרית אתא</v>
      </c>
      <c r="P229" s="61" t="str">
        <f t="shared" si="12"/>
        <v>חיפה כרמל</v>
      </c>
    </row>
    <row r="230" spans="1:16" x14ac:dyDescent="0.3">
      <c r="A230" s="61">
        <v>9</v>
      </c>
      <c r="B230" s="61">
        <v>17</v>
      </c>
      <c r="C230" s="60"/>
      <c r="G230" s="62"/>
      <c r="I230" s="86" t="e">
        <f t="shared" si="13"/>
        <v>#DIV/0!</v>
      </c>
      <c r="J230" s="87" t="e">
        <f t="shared" si="13"/>
        <v>#DIV/0!</v>
      </c>
      <c r="K230" s="87" t="e">
        <f t="shared" si="13"/>
        <v>#DIV/0!</v>
      </c>
      <c r="L230" s="87" t="e">
        <f t="shared" si="13"/>
        <v>#DIV/0!</v>
      </c>
      <c r="M230" s="88" t="e">
        <f t="shared" si="13"/>
        <v>#DIV/0!</v>
      </c>
      <c r="O230" s="61" t="str">
        <f t="shared" si="11"/>
        <v>קרית אתא</v>
      </c>
      <c r="P230" s="61" t="str">
        <f t="shared" si="12"/>
        <v>חיפה נווה שאנן</v>
      </c>
    </row>
    <row r="231" spans="1:16" x14ac:dyDescent="0.3">
      <c r="A231" s="61">
        <v>9</v>
      </c>
      <c r="B231" s="61">
        <v>18</v>
      </c>
      <c r="C231" s="60"/>
      <c r="G231" s="62"/>
      <c r="I231" s="86" t="e">
        <f t="shared" si="13"/>
        <v>#DIV/0!</v>
      </c>
      <c r="J231" s="87" t="e">
        <f t="shared" si="13"/>
        <v>#DIV/0!</v>
      </c>
      <c r="K231" s="87" t="e">
        <f t="shared" si="13"/>
        <v>#DIV/0!</v>
      </c>
      <c r="L231" s="87" t="e">
        <f t="shared" si="13"/>
        <v>#DIV/0!</v>
      </c>
      <c r="M231" s="88" t="e">
        <f t="shared" si="13"/>
        <v>#DIV/0!</v>
      </c>
      <c r="O231" s="61" t="str">
        <f t="shared" si="11"/>
        <v>קרית אתא</v>
      </c>
      <c r="P231" s="61" t="str">
        <f t="shared" si="12"/>
        <v>נשר</v>
      </c>
    </row>
    <row r="232" spans="1:16" x14ac:dyDescent="0.3">
      <c r="A232" s="61">
        <v>9</v>
      </c>
      <c r="B232" s="61">
        <v>19</v>
      </c>
      <c r="C232" s="60"/>
      <c r="G232" s="62"/>
      <c r="I232" s="86" t="e">
        <f t="shared" si="13"/>
        <v>#DIV/0!</v>
      </c>
      <c r="J232" s="87" t="e">
        <f t="shared" si="13"/>
        <v>#DIV/0!</v>
      </c>
      <c r="K232" s="87" t="e">
        <f t="shared" si="13"/>
        <v>#DIV/0!</v>
      </c>
      <c r="L232" s="87" t="e">
        <f t="shared" si="13"/>
        <v>#DIV/0!</v>
      </c>
      <c r="M232" s="88" t="e">
        <f t="shared" si="13"/>
        <v>#DIV/0!</v>
      </c>
      <c r="O232" s="61" t="str">
        <f t="shared" si="11"/>
        <v>קרית אתא</v>
      </c>
      <c r="P232" s="61" t="str">
        <f t="shared" si="12"/>
        <v>נצרת</v>
      </c>
    </row>
    <row r="233" spans="1:16" x14ac:dyDescent="0.3">
      <c r="A233" s="61">
        <v>9</v>
      </c>
      <c r="B233" s="61">
        <v>20</v>
      </c>
      <c r="C233" s="60"/>
      <c r="G233" s="62"/>
      <c r="I233" s="86" t="e">
        <f t="shared" si="13"/>
        <v>#DIV/0!</v>
      </c>
      <c r="J233" s="87" t="e">
        <f t="shared" si="13"/>
        <v>#DIV/0!</v>
      </c>
      <c r="K233" s="87" t="e">
        <f t="shared" si="13"/>
        <v>#DIV/0!</v>
      </c>
      <c r="L233" s="87" t="e">
        <f t="shared" si="13"/>
        <v>#DIV/0!</v>
      </c>
      <c r="M233" s="88" t="e">
        <f t="shared" si="13"/>
        <v>#DIV/0!</v>
      </c>
      <c r="O233" s="61" t="str">
        <f t="shared" si="11"/>
        <v>קרית אתא</v>
      </c>
      <c r="P233" s="61" t="str">
        <f t="shared" si="12"/>
        <v>נצרת-עילית</v>
      </c>
    </row>
    <row r="234" spans="1:16" x14ac:dyDescent="0.3">
      <c r="A234" s="61">
        <v>9</v>
      </c>
      <c r="B234" s="61">
        <v>21</v>
      </c>
      <c r="C234" s="60"/>
      <c r="G234" s="62"/>
      <c r="I234" s="86" t="e">
        <f t="shared" si="13"/>
        <v>#DIV/0!</v>
      </c>
      <c r="J234" s="87" t="e">
        <f t="shared" si="13"/>
        <v>#DIV/0!</v>
      </c>
      <c r="K234" s="87" t="e">
        <f t="shared" si="13"/>
        <v>#DIV/0!</v>
      </c>
      <c r="L234" s="87" t="e">
        <f t="shared" si="13"/>
        <v>#DIV/0!</v>
      </c>
      <c r="M234" s="88" t="e">
        <f t="shared" si="13"/>
        <v>#DIV/0!</v>
      </c>
      <c r="O234" s="61" t="str">
        <f t="shared" si="11"/>
        <v>קרית אתא</v>
      </c>
      <c r="P234" s="61" t="str">
        <f t="shared" si="12"/>
        <v>מגדל העמק</v>
      </c>
    </row>
    <row r="235" spans="1:16" x14ac:dyDescent="0.3">
      <c r="A235" s="61">
        <v>9</v>
      </c>
      <c r="B235" s="61">
        <v>22</v>
      </c>
      <c r="C235" s="60"/>
      <c r="G235" s="62"/>
      <c r="I235" s="86" t="e">
        <f t="shared" si="13"/>
        <v>#DIV/0!</v>
      </c>
      <c r="J235" s="87" t="e">
        <f t="shared" si="13"/>
        <v>#DIV/0!</v>
      </c>
      <c r="K235" s="87" t="e">
        <f t="shared" si="13"/>
        <v>#DIV/0!</v>
      </c>
      <c r="L235" s="87" t="e">
        <f t="shared" si="13"/>
        <v>#DIV/0!</v>
      </c>
      <c r="M235" s="88" t="e">
        <f t="shared" si="13"/>
        <v>#DIV/0!</v>
      </c>
      <c r="O235" s="61" t="str">
        <f t="shared" si="11"/>
        <v>קרית אתא</v>
      </c>
      <c r="P235" s="61" t="str">
        <f t="shared" si="12"/>
        <v>יוקנעם</v>
      </c>
    </row>
    <row r="236" spans="1:16" x14ac:dyDescent="0.3">
      <c r="A236" s="61">
        <v>9</v>
      </c>
      <c r="B236" s="61">
        <v>23</v>
      </c>
      <c r="C236" s="60"/>
      <c r="G236" s="62"/>
      <c r="I236" s="86" t="e">
        <f t="shared" si="13"/>
        <v>#DIV/0!</v>
      </c>
      <c r="J236" s="87" t="e">
        <f t="shared" si="13"/>
        <v>#DIV/0!</v>
      </c>
      <c r="K236" s="87" t="e">
        <f t="shared" si="13"/>
        <v>#DIV/0!</v>
      </c>
      <c r="L236" s="87" t="e">
        <f t="shared" si="13"/>
        <v>#DIV/0!</v>
      </c>
      <c r="M236" s="88" t="e">
        <f t="shared" si="13"/>
        <v>#DIV/0!</v>
      </c>
      <c r="O236" s="61" t="str">
        <f t="shared" si="11"/>
        <v>קרית אתא</v>
      </c>
      <c r="P236" s="61" t="str">
        <f t="shared" si="12"/>
        <v>דלית אל כרמל</v>
      </c>
    </row>
    <row r="237" spans="1:16" x14ac:dyDescent="0.3">
      <c r="A237" s="61">
        <v>9</v>
      </c>
      <c r="B237" s="61">
        <v>24</v>
      </c>
      <c r="C237" s="60"/>
      <c r="G237" s="62"/>
      <c r="I237" s="86" t="e">
        <f t="shared" si="13"/>
        <v>#DIV/0!</v>
      </c>
      <c r="J237" s="87" t="e">
        <f t="shared" si="13"/>
        <v>#DIV/0!</v>
      </c>
      <c r="K237" s="87" t="e">
        <f t="shared" si="13"/>
        <v>#DIV/0!</v>
      </c>
      <c r="L237" s="87" t="e">
        <f t="shared" si="13"/>
        <v>#DIV/0!</v>
      </c>
      <c r="M237" s="88" t="e">
        <f t="shared" si="13"/>
        <v>#DIV/0!</v>
      </c>
      <c r="O237" s="61" t="str">
        <f t="shared" si="11"/>
        <v>קרית אתא</v>
      </c>
      <c r="P237" s="61" t="str">
        <f t="shared" si="12"/>
        <v>חוף הכרמל</v>
      </c>
    </row>
    <row r="238" spans="1:16" x14ac:dyDescent="0.3">
      <c r="A238" s="61">
        <v>9</v>
      </c>
      <c r="B238" s="61">
        <v>25</v>
      </c>
      <c r="C238" s="60"/>
      <c r="G238" s="62"/>
      <c r="I238" s="86" t="e">
        <f t="shared" si="13"/>
        <v>#DIV/0!</v>
      </c>
      <c r="J238" s="87" t="e">
        <f t="shared" si="13"/>
        <v>#DIV/0!</v>
      </c>
      <c r="K238" s="87" t="e">
        <f t="shared" si="13"/>
        <v>#DIV/0!</v>
      </c>
      <c r="L238" s="87" t="e">
        <f t="shared" si="13"/>
        <v>#DIV/0!</v>
      </c>
      <c r="M238" s="88" t="e">
        <f t="shared" si="13"/>
        <v>#DIV/0!</v>
      </c>
      <c r="O238" s="61" t="str">
        <f t="shared" si="11"/>
        <v>קרית אתא</v>
      </c>
      <c r="P238" s="61" t="str">
        <f t="shared" si="12"/>
        <v>זכרון יעקב</v>
      </c>
    </row>
    <row r="239" spans="1:16" x14ac:dyDescent="0.3">
      <c r="A239" s="61">
        <v>9</v>
      </c>
      <c r="B239" s="61">
        <v>30</v>
      </c>
      <c r="C239" s="60"/>
      <c r="G239" s="62"/>
      <c r="I239" s="86" t="e">
        <f t="shared" si="13"/>
        <v>#DIV/0!</v>
      </c>
      <c r="J239" s="87" t="e">
        <f t="shared" si="13"/>
        <v>#DIV/0!</v>
      </c>
      <c r="K239" s="87" t="e">
        <f t="shared" si="13"/>
        <v>#DIV/0!</v>
      </c>
      <c r="L239" s="87" t="e">
        <f t="shared" si="13"/>
        <v>#DIV/0!</v>
      </c>
      <c r="M239" s="88" t="e">
        <f t="shared" si="13"/>
        <v>#DIV/0!</v>
      </c>
      <c r="O239" s="61" t="str">
        <f t="shared" si="11"/>
        <v>קרית אתא</v>
      </c>
      <c r="P239" s="61" t="str">
        <f t="shared" si="12"/>
        <v>סכנין</v>
      </c>
    </row>
    <row r="240" spans="1:16" x14ac:dyDescent="0.3">
      <c r="A240" s="61">
        <v>10</v>
      </c>
      <c r="B240" s="61">
        <v>1</v>
      </c>
      <c r="C240" s="60"/>
      <c r="G240" s="62"/>
      <c r="I240" s="86" t="e">
        <f t="shared" si="13"/>
        <v>#DIV/0!</v>
      </c>
      <c r="J240" s="87" t="e">
        <f t="shared" si="13"/>
        <v>#DIV/0!</v>
      </c>
      <c r="K240" s="87" t="e">
        <f t="shared" si="13"/>
        <v>#DIV/0!</v>
      </c>
      <c r="L240" s="87" t="e">
        <f t="shared" si="13"/>
        <v>#DIV/0!</v>
      </c>
      <c r="M240" s="88" t="e">
        <f t="shared" si="13"/>
        <v>#DIV/0!</v>
      </c>
      <c r="O240" s="61" t="str">
        <f t="shared" si="11"/>
        <v>כפר מנדא</v>
      </c>
      <c r="P240" s="61" t="str">
        <f t="shared" si="12"/>
        <v>נהריה</v>
      </c>
    </row>
    <row r="241" spans="1:16" x14ac:dyDescent="0.3">
      <c r="A241" s="61">
        <v>10</v>
      </c>
      <c r="B241" s="61">
        <v>2</v>
      </c>
      <c r="C241" s="60"/>
      <c r="G241" s="62"/>
      <c r="I241" s="86" t="e">
        <f t="shared" si="13"/>
        <v>#DIV/0!</v>
      </c>
      <c r="J241" s="87" t="e">
        <f t="shared" si="13"/>
        <v>#DIV/0!</v>
      </c>
      <c r="K241" s="87" t="e">
        <f t="shared" si="13"/>
        <v>#DIV/0!</v>
      </c>
      <c r="L241" s="87" t="e">
        <f t="shared" si="13"/>
        <v>#DIV/0!</v>
      </c>
      <c r="M241" s="88" t="e">
        <f t="shared" si="13"/>
        <v>#DIV/0!</v>
      </c>
      <c r="O241" s="61" t="str">
        <f t="shared" si="11"/>
        <v>כפר מנדא</v>
      </c>
      <c r="P241" s="61" t="str">
        <f t="shared" si="12"/>
        <v>עכו</v>
      </c>
    </row>
    <row r="242" spans="1:16" x14ac:dyDescent="0.3">
      <c r="A242" s="61">
        <v>10</v>
      </c>
      <c r="B242" s="61">
        <v>3</v>
      </c>
      <c r="C242" s="60"/>
      <c r="G242" s="62"/>
      <c r="I242" s="86" t="e">
        <f t="shared" si="13"/>
        <v>#DIV/0!</v>
      </c>
      <c r="J242" s="87" t="e">
        <f t="shared" si="13"/>
        <v>#DIV/0!</v>
      </c>
      <c r="K242" s="87" t="e">
        <f t="shared" si="13"/>
        <v>#DIV/0!</v>
      </c>
      <c r="L242" s="87" t="e">
        <f t="shared" si="13"/>
        <v>#DIV/0!</v>
      </c>
      <c r="M242" s="88" t="e">
        <f t="shared" si="13"/>
        <v>#DIV/0!</v>
      </c>
      <c r="O242" s="61" t="str">
        <f t="shared" si="11"/>
        <v>כפר מנדא</v>
      </c>
      <c r="P242" s="61" t="str">
        <f t="shared" si="12"/>
        <v>כרמיאל</v>
      </c>
    </row>
    <row r="243" spans="1:16" x14ac:dyDescent="0.3">
      <c r="A243" s="61">
        <v>10</v>
      </c>
      <c r="B243" s="61">
        <v>4</v>
      </c>
      <c r="C243" s="60"/>
      <c r="G243" s="62"/>
      <c r="I243" s="86" t="e">
        <f t="shared" si="13"/>
        <v>#DIV/0!</v>
      </c>
      <c r="J243" s="87" t="e">
        <f t="shared" si="13"/>
        <v>#DIV/0!</v>
      </c>
      <c r="K243" s="87" t="e">
        <f t="shared" si="13"/>
        <v>#DIV/0!</v>
      </c>
      <c r="L243" s="87" t="e">
        <f t="shared" si="13"/>
        <v>#DIV/0!</v>
      </c>
      <c r="M243" s="88" t="e">
        <f t="shared" si="13"/>
        <v>#DIV/0!</v>
      </c>
      <c r="O243" s="61" t="str">
        <f t="shared" si="11"/>
        <v>כפר מנדא</v>
      </c>
      <c r="P243" s="61" t="str">
        <f t="shared" si="12"/>
        <v>שפרעם</v>
      </c>
    </row>
    <row r="244" spans="1:16" x14ac:dyDescent="0.3">
      <c r="A244" s="61">
        <v>10</v>
      </c>
      <c r="B244" s="61">
        <v>5</v>
      </c>
      <c r="C244" s="60"/>
      <c r="G244" s="62"/>
      <c r="I244" s="86" t="e">
        <f t="shared" si="13"/>
        <v>#DIV/0!</v>
      </c>
      <c r="J244" s="87" t="e">
        <f t="shared" si="13"/>
        <v>#DIV/0!</v>
      </c>
      <c r="K244" s="87" t="e">
        <f t="shared" si="13"/>
        <v>#DIV/0!</v>
      </c>
      <c r="L244" s="87" t="e">
        <f t="shared" si="13"/>
        <v>#DIV/0!</v>
      </c>
      <c r="M244" s="88" t="e">
        <f t="shared" si="13"/>
        <v>#DIV/0!</v>
      </c>
      <c r="O244" s="61" t="str">
        <f t="shared" si="11"/>
        <v>כפר מנדא</v>
      </c>
      <c r="P244" s="61" t="str">
        <f t="shared" si="12"/>
        <v>קרית ים</v>
      </c>
    </row>
    <row r="245" spans="1:16" x14ac:dyDescent="0.3">
      <c r="A245" s="61">
        <v>10</v>
      </c>
      <c r="B245" s="61">
        <v>6</v>
      </c>
      <c r="C245" s="60"/>
      <c r="G245" s="62"/>
      <c r="I245" s="86" t="e">
        <f t="shared" si="13"/>
        <v>#DIV/0!</v>
      </c>
      <c r="J245" s="87" t="e">
        <f t="shared" si="13"/>
        <v>#DIV/0!</v>
      </c>
      <c r="K245" s="87" t="e">
        <f t="shared" si="13"/>
        <v>#DIV/0!</v>
      </c>
      <c r="L245" s="87" t="e">
        <f t="shared" si="13"/>
        <v>#DIV/0!</v>
      </c>
      <c r="M245" s="88" t="e">
        <f t="shared" si="13"/>
        <v>#DIV/0!</v>
      </c>
      <c r="O245" s="61" t="str">
        <f t="shared" si="11"/>
        <v>כפר מנדא</v>
      </c>
      <c r="P245" s="61" t="str">
        <f t="shared" si="12"/>
        <v>קרית מוצקין</v>
      </c>
    </row>
    <row r="246" spans="1:16" x14ac:dyDescent="0.3">
      <c r="A246" s="61">
        <v>10</v>
      </c>
      <c r="B246" s="61">
        <v>7</v>
      </c>
      <c r="C246" s="60"/>
      <c r="G246" s="62"/>
      <c r="I246" s="86" t="e">
        <f t="shared" si="13"/>
        <v>#DIV/0!</v>
      </c>
      <c r="J246" s="87" t="e">
        <f t="shared" si="13"/>
        <v>#DIV/0!</v>
      </c>
      <c r="K246" s="87" t="e">
        <f t="shared" si="13"/>
        <v>#DIV/0!</v>
      </c>
      <c r="L246" s="87" t="e">
        <f t="shared" si="13"/>
        <v>#DIV/0!</v>
      </c>
      <c r="M246" s="88" t="e">
        <f t="shared" si="13"/>
        <v>#DIV/0!</v>
      </c>
      <c r="O246" s="61" t="str">
        <f t="shared" si="11"/>
        <v>כפר מנדא</v>
      </c>
      <c r="P246" s="61" t="str">
        <f t="shared" si="12"/>
        <v>קרית ביאליק</v>
      </c>
    </row>
    <row r="247" spans="1:16" x14ac:dyDescent="0.3">
      <c r="A247" s="61">
        <v>10</v>
      </c>
      <c r="B247" s="61">
        <v>8</v>
      </c>
      <c r="C247" s="60"/>
      <c r="G247" s="62"/>
      <c r="I247" s="86" t="e">
        <f t="shared" si="13"/>
        <v>#DIV/0!</v>
      </c>
      <c r="J247" s="87" t="e">
        <f t="shared" si="13"/>
        <v>#DIV/0!</v>
      </c>
      <c r="K247" s="87" t="e">
        <f t="shared" si="13"/>
        <v>#DIV/0!</v>
      </c>
      <c r="L247" s="87" t="e">
        <f t="shared" si="13"/>
        <v>#DIV/0!</v>
      </c>
      <c r="M247" s="88" t="e">
        <f t="shared" si="13"/>
        <v>#DIV/0!</v>
      </c>
      <c r="O247" s="61" t="str">
        <f t="shared" si="11"/>
        <v>כפר מנדא</v>
      </c>
      <c r="P247" s="61" t="str">
        <f t="shared" si="12"/>
        <v>קרית חיים</v>
      </c>
    </row>
    <row r="248" spans="1:16" x14ac:dyDescent="0.3">
      <c r="A248" s="61">
        <v>10</v>
      </c>
      <c r="B248" s="61">
        <v>9</v>
      </c>
      <c r="C248" s="60"/>
      <c r="G248" s="62"/>
      <c r="I248" s="86" t="e">
        <f t="shared" si="13"/>
        <v>#DIV/0!</v>
      </c>
      <c r="J248" s="87" t="e">
        <f t="shared" si="13"/>
        <v>#DIV/0!</v>
      </c>
      <c r="K248" s="87" t="e">
        <f t="shared" si="13"/>
        <v>#DIV/0!</v>
      </c>
      <c r="L248" s="87" t="e">
        <f t="shared" si="13"/>
        <v>#DIV/0!</v>
      </c>
      <c r="M248" s="88" t="e">
        <f t="shared" si="13"/>
        <v>#DIV/0!</v>
      </c>
      <c r="O248" s="61" t="str">
        <f t="shared" si="11"/>
        <v>כפר מנדא</v>
      </c>
      <c r="P248" s="61" t="str">
        <f t="shared" si="12"/>
        <v>קרית אתא</v>
      </c>
    </row>
    <row r="249" spans="1:16" x14ac:dyDescent="0.3">
      <c r="A249" s="61">
        <v>10</v>
      </c>
      <c r="B249" s="61">
        <v>10</v>
      </c>
      <c r="C249" s="60"/>
      <c r="G249" s="62"/>
      <c r="I249" s="86" t="e">
        <f t="shared" si="13"/>
        <v>#DIV/0!</v>
      </c>
      <c r="J249" s="87" t="e">
        <f t="shared" si="13"/>
        <v>#DIV/0!</v>
      </c>
      <c r="K249" s="87" t="e">
        <f t="shared" si="13"/>
        <v>#DIV/0!</v>
      </c>
      <c r="L249" s="87" t="e">
        <f t="shared" si="13"/>
        <v>#DIV/0!</v>
      </c>
      <c r="M249" s="88" t="e">
        <f t="shared" si="13"/>
        <v>#DIV/0!</v>
      </c>
      <c r="O249" s="61" t="str">
        <f t="shared" si="11"/>
        <v>כפר מנדא</v>
      </c>
      <c r="P249" s="61" t="str">
        <f t="shared" si="12"/>
        <v>כפר מנדא</v>
      </c>
    </row>
    <row r="250" spans="1:16" x14ac:dyDescent="0.3">
      <c r="A250" s="61">
        <v>10</v>
      </c>
      <c r="B250" s="61">
        <v>11</v>
      </c>
      <c r="C250" s="60"/>
      <c r="G250" s="62"/>
      <c r="I250" s="86" t="e">
        <f t="shared" si="13"/>
        <v>#DIV/0!</v>
      </c>
      <c r="J250" s="87" t="e">
        <f t="shared" si="13"/>
        <v>#DIV/0!</v>
      </c>
      <c r="K250" s="87" t="e">
        <f t="shared" si="13"/>
        <v>#DIV/0!</v>
      </c>
      <c r="L250" s="87" t="e">
        <f t="shared" si="13"/>
        <v>#DIV/0!</v>
      </c>
      <c r="M250" s="88" t="e">
        <f t="shared" si="13"/>
        <v>#DIV/0!</v>
      </c>
      <c r="O250" s="61" t="str">
        <f t="shared" si="11"/>
        <v>כפר מנדא</v>
      </c>
      <c r="P250" s="61" t="str">
        <f t="shared" si="12"/>
        <v>זבולון</v>
      </c>
    </row>
    <row r="251" spans="1:16" x14ac:dyDescent="0.3">
      <c r="A251" s="61">
        <v>10</v>
      </c>
      <c r="B251" s="61">
        <v>12</v>
      </c>
      <c r="C251" s="60"/>
      <c r="G251" s="62"/>
      <c r="I251" s="86" t="e">
        <f t="shared" si="13"/>
        <v>#DIV/0!</v>
      </c>
      <c r="J251" s="87" t="e">
        <f t="shared" si="13"/>
        <v>#DIV/0!</v>
      </c>
      <c r="K251" s="87" t="e">
        <f t="shared" si="13"/>
        <v>#DIV/0!</v>
      </c>
      <c r="L251" s="87" t="e">
        <f t="shared" si="13"/>
        <v>#DIV/0!</v>
      </c>
      <c r="M251" s="88" t="e">
        <f t="shared" si="13"/>
        <v>#DIV/0!</v>
      </c>
      <c r="O251" s="61" t="str">
        <f t="shared" si="11"/>
        <v>כפר מנדא</v>
      </c>
      <c r="P251" s="61" t="str">
        <f t="shared" si="12"/>
        <v>חיפה מפרץ</v>
      </c>
    </row>
    <row r="252" spans="1:16" x14ac:dyDescent="0.3">
      <c r="A252" s="61">
        <v>10</v>
      </c>
      <c r="B252" s="61">
        <v>13</v>
      </c>
      <c r="C252" s="60"/>
      <c r="G252" s="62"/>
      <c r="I252" s="86" t="e">
        <f t="shared" si="13"/>
        <v>#DIV/0!</v>
      </c>
      <c r="J252" s="87" t="e">
        <f t="shared" si="13"/>
        <v>#DIV/0!</v>
      </c>
      <c r="K252" s="87" t="e">
        <f t="shared" si="13"/>
        <v>#DIV/0!</v>
      </c>
      <c r="L252" s="87" t="e">
        <f t="shared" si="13"/>
        <v>#DIV/0!</v>
      </c>
      <c r="M252" s="88" t="e">
        <f t="shared" si="13"/>
        <v>#DIV/0!</v>
      </c>
      <c r="O252" s="61" t="str">
        <f t="shared" si="11"/>
        <v>כפר מנדא</v>
      </c>
      <c r="P252" s="61" t="str">
        <f t="shared" si="12"/>
        <v>חיפה עיר תחתית</v>
      </c>
    </row>
    <row r="253" spans="1:16" x14ac:dyDescent="0.3">
      <c r="A253" s="61">
        <v>10</v>
      </c>
      <c r="B253" s="61">
        <v>14</v>
      </c>
      <c r="C253" s="60"/>
      <c r="G253" s="62"/>
      <c r="I253" s="86" t="e">
        <f t="shared" si="13"/>
        <v>#DIV/0!</v>
      </c>
      <c r="J253" s="87" t="e">
        <f t="shared" si="13"/>
        <v>#DIV/0!</v>
      </c>
      <c r="K253" s="87" t="e">
        <f t="shared" si="13"/>
        <v>#DIV/0!</v>
      </c>
      <c r="L253" s="87" t="e">
        <f t="shared" si="13"/>
        <v>#DIV/0!</v>
      </c>
      <c r="M253" s="88" t="e">
        <f t="shared" si="13"/>
        <v>#DIV/0!</v>
      </c>
      <c r="O253" s="61" t="str">
        <f t="shared" si="11"/>
        <v>כפר מנדא</v>
      </c>
      <c r="P253" s="61" t="str">
        <f t="shared" si="12"/>
        <v>חיפה הדר-כרמל</v>
      </c>
    </row>
    <row r="254" spans="1:16" x14ac:dyDescent="0.3">
      <c r="A254" s="61">
        <v>10</v>
      </c>
      <c r="B254" s="61">
        <v>15</v>
      </c>
      <c r="C254" s="60"/>
      <c r="G254" s="62"/>
      <c r="I254" s="86" t="e">
        <f t="shared" si="13"/>
        <v>#DIV/0!</v>
      </c>
      <c r="J254" s="87" t="e">
        <f t="shared" si="13"/>
        <v>#DIV/0!</v>
      </c>
      <c r="K254" s="87" t="e">
        <f t="shared" si="13"/>
        <v>#DIV/0!</v>
      </c>
      <c r="L254" s="87" t="e">
        <f t="shared" si="13"/>
        <v>#DIV/0!</v>
      </c>
      <c r="M254" s="88" t="e">
        <f t="shared" si="13"/>
        <v>#DIV/0!</v>
      </c>
      <c r="O254" s="61" t="str">
        <f t="shared" si="11"/>
        <v>כפר מנדא</v>
      </c>
      <c r="P254" s="61" t="str">
        <f t="shared" si="12"/>
        <v>חיפה מערב</v>
      </c>
    </row>
    <row r="255" spans="1:16" x14ac:dyDescent="0.3">
      <c r="A255" s="61">
        <v>10</v>
      </c>
      <c r="B255" s="61">
        <v>16</v>
      </c>
      <c r="C255" s="60"/>
      <c r="G255" s="62"/>
      <c r="I255" s="86" t="e">
        <f t="shared" si="13"/>
        <v>#DIV/0!</v>
      </c>
      <c r="J255" s="87" t="e">
        <f t="shared" si="13"/>
        <v>#DIV/0!</v>
      </c>
      <c r="K255" s="87" t="e">
        <f t="shared" si="13"/>
        <v>#DIV/0!</v>
      </c>
      <c r="L255" s="87" t="e">
        <f t="shared" si="13"/>
        <v>#DIV/0!</v>
      </c>
      <c r="M255" s="88" t="e">
        <f t="shared" si="13"/>
        <v>#DIV/0!</v>
      </c>
      <c r="O255" s="61" t="str">
        <f t="shared" si="11"/>
        <v>כפר מנדא</v>
      </c>
      <c r="P255" s="61" t="str">
        <f t="shared" si="12"/>
        <v>חיפה כרמל</v>
      </c>
    </row>
    <row r="256" spans="1:16" x14ac:dyDescent="0.3">
      <c r="A256" s="61">
        <v>10</v>
      </c>
      <c r="B256" s="61">
        <v>17</v>
      </c>
      <c r="C256" s="60"/>
      <c r="G256" s="62"/>
      <c r="I256" s="86" t="e">
        <f t="shared" si="13"/>
        <v>#DIV/0!</v>
      </c>
      <c r="J256" s="87" t="e">
        <f t="shared" si="13"/>
        <v>#DIV/0!</v>
      </c>
      <c r="K256" s="87" t="e">
        <f t="shared" si="13"/>
        <v>#DIV/0!</v>
      </c>
      <c r="L256" s="87" t="e">
        <f t="shared" si="13"/>
        <v>#DIV/0!</v>
      </c>
      <c r="M256" s="88" t="e">
        <f t="shared" si="13"/>
        <v>#DIV/0!</v>
      </c>
      <c r="O256" s="61" t="str">
        <f t="shared" si="11"/>
        <v>כפר מנדא</v>
      </c>
      <c r="P256" s="61" t="str">
        <f t="shared" si="12"/>
        <v>חיפה נווה שאנן</v>
      </c>
    </row>
    <row r="257" spans="1:16" x14ac:dyDescent="0.3">
      <c r="A257" s="61">
        <v>10</v>
      </c>
      <c r="B257" s="61">
        <v>18</v>
      </c>
      <c r="C257" s="60"/>
      <c r="G257" s="62"/>
      <c r="I257" s="86" t="e">
        <f t="shared" si="13"/>
        <v>#DIV/0!</v>
      </c>
      <c r="J257" s="87" t="e">
        <f t="shared" si="13"/>
        <v>#DIV/0!</v>
      </c>
      <c r="K257" s="87" t="e">
        <f t="shared" si="13"/>
        <v>#DIV/0!</v>
      </c>
      <c r="L257" s="87" t="e">
        <f t="shared" si="13"/>
        <v>#DIV/0!</v>
      </c>
      <c r="M257" s="88" t="e">
        <f t="shared" si="13"/>
        <v>#DIV/0!</v>
      </c>
      <c r="O257" s="61" t="str">
        <f t="shared" si="11"/>
        <v>כפר מנדא</v>
      </c>
      <c r="P257" s="61" t="str">
        <f t="shared" si="12"/>
        <v>נשר</v>
      </c>
    </row>
    <row r="258" spans="1:16" x14ac:dyDescent="0.3">
      <c r="A258" s="61">
        <v>10</v>
      </c>
      <c r="B258" s="61">
        <v>19</v>
      </c>
      <c r="C258" s="60"/>
      <c r="G258" s="62"/>
      <c r="I258" s="86" t="e">
        <f t="shared" si="13"/>
        <v>#DIV/0!</v>
      </c>
      <c r="J258" s="87" t="e">
        <f t="shared" si="13"/>
        <v>#DIV/0!</v>
      </c>
      <c r="K258" s="87" t="e">
        <f t="shared" si="13"/>
        <v>#DIV/0!</v>
      </c>
      <c r="L258" s="87" t="e">
        <f t="shared" si="13"/>
        <v>#DIV/0!</v>
      </c>
      <c r="M258" s="88" t="e">
        <f t="shared" si="13"/>
        <v>#DIV/0!</v>
      </c>
      <c r="O258" s="61" t="str">
        <f t="shared" si="11"/>
        <v>כפר מנדא</v>
      </c>
      <c r="P258" s="61" t="str">
        <f t="shared" si="12"/>
        <v>נצרת</v>
      </c>
    </row>
    <row r="259" spans="1:16" x14ac:dyDescent="0.3">
      <c r="A259" s="61">
        <v>10</v>
      </c>
      <c r="B259" s="61">
        <v>20</v>
      </c>
      <c r="C259" s="60"/>
      <c r="G259" s="62"/>
      <c r="I259" s="86" t="e">
        <f t="shared" si="13"/>
        <v>#DIV/0!</v>
      </c>
      <c r="J259" s="87" t="e">
        <f t="shared" si="13"/>
        <v>#DIV/0!</v>
      </c>
      <c r="K259" s="87" t="e">
        <f t="shared" si="13"/>
        <v>#DIV/0!</v>
      </c>
      <c r="L259" s="87" t="e">
        <f t="shared" si="13"/>
        <v>#DIV/0!</v>
      </c>
      <c r="M259" s="88" t="e">
        <f t="shared" si="13"/>
        <v>#DIV/0!</v>
      </c>
      <c r="O259" s="61" t="str">
        <f t="shared" si="11"/>
        <v>כפר מנדא</v>
      </c>
      <c r="P259" s="61" t="str">
        <f t="shared" si="12"/>
        <v>נצרת-עילית</v>
      </c>
    </row>
    <row r="260" spans="1:16" x14ac:dyDescent="0.3">
      <c r="A260" s="61">
        <v>10</v>
      </c>
      <c r="B260" s="61">
        <v>21</v>
      </c>
      <c r="C260" s="60"/>
      <c r="G260" s="62"/>
      <c r="I260" s="86" t="e">
        <f t="shared" si="13"/>
        <v>#DIV/0!</v>
      </c>
      <c r="J260" s="87" t="e">
        <f t="shared" si="13"/>
        <v>#DIV/0!</v>
      </c>
      <c r="K260" s="87" t="e">
        <f t="shared" si="13"/>
        <v>#DIV/0!</v>
      </c>
      <c r="L260" s="87" t="e">
        <f t="shared" si="13"/>
        <v>#DIV/0!</v>
      </c>
      <c r="M260" s="88" t="e">
        <f t="shared" si="13"/>
        <v>#DIV/0!</v>
      </c>
      <c r="O260" s="61" t="str">
        <f t="shared" si="11"/>
        <v>כפר מנדא</v>
      </c>
      <c r="P260" s="61" t="str">
        <f t="shared" si="12"/>
        <v>מגדל העמק</v>
      </c>
    </row>
    <row r="261" spans="1:16" x14ac:dyDescent="0.3">
      <c r="A261" s="61">
        <v>10</v>
      </c>
      <c r="B261" s="61">
        <v>22</v>
      </c>
      <c r="C261" s="60"/>
      <c r="G261" s="62"/>
      <c r="I261" s="86" t="e">
        <f t="shared" si="13"/>
        <v>#DIV/0!</v>
      </c>
      <c r="J261" s="87" t="e">
        <f t="shared" si="13"/>
        <v>#DIV/0!</v>
      </c>
      <c r="K261" s="87" t="e">
        <f t="shared" si="13"/>
        <v>#DIV/0!</v>
      </c>
      <c r="L261" s="87" t="e">
        <f t="shared" si="13"/>
        <v>#DIV/0!</v>
      </c>
      <c r="M261" s="88" t="e">
        <f t="shared" si="13"/>
        <v>#DIV/0!</v>
      </c>
      <c r="O261" s="61" t="str">
        <f t="shared" si="11"/>
        <v>כפר מנדא</v>
      </c>
      <c r="P261" s="61" t="str">
        <f t="shared" si="12"/>
        <v>יוקנעם</v>
      </c>
    </row>
    <row r="262" spans="1:16" x14ac:dyDescent="0.3">
      <c r="A262" s="61">
        <v>10</v>
      </c>
      <c r="B262" s="61">
        <v>23</v>
      </c>
      <c r="C262" s="60"/>
      <c r="G262" s="62"/>
      <c r="I262" s="86" t="e">
        <f t="shared" si="13"/>
        <v>#DIV/0!</v>
      </c>
      <c r="J262" s="87" t="e">
        <f t="shared" si="13"/>
        <v>#DIV/0!</v>
      </c>
      <c r="K262" s="87" t="e">
        <f t="shared" si="13"/>
        <v>#DIV/0!</v>
      </c>
      <c r="L262" s="87" t="e">
        <f t="shared" si="13"/>
        <v>#DIV/0!</v>
      </c>
      <c r="M262" s="88" t="e">
        <f t="shared" si="13"/>
        <v>#DIV/0!</v>
      </c>
      <c r="O262" s="61" t="str">
        <f t="shared" ref="O262:O325" si="14">VLOOKUP(A262,$S$6:$T$31,2,0)</f>
        <v>כפר מנדא</v>
      </c>
      <c r="P262" s="61" t="str">
        <f t="shared" ref="P262:P325" si="15">VLOOKUP(B262,$S$6:$T$31,2,0)</f>
        <v>דלית אל כרמל</v>
      </c>
    </row>
    <row r="263" spans="1:16" x14ac:dyDescent="0.3">
      <c r="A263" s="61">
        <v>10</v>
      </c>
      <c r="B263" s="61">
        <v>24</v>
      </c>
      <c r="C263" s="60"/>
      <c r="G263" s="62"/>
      <c r="I263" s="86" t="e">
        <f t="shared" si="13"/>
        <v>#DIV/0!</v>
      </c>
      <c r="J263" s="87" t="e">
        <f t="shared" si="13"/>
        <v>#DIV/0!</v>
      </c>
      <c r="K263" s="87" t="e">
        <f t="shared" si="13"/>
        <v>#DIV/0!</v>
      </c>
      <c r="L263" s="87" t="e">
        <f t="shared" si="13"/>
        <v>#DIV/0!</v>
      </c>
      <c r="M263" s="88" t="e">
        <f t="shared" si="13"/>
        <v>#DIV/0!</v>
      </c>
      <c r="O263" s="61" t="str">
        <f t="shared" si="14"/>
        <v>כפר מנדא</v>
      </c>
      <c r="P263" s="61" t="str">
        <f t="shared" si="15"/>
        <v>חוף הכרמל</v>
      </c>
    </row>
    <row r="264" spans="1:16" x14ac:dyDescent="0.3">
      <c r="A264" s="61">
        <v>10</v>
      </c>
      <c r="B264" s="61">
        <v>25</v>
      </c>
      <c r="C264" s="60"/>
      <c r="G264" s="62"/>
      <c r="I264" s="86" t="e">
        <f t="shared" si="13"/>
        <v>#DIV/0!</v>
      </c>
      <c r="J264" s="87" t="e">
        <f t="shared" si="13"/>
        <v>#DIV/0!</v>
      </c>
      <c r="K264" s="87" t="e">
        <f t="shared" si="13"/>
        <v>#DIV/0!</v>
      </c>
      <c r="L264" s="87" t="e">
        <f t="shared" si="13"/>
        <v>#DIV/0!</v>
      </c>
      <c r="M264" s="88" t="e">
        <f t="shared" si="13"/>
        <v>#DIV/0!</v>
      </c>
      <c r="O264" s="61" t="str">
        <f t="shared" si="14"/>
        <v>כפר מנדא</v>
      </c>
      <c r="P264" s="61" t="str">
        <f t="shared" si="15"/>
        <v>זכרון יעקב</v>
      </c>
    </row>
    <row r="265" spans="1:16" x14ac:dyDescent="0.3">
      <c r="A265" s="61">
        <v>10</v>
      </c>
      <c r="B265" s="61">
        <v>30</v>
      </c>
      <c r="C265" s="60"/>
      <c r="G265" s="62"/>
      <c r="I265" s="86" t="e">
        <f t="shared" si="13"/>
        <v>#DIV/0!</v>
      </c>
      <c r="J265" s="87" t="e">
        <f t="shared" si="13"/>
        <v>#DIV/0!</v>
      </c>
      <c r="K265" s="87" t="e">
        <f t="shared" si="13"/>
        <v>#DIV/0!</v>
      </c>
      <c r="L265" s="87" t="e">
        <f t="shared" si="13"/>
        <v>#DIV/0!</v>
      </c>
      <c r="M265" s="88" t="e">
        <f t="shared" si="13"/>
        <v>#DIV/0!</v>
      </c>
      <c r="O265" s="61" t="str">
        <f t="shared" si="14"/>
        <v>כפר מנדא</v>
      </c>
      <c r="P265" s="61" t="str">
        <f t="shared" si="15"/>
        <v>סכנין</v>
      </c>
    </row>
    <row r="266" spans="1:16" x14ac:dyDescent="0.3">
      <c r="A266" s="61">
        <v>11</v>
      </c>
      <c r="B266" s="61">
        <v>1</v>
      </c>
      <c r="C266" s="60"/>
      <c r="G266" s="62"/>
      <c r="I266" s="86" t="e">
        <f t="shared" si="13"/>
        <v>#DIV/0!</v>
      </c>
      <c r="J266" s="87" t="e">
        <f t="shared" si="13"/>
        <v>#DIV/0!</v>
      </c>
      <c r="K266" s="87" t="e">
        <f t="shared" si="13"/>
        <v>#DIV/0!</v>
      </c>
      <c r="L266" s="87" t="e">
        <f t="shared" si="13"/>
        <v>#DIV/0!</v>
      </c>
      <c r="M266" s="88" t="e">
        <f t="shared" si="13"/>
        <v>#DIV/0!</v>
      </c>
      <c r="O266" s="61" t="str">
        <f t="shared" si="14"/>
        <v>זבולון</v>
      </c>
      <c r="P266" s="61" t="str">
        <f t="shared" si="15"/>
        <v>נהריה</v>
      </c>
    </row>
    <row r="267" spans="1:16" x14ac:dyDescent="0.3">
      <c r="A267" s="61">
        <v>11</v>
      </c>
      <c r="B267" s="61">
        <v>2</v>
      </c>
      <c r="C267" s="60"/>
      <c r="G267" s="62"/>
      <c r="I267" s="86" t="e">
        <f t="shared" si="13"/>
        <v>#DIV/0!</v>
      </c>
      <c r="J267" s="87" t="e">
        <f t="shared" si="13"/>
        <v>#DIV/0!</v>
      </c>
      <c r="K267" s="87" t="e">
        <f t="shared" si="13"/>
        <v>#DIV/0!</v>
      </c>
      <c r="L267" s="87" t="e">
        <f t="shared" si="13"/>
        <v>#DIV/0!</v>
      </c>
      <c r="M267" s="88" t="e">
        <f t="shared" si="13"/>
        <v>#DIV/0!</v>
      </c>
      <c r="O267" s="61" t="str">
        <f t="shared" si="14"/>
        <v>זבולון</v>
      </c>
      <c r="P267" s="61" t="str">
        <f t="shared" si="15"/>
        <v>עכו</v>
      </c>
    </row>
    <row r="268" spans="1:16" x14ac:dyDescent="0.3">
      <c r="A268" s="61">
        <v>11</v>
      </c>
      <c r="B268" s="61">
        <v>3</v>
      </c>
      <c r="C268" s="60"/>
      <c r="G268" s="62"/>
      <c r="I268" s="86" t="e">
        <f t="shared" si="13"/>
        <v>#DIV/0!</v>
      </c>
      <c r="J268" s="87" t="e">
        <f t="shared" si="13"/>
        <v>#DIV/0!</v>
      </c>
      <c r="K268" s="87" t="e">
        <f t="shared" si="13"/>
        <v>#DIV/0!</v>
      </c>
      <c r="L268" s="87" t="e">
        <f t="shared" si="13"/>
        <v>#DIV/0!</v>
      </c>
      <c r="M268" s="88" t="e">
        <f t="shared" si="13"/>
        <v>#DIV/0!</v>
      </c>
      <c r="O268" s="61" t="str">
        <f t="shared" si="14"/>
        <v>זבולון</v>
      </c>
      <c r="P268" s="61" t="str">
        <f t="shared" si="15"/>
        <v>כרמיאל</v>
      </c>
    </row>
    <row r="269" spans="1:16" x14ac:dyDescent="0.3">
      <c r="A269" s="61">
        <v>11</v>
      </c>
      <c r="B269" s="61">
        <v>4</v>
      </c>
      <c r="C269" s="60"/>
      <c r="G269" s="62"/>
      <c r="I269" s="86" t="e">
        <f t="shared" si="13"/>
        <v>#DIV/0!</v>
      </c>
      <c r="J269" s="87" t="e">
        <f t="shared" si="13"/>
        <v>#DIV/0!</v>
      </c>
      <c r="K269" s="87" t="e">
        <f t="shared" si="13"/>
        <v>#DIV/0!</v>
      </c>
      <c r="L269" s="87" t="e">
        <f t="shared" si="13"/>
        <v>#DIV/0!</v>
      </c>
      <c r="M269" s="88" t="e">
        <f t="shared" si="13"/>
        <v>#DIV/0!</v>
      </c>
      <c r="O269" s="61" t="str">
        <f t="shared" si="14"/>
        <v>זבולון</v>
      </c>
      <c r="P269" s="61" t="str">
        <f t="shared" si="15"/>
        <v>שפרעם</v>
      </c>
    </row>
    <row r="270" spans="1:16" x14ac:dyDescent="0.3">
      <c r="A270" s="61">
        <v>11</v>
      </c>
      <c r="B270" s="61">
        <v>5</v>
      </c>
      <c r="C270" s="60"/>
      <c r="G270" s="62"/>
      <c r="I270" s="86" t="e">
        <f t="shared" si="13"/>
        <v>#DIV/0!</v>
      </c>
      <c r="J270" s="87" t="e">
        <f t="shared" si="13"/>
        <v>#DIV/0!</v>
      </c>
      <c r="K270" s="87" t="e">
        <f t="shared" si="13"/>
        <v>#DIV/0!</v>
      </c>
      <c r="L270" s="87" t="e">
        <f t="shared" si="13"/>
        <v>#DIV/0!</v>
      </c>
      <c r="M270" s="88" t="e">
        <f t="shared" si="13"/>
        <v>#DIV/0!</v>
      </c>
      <c r="O270" s="61" t="str">
        <f t="shared" si="14"/>
        <v>זבולון</v>
      </c>
      <c r="P270" s="61" t="str">
        <f t="shared" si="15"/>
        <v>קרית ים</v>
      </c>
    </row>
    <row r="271" spans="1:16" x14ac:dyDescent="0.3">
      <c r="A271" s="61">
        <v>11</v>
      </c>
      <c r="B271" s="61">
        <v>6</v>
      </c>
      <c r="C271" s="60"/>
      <c r="G271" s="62"/>
      <c r="I271" s="86" t="e">
        <f t="shared" si="13"/>
        <v>#DIV/0!</v>
      </c>
      <c r="J271" s="87" t="e">
        <f t="shared" si="13"/>
        <v>#DIV/0!</v>
      </c>
      <c r="K271" s="87" t="e">
        <f t="shared" si="13"/>
        <v>#DIV/0!</v>
      </c>
      <c r="L271" s="87" t="e">
        <f t="shared" si="13"/>
        <v>#DIV/0!</v>
      </c>
      <c r="M271" s="88" t="e">
        <f t="shared" si="13"/>
        <v>#DIV/0!</v>
      </c>
      <c r="O271" s="61" t="str">
        <f t="shared" si="14"/>
        <v>זבולון</v>
      </c>
      <c r="P271" s="61" t="str">
        <f t="shared" si="15"/>
        <v>קרית מוצקין</v>
      </c>
    </row>
    <row r="272" spans="1:16" x14ac:dyDescent="0.3">
      <c r="A272" s="61">
        <v>11</v>
      </c>
      <c r="B272" s="61">
        <v>7</v>
      </c>
      <c r="C272" s="60"/>
      <c r="G272" s="62"/>
      <c r="I272" s="86" t="e">
        <f t="shared" si="13"/>
        <v>#DIV/0!</v>
      </c>
      <c r="J272" s="87" t="e">
        <f t="shared" si="13"/>
        <v>#DIV/0!</v>
      </c>
      <c r="K272" s="87" t="e">
        <f t="shared" si="13"/>
        <v>#DIV/0!</v>
      </c>
      <c r="L272" s="87" t="e">
        <f t="shared" si="13"/>
        <v>#DIV/0!</v>
      </c>
      <c r="M272" s="88" t="e">
        <f t="shared" si="13"/>
        <v>#DIV/0!</v>
      </c>
      <c r="O272" s="61" t="str">
        <f t="shared" si="14"/>
        <v>זבולון</v>
      </c>
      <c r="P272" s="61" t="str">
        <f t="shared" si="15"/>
        <v>קרית ביאליק</v>
      </c>
    </row>
    <row r="273" spans="1:16" x14ac:dyDescent="0.3">
      <c r="A273" s="61">
        <v>11</v>
      </c>
      <c r="B273" s="61">
        <v>8</v>
      </c>
      <c r="C273" s="60"/>
      <c r="G273" s="62"/>
      <c r="I273" s="86" t="e">
        <f t="shared" si="13"/>
        <v>#DIV/0!</v>
      </c>
      <c r="J273" s="87" t="e">
        <f t="shared" si="13"/>
        <v>#DIV/0!</v>
      </c>
      <c r="K273" s="87" t="e">
        <f t="shared" si="13"/>
        <v>#DIV/0!</v>
      </c>
      <c r="L273" s="87" t="e">
        <f t="shared" si="13"/>
        <v>#DIV/0!</v>
      </c>
      <c r="M273" s="88" t="e">
        <f t="shared" si="13"/>
        <v>#DIV/0!</v>
      </c>
      <c r="O273" s="61" t="str">
        <f t="shared" si="14"/>
        <v>זבולון</v>
      </c>
      <c r="P273" s="61" t="str">
        <f t="shared" si="15"/>
        <v>קרית חיים</v>
      </c>
    </row>
    <row r="274" spans="1:16" x14ac:dyDescent="0.3">
      <c r="A274" s="61">
        <v>11</v>
      </c>
      <c r="B274" s="61">
        <v>9</v>
      </c>
      <c r="C274" s="60"/>
      <c r="G274" s="62"/>
      <c r="I274" s="86" t="e">
        <f t="shared" ref="I274:M324" si="16">C274/SUM($C274:$G274)</f>
        <v>#DIV/0!</v>
      </c>
      <c r="J274" s="87" t="e">
        <f t="shared" si="16"/>
        <v>#DIV/0!</v>
      </c>
      <c r="K274" s="87" t="e">
        <f t="shared" si="16"/>
        <v>#DIV/0!</v>
      </c>
      <c r="L274" s="87" t="e">
        <f t="shared" si="16"/>
        <v>#DIV/0!</v>
      </c>
      <c r="M274" s="88" t="e">
        <f t="shared" si="16"/>
        <v>#DIV/0!</v>
      </c>
      <c r="O274" s="61" t="str">
        <f t="shared" si="14"/>
        <v>זבולון</v>
      </c>
      <c r="P274" s="61" t="str">
        <f t="shared" si="15"/>
        <v>קרית אתא</v>
      </c>
    </row>
    <row r="275" spans="1:16" x14ac:dyDescent="0.3">
      <c r="A275" s="61">
        <v>11</v>
      </c>
      <c r="B275" s="61">
        <v>10</v>
      </c>
      <c r="C275" s="60"/>
      <c r="G275" s="62"/>
      <c r="I275" s="86" t="e">
        <f t="shared" si="16"/>
        <v>#DIV/0!</v>
      </c>
      <c r="J275" s="87" t="e">
        <f t="shared" si="16"/>
        <v>#DIV/0!</v>
      </c>
      <c r="K275" s="87" t="e">
        <f t="shared" si="16"/>
        <v>#DIV/0!</v>
      </c>
      <c r="L275" s="87" t="e">
        <f t="shared" si="16"/>
        <v>#DIV/0!</v>
      </c>
      <c r="M275" s="88" t="e">
        <f t="shared" si="16"/>
        <v>#DIV/0!</v>
      </c>
      <c r="O275" s="61" t="str">
        <f t="shared" si="14"/>
        <v>זבולון</v>
      </c>
      <c r="P275" s="61" t="str">
        <f t="shared" si="15"/>
        <v>כפר מנדא</v>
      </c>
    </row>
    <row r="276" spans="1:16" x14ac:dyDescent="0.3">
      <c r="A276" s="61">
        <v>11</v>
      </c>
      <c r="B276" s="61">
        <v>11</v>
      </c>
      <c r="C276" s="60"/>
      <c r="G276" s="62"/>
      <c r="I276" s="86" t="e">
        <f t="shared" si="16"/>
        <v>#DIV/0!</v>
      </c>
      <c r="J276" s="87" t="e">
        <f t="shared" si="16"/>
        <v>#DIV/0!</v>
      </c>
      <c r="K276" s="87" t="e">
        <f t="shared" si="16"/>
        <v>#DIV/0!</v>
      </c>
      <c r="L276" s="87" t="e">
        <f t="shared" si="16"/>
        <v>#DIV/0!</v>
      </c>
      <c r="M276" s="88" t="e">
        <f t="shared" si="16"/>
        <v>#DIV/0!</v>
      </c>
      <c r="O276" s="61" t="str">
        <f t="shared" si="14"/>
        <v>זבולון</v>
      </c>
      <c r="P276" s="61" t="str">
        <f t="shared" si="15"/>
        <v>זבולון</v>
      </c>
    </row>
    <row r="277" spans="1:16" x14ac:dyDescent="0.3">
      <c r="A277" s="61">
        <v>11</v>
      </c>
      <c r="B277" s="61">
        <v>12</v>
      </c>
      <c r="C277" s="60"/>
      <c r="G277" s="62"/>
      <c r="I277" s="86" t="e">
        <f t="shared" si="16"/>
        <v>#DIV/0!</v>
      </c>
      <c r="J277" s="87" t="e">
        <f t="shared" si="16"/>
        <v>#DIV/0!</v>
      </c>
      <c r="K277" s="87" t="e">
        <f t="shared" si="16"/>
        <v>#DIV/0!</v>
      </c>
      <c r="L277" s="87" t="e">
        <f t="shared" si="16"/>
        <v>#DIV/0!</v>
      </c>
      <c r="M277" s="88" t="e">
        <f t="shared" si="16"/>
        <v>#DIV/0!</v>
      </c>
      <c r="O277" s="61" t="str">
        <f t="shared" si="14"/>
        <v>זבולון</v>
      </c>
      <c r="P277" s="61" t="str">
        <f t="shared" si="15"/>
        <v>חיפה מפרץ</v>
      </c>
    </row>
    <row r="278" spans="1:16" x14ac:dyDescent="0.3">
      <c r="A278" s="61">
        <v>11</v>
      </c>
      <c r="B278" s="61">
        <v>13</v>
      </c>
      <c r="C278" s="60"/>
      <c r="G278" s="62"/>
      <c r="I278" s="86" t="e">
        <f t="shared" si="16"/>
        <v>#DIV/0!</v>
      </c>
      <c r="J278" s="87" t="e">
        <f t="shared" si="16"/>
        <v>#DIV/0!</v>
      </c>
      <c r="K278" s="87" t="e">
        <f t="shared" si="16"/>
        <v>#DIV/0!</v>
      </c>
      <c r="L278" s="87" t="e">
        <f t="shared" si="16"/>
        <v>#DIV/0!</v>
      </c>
      <c r="M278" s="88" t="e">
        <f t="shared" si="16"/>
        <v>#DIV/0!</v>
      </c>
      <c r="O278" s="61" t="str">
        <f t="shared" si="14"/>
        <v>זבולון</v>
      </c>
      <c r="P278" s="61" t="str">
        <f t="shared" si="15"/>
        <v>חיפה עיר תחתית</v>
      </c>
    </row>
    <row r="279" spans="1:16" x14ac:dyDescent="0.3">
      <c r="A279" s="61">
        <v>11</v>
      </c>
      <c r="B279" s="61">
        <v>14</v>
      </c>
      <c r="C279" s="60"/>
      <c r="G279" s="62"/>
      <c r="I279" s="86" t="e">
        <f t="shared" si="16"/>
        <v>#DIV/0!</v>
      </c>
      <c r="J279" s="87" t="e">
        <f t="shared" si="16"/>
        <v>#DIV/0!</v>
      </c>
      <c r="K279" s="87" t="e">
        <f t="shared" si="16"/>
        <v>#DIV/0!</v>
      </c>
      <c r="L279" s="87" t="e">
        <f t="shared" si="16"/>
        <v>#DIV/0!</v>
      </c>
      <c r="M279" s="88" t="e">
        <f t="shared" si="16"/>
        <v>#DIV/0!</v>
      </c>
      <c r="O279" s="61" t="str">
        <f t="shared" si="14"/>
        <v>זבולון</v>
      </c>
      <c r="P279" s="61" t="str">
        <f t="shared" si="15"/>
        <v>חיפה הדר-כרמל</v>
      </c>
    </row>
    <row r="280" spans="1:16" x14ac:dyDescent="0.3">
      <c r="A280" s="61">
        <v>11</v>
      </c>
      <c r="B280" s="61">
        <v>15</v>
      </c>
      <c r="C280" s="60"/>
      <c r="G280" s="62"/>
      <c r="I280" s="86" t="e">
        <f t="shared" si="16"/>
        <v>#DIV/0!</v>
      </c>
      <c r="J280" s="87" t="e">
        <f t="shared" si="16"/>
        <v>#DIV/0!</v>
      </c>
      <c r="K280" s="87" t="e">
        <f t="shared" si="16"/>
        <v>#DIV/0!</v>
      </c>
      <c r="L280" s="87" t="e">
        <f t="shared" si="16"/>
        <v>#DIV/0!</v>
      </c>
      <c r="M280" s="88" t="e">
        <f t="shared" si="16"/>
        <v>#DIV/0!</v>
      </c>
      <c r="O280" s="61" t="str">
        <f t="shared" si="14"/>
        <v>זבולון</v>
      </c>
      <c r="P280" s="61" t="str">
        <f t="shared" si="15"/>
        <v>חיפה מערב</v>
      </c>
    </row>
    <row r="281" spans="1:16" x14ac:dyDescent="0.3">
      <c r="A281" s="61">
        <v>11</v>
      </c>
      <c r="B281" s="61">
        <v>16</v>
      </c>
      <c r="C281" s="60"/>
      <c r="G281" s="62"/>
      <c r="I281" s="86" t="e">
        <f t="shared" si="16"/>
        <v>#DIV/0!</v>
      </c>
      <c r="J281" s="87" t="e">
        <f t="shared" si="16"/>
        <v>#DIV/0!</v>
      </c>
      <c r="K281" s="87" t="e">
        <f t="shared" si="16"/>
        <v>#DIV/0!</v>
      </c>
      <c r="L281" s="87" t="e">
        <f t="shared" si="16"/>
        <v>#DIV/0!</v>
      </c>
      <c r="M281" s="88" t="e">
        <f t="shared" si="16"/>
        <v>#DIV/0!</v>
      </c>
      <c r="O281" s="61" t="str">
        <f t="shared" si="14"/>
        <v>זבולון</v>
      </c>
      <c r="P281" s="61" t="str">
        <f t="shared" si="15"/>
        <v>חיפה כרמל</v>
      </c>
    </row>
    <row r="282" spans="1:16" x14ac:dyDescent="0.3">
      <c r="A282" s="61">
        <v>11</v>
      </c>
      <c r="B282" s="61">
        <v>17</v>
      </c>
      <c r="C282" s="60"/>
      <c r="G282" s="62"/>
      <c r="I282" s="86" t="e">
        <f t="shared" si="16"/>
        <v>#DIV/0!</v>
      </c>
      <c r="J282" s="87" t="e">
        <f t="shared" si="16"/>
        <v>#DIV/0!</v>
      </c>
      <c r="K282" s="87" t="e">
        <f t="shared" si="16"/>
        <v>#DIV/0!</v>
      </c>
      <c r="L282" s="87" t="e">
        <f t="shared" si="16"/>
        <v>#DIV/0!</v>
      </c>
      <c r="M282" s="88" t="e">
        <f t="shared" si="16"/>
        <v>#DIV/0!</v>
      </c>
      <c r="O282" s="61" t="str">
        <f t="shared" si="14"/>
        <v>זבולון</v>
      </c>
      <c r="P282" s="61" t="str">
        <f t="shared" si="15"/>
        <v>חיפה נווה שאנן</v>
      </c>
    </row>
    <row r="283" spans="1:16" x14ac:dyDescent="0.3">
      <c r="A283" s="61">
        <v>11</v>
      </c>
      <c r="B283" s="61">
        <v>18</v>
      </c>
      <c r="C283" s="60"/>
      <c r="G283" s="62"/>
      <c r="I283" s="86" t="e">
        <f t="shared" si="16"/>
        <v>#DIV/0!</v>
      </c>
      <c r="J283" s="87" t="e">
        <f t="shared" si="16"/>
        <v>#DIV/0!</v>
      </c>
      <c r="K283" s="87" t="e">
        <f t="shared" si="16"/>
        <v>#DIV/0!</v>
      </c>
      <c r="L283" s="87" t="e">
        <f t="shared" si="16"/>
        <v>#DIV/0!</v>
      </c>
      <c r="M283" s="88" t="e">
        <f t="shared" si="16"/>
        <v>#DIV/0!</v>
      </c>
      <c r="O283" s="61" t="str">
        <f t="shared" si="14"/>
        <v>זבולון</v>
      </c>
      <c r="P283" s="61" t="str">
        <f t="shared" si="15"/>
        <v>נשר</v>
      </c>
    </row>
    <row r="284" spans="1:16" x14ac:dyDescent="0.3">
      <c r="A284" s="61">
        <v>11</v>
      </c>
      <c r="B284" s="61">
        <v>19</v>
      </c>
      <c r="C284" s="60"/>
      <c r="G284" s="62"/>
      <c r="I284" s="86" t="e">
        <f t="shared" si="16"/>
        <v>#DIV/0!</v>
      </c>
      <c r="J284" s="87" t="e">
        <f t="shared" si="16"/>
        <v>#DIV/0!</v>
      </c>
      <c r="K284" s="87" t="e">
        <f t="shared" si="16"/>
        <v>#DIV/0!</v>
      </c>
      <c r="L284" s="87" t="e">
        <f t="shared" si="16"/>
        <v>#DIV/0!</v>
      </c>
      <c r="M284" s="88" t="e">
        <f t="shared" si="16"/>
        <v>#DIV/0!</v>
      </c>
      <c r="O284" s="61" t="str">
        <f t="shared" si="14"/>
        <v>זבולון</v>
      </c>
      <c r="P284" s="61" t="str">
        <f t="shared" si="15"/>
        <v>נצרת</v>
      </c>
    </row>
    <row r="285" spans="1:16" x14ac:dyDescent="0.3">
      <c r="A285" s="61">
        <v>11</v>
      </c>
      <c r="B285" s="61">
        <v>20</v>
      </c>
      <c r="C285" s="60"/>
      <c r="G285" s="62"/>
      <c r="I285" s="86" t="e">
        <f t="shared" si="16"/>
        <v>#DIV/0!</v>
      </c>
      <c r="J285" s="87" t="e">
        <f t="shared" si="16"/>
        <v>#DIV/0!</v>
      </c>
      <c r="K285" s="87" t="e">
        <f t="shared" si="16"/>
        <v>#DIV/0!</v>
      </c>
      <c r="L285" s="87" t="e">
        <f t="shared" si="16"/>
        <v>#DIV/0!</v>
      </c>
      <c r="M285" s="88" t="e">
        <f t="shared" si="16"/>
        <v>#DIV/0!</v>
      </c>
      <c r="O285" s="61" t="str">
        <f t="shared" si="14"/>
        <v>זבולון</v>
      </c>
      <c r="P285" s="61" t="str">
        <f t="shared" si="15"/>
        <v>נצרת-עילית</v>
      </c>
    </row>
    <row r="286" spans="1:16" x14ac:dyDescent="0.3">
      <c r="A286" s="61">
        <v>11</v>
      </c>
      <c r="B286" s="61">
        <v>21</v>
      </c>
      <c r="C286" s="60"/>
      <c r="G286" s="62"/>
      <c r="I286" s="86" t="e">
        <f t="shared" si="16"/>
        <v>#DIV/0!</v>
      </c>
      <c r="J286" s="87" t="e">
        <f t="shared" si="16"/>
        <v>#DIV/0!</v>
      </c>
      <c r="K286" s="87" t="e">
        <f t="shared" si="16"/>
        <v>#DIV/0!</v>
      </c>
      <c r="L286" s="87" t="e">
        <f t="shared" si="16"/>
        <v>#DIV/0!</v>
      </c>
      <c r="M286" s="88" t="e">
        <f t="shared" si="16"/>
        <v>#DIV/0!</v>
      </c>
      <c r="O286" s="61" t="str">
        <f t="shared" si="14"/>
        <v>זבולון</v>
      </c>
      <c r="P286" s="61" t="str">
        <f t="shared" si="15"/>
        <v>מגדל העמק</v>
      </c>
    </row>
    <row r="287" spans="1:16" x14ac:dyDescent="0.3">
      <c r="A287" s="61">
        <v>11</v>
      </c>
      <c r="B287" s="61">
        <v>22</v>
      </c>
      <c r="C287" s="60"/>
      <c r="G287" s="62"/>
      <c r="I287" s="86" t="e">
        <f t="shared" si="16"/>
        <v>#DIV/0!</v>
      </c>
      <c r="J287" s="87" t="e">
        <f t="shared" si="16"/>
        <v>#DIV/0!</v>
      </c>
      <c r="K287" s="87" t="e">
        <f t="shared" si="16"/>
        <v>#DIV/0!</v>
      </c>
      <c r="L287" s="87" t="e">
        <f t="shared" si="16"/>
        <v>#DIV/0!</v>
      </c>
      <c r="M287" s="88" t="e">
        <f t="shared" si="16"/>
        <v>#DIV/0!</v>
      </c>
      <c r="O287" s="61" t="str">
        <f t="shared" si="14"/>
        <v>זבולון</v>
      </c>
      <c r="P287" s="61" t="str">
        <f t="shared" si="15"/>
        <v>יוקנעם</v>
      </c>
    </row>
    <row r="288" spans="1:16" x14ac:dyDescent="0.3">
      <c r="A288" s="61">
        <v>11</v>
      </c>
      <c r="B288" s="61">
        <v>23</v>
      </c>
      <c r="C288" s="60"/>
      <c r="G288" s="62"/>
      <c r="I288" s="86" t="e">
        <f t="shared" si="16"/>
        <v>#DIV/0!</v>
      </c>
      <c r="J288" s="87" t="e">
        <f t="shared" si="16"/>
        <v>#DIV/0!</v>
      </c>
      <c r="K288" s="87" t="e">
        <f t="shared" si="16"/>
        <v>#DIV/0!</v>
      </c>
      <c r="L288" s="87" t="e">
        <f t="shared" si="16"/>
        <v>#DIV/0!</v>
      </c>
      <c r="M288" s="88" t="e">
        <f t="shared" si="16"/>
        <v>#DIV/0!</v>
      </c>
      <c r="O288" s="61" t="str">
        <f t="shared" si="14"/>
        <v>זבולון</v>
      </c>
      <c r="P288" s="61" t="str">
        <f t="shared" si="15"/>
        <v>דלית אל כרמל</v>
      </c>
    </row>
    <row r="289" spans="1:16" x14ac:dyDescent="0.3">
      <c r="A289" s="61">
        <v>11</v>
      </c>
      <c r="B289" s="61">
        <v>24</v>
      </c>
      <c r="C289" s="60"/>
      <c r="G289" s="62"/>
      <c r="I289" s="86" t="e">
        <f t="shared" si="16"/>
        <v>#DIV/0!</v>
      </c>
      <c r="J289" s="87" t="e">
        <f t="shared" si="16"/>
        <v>#DIV/0!</v>
      </c>
      <c r="K289" s="87" t="e">
        <f t="shared" si="16"/>
        <v>#DIV/0!</v>
      </c>
      <c r="L289" s="87" t="e">
        <f t="shared" si="16"/>
        <v>#DIV/0!</v>
      </c>
      <c r="M289" s="88" t="e">
        <f t="shared" si="16"/>
        <v>#DIV/0!</v>
      </c>
      <c r="O289" s="61" t="str">
        <f t="shared" si="14"/>
        <v>זבולון</v>
      </c>
      <c r="P289" s="61" t="str">
        <f t="shared" si="15"/>
        <v>חוף הכרמל</v>
      </c>
    </row>
    <row r="290" spans="1:16" x14ac:dyDescent="0.3">
      <c r="A290" s="61">
        <v>11</v>
      </c>
      <c r="B290" s="61">
        <v>25</v>
      </c>
      <c r="C290" s="60"/>
      <c r="G290" s="62"/>
      <c r="I290" s="86" t="e">
        <f t="shared" si="16"/>
        <v>#DIV/0!</v>
      </c>
      <c r="J290" s="87" t="e">
        <f t="shared" si="16"/>
        <v>#DIV/0!</v>
      </c>
      <c r="K290" s="87" t="e">
        <f t="shared" si="16"/>
        <v>#DIV/0!</v>
      </c>
      <c r="L290" s="87" t="e">
        <f t="shared" si="16"/>
        <v>#DIV/0!</v>
      </c>
      <c r="M290" s="88" t="e">
        <f t="shared" si="16"/>
        <v>#DIV/0!</v>
      </c>
      <c r="O290" s="61" t="str">
        <f t="shared" si="14"/>
        <v>זבולון</v>
      </c>
      <c r="P290" s="61" t="str">
        <f t="shared" si="15"/>
        <v>זכרון יעקב</v>
      </c>
    </row>
    <row r="291" spans="1:16" x14ac:dyDescent="0.3">
      <c r="A291" s="61">
        <v>11</v>
      </c>
      <c r="B291" s="61">
        <v>30</v>
      </c>
      <c r="C291" s="60"/>
      <c r="G291" s="62"/>
      <c r="I291" s="86" t="e">
        <f t="shared" si="16"/>
        <v>#DIV/0!</v>
      </c>
      <c r="J291" s="87" t="e">
        <f t="shared" si="16"/>
        <v>#DIV/0!</v>
      </c>
      <c r="K291" s="87" t="e">
        <f t="shared" si="16"/>
        <v>#DIV/0!</v>
      </c>
      <c r="L291" s="87" t="e">
        <f t="shared" si="16"/>
        <v>#DIV/0!</v>
      </c>
      <c r="M291" s="88" t="e">
        <f t="shared" si="16"/>
        <v>#DIV/0!</v>
      </c>
      <c r="O291" s="61" t="str">
        <f t="shared" si="14"/>
        <v>זבולון</v>
      </c>
      <c r="P291" s="61" t="str">
        <f t="shared" si="15"/>
        <v>סכנין</v>
      </c>
    </row>
    <row r="292" spans="1:16" x14ac:dyDescent="0.3">
      <c r="A292" s="61">
        <v>12</v>
      </c>
      <c r="B292" s="61">
        <v>1</v>
      </c>
      <c r="C292" s="60"/>
      <c r="G292" s="62"/>
      <c r="I292" s="86" t="e">
        <f t="shared" si="16"/>
        <v>#DIV/0!</v>
      </c>
      <c r="J292" s="87" t="e">
        <f t="shared" si="16"/>
        <v>#DIV/0!</v>
      </c>
      <c r="K292" s="87" t="e">
        <f t="shared" si="16"/>
        <v>#DIV/0!</v>
      </c>
      <c r="L292" s="87" t="e">
        <f t="shared" si="16"/>
        <v>#DIV/0!</v>
      </c>
      <c r="M292" s="88" t="e">
        <f t="shared" si="16"/>
        <v>#DIV/0!</v>
      </c>
      <c r="O292" s="61" t="str">
        <f t="shared" si="14"/>
        <v>חיפה מפרץ</v>
      </c>
      <c r="P292" s="61" t="str">
        <f t="shared" si="15"/>
        <v>נהריה</v>
      </c>
    </row>
    <row r="293" spans="1:16" x14ac:dyDescent="0.3">
      <c r="A293" s="61">
        <v>12</v>
      </c>
      <c r="B293" s="61">
        <v>2</v>
      </c>
      <c r="C293" s="60"/>
      <c r="G293" s="62"/>
      <c r="I293" s="86" t="e">
        <f t="shared" si="16"/>
        <v>#DIV/0!</v>
      </c>
      <c r="J293" s="87" t="e">
        <f t="shared" si="16"/>
        <v>#DIV/0!</v>
      </c>
      <c r="K293" s="87" t="e">
        <f t="shared" si="16"/>
        <v>#DIV/0!</v>
      </c>
      <c r="L293" s="87" t="e">
        <f t="shared" si="16"/>
        <v>#DIV/0!</v>
      </c>
      <c r="M293" s="88" t="e">
        <f t="shared" si="16"/>
        <v>#DIV/0!</v>
      </c>
      <c r="O293" s="61" t="str">
        <f t="shared" si="14"/>
        <v>חיפה מפרץ</v>
      </c>
      <c r="P293" s="61" t="str">
        <f t="shared" si="15"/>
        <v>עכו</v>
      </c>
    </row>
    <row r="294" spans="1:16" x14ac:dyDescent="0.3">
      <c r="A294" s="61">
        <v>12</v>
      </c>
      <c r="B294" s="61">
        <v>3</v>
      </c>
      <c r="C294" s="60"/>
      <c r="G294" s="62"/>
      <c r="I294" s="86" t="e">
        <f t="shared" si="16"/>
        <v>#DIV/0!</v>
      </c>
      <c r="J294" s="87" t="e">
        <f t="shared" si="16"/>
        <v>#DIV/0!</v>
      </c>
      <c r="K294" s="87" t="e">
        <f t="shared" si="16"/>
        <v>#DIV/0!</v>
      </c>
      <c r="L294" s="87" t="e">
        <f t="shared" si="16"/>
        <v>#DIV/0!</v>
      </c>
      <c r="M294" s="88" t="e">
        <f t="shared" si="16"/>
        <v>#DIV/0!</v>
      </c>
      <c r="O294" s="61" t="str">
        <f t="shared" si="14"/>
        <v>חיפה מפרץ</v>
      </c>
      <c r="P294" s="61" t="str">
        <f t="shared" si="15"/>
        <v>כרמיאל</v>
      </c>
    </row>
    <row r="295" spans="1:16" x14ac:dyDescent="0.3">
      <c r="A295" s="61">
        <v>12</v>
      </c>
      <c r="B295" s="61">
        <v>4</v>
      </c>
      <c r="C295" s="60"/>
      <c r="G295" s="62"/>
      <c r="I295" s="86" t="e">
        <f t="shared" si="16"/>
        <v>#DIV/0!</v>
      </c>
      <c r="J295" s="87" t="e">
        <f t="shared" si="16"/>
        <v>#DIV/0!</v>
      </c>
      <c r="K295" s="87" t="e">
        <f t="shared" si="16"/>
        <v>#DIV/0!</v>
      </c>
      <c r="L295" s="87" t="e">
        <f t="shared" si="16"/>
        <v>#DIV/0!</v>
      </c>
      <c r="M295" s="88" t="e">
        <f t="shared" si="16"/>
        <v>#DIV/0!</v>
      </c>
      <c r="O295" s="61" t="str">
        <f t="shared" si="14"/>
        <v>חיפה מפרץ</v>
      </c>
      <c r="P295" s="61" t="str">
        <f t="shared" si="15"/>
        <v>שפרעם</v>
      </c>
    </row>
    <row r="296" spans="1:16" x14ac:dyDescent="0.3">
      <c r="A296" s="61">
        <v>12</v>
      </c>
      <c r="B296" s="61">
        <v>5</v>
      </c>
      <c r="C296" s="60"/>
      <c r="G296" s="62"/>
      <c r="I296" s="86" t="e">
        <f t="shared" si="16"/>
        <v>#DIV/0!</v>
      </c>
      <c r="J296" s="87" t="e">
        <f t="shared" si="16"/>
        <v>#DIV/0!</v>
      </c>
      <c r="K296" s="87" t="e">
        <f t="shared" si="16"/>
        <v>#DIV/0!</v>
      </c>
      <c r="L296" s="87" t="e">
        <f t="shared" si="16"/>
        <v>#DIV/0!</v>
      </c>
      <c r="M296" s="88" t="e">
        <f t="shared" si="16"/>
        <v>#DIV/0!</v>
      </c>
      <c r="O296" s="61" t="str">
        <f t="shared" si="14"/>
        <v>חיפה מפרץ</v>
      </c>
      <c r="P296" s="61" t="str">
        <f t="shared" si="15"/>
        <v>קרית ים</v>
      </c>
    </row>
    <row r="297" spans="1:16" x14ac:dyDescent="0.3">
      <c r="A297" s="61">
        <v>12</v>
      </c>
      <c r="B297" s="61">
        <v>6</v>
      </c>
      <c r="C297" s="60"/>
      <c r="G297" s="62"/>
      <c r="I297" s="86" t="e">
        <f t="shared" si="16"/>
        <v>#DIV/0!</v>
      </c>
      <c r="J297" s="87" t="e">
        <f t="shared" si="16"/>
        <v>#DIV/0!</v>
      </c>
      <c r="K297" s="87" t="e">
        <f t="shared" si="16"/>
        <v>#DIV/0!</v>
      </c>
      <c r="L297" s="87" t="e">
        <f t="shared" si="16"/>
        <v>#DIV/0!</v>
      </c>
      <c r="M297" s="88" t="e">
        <f t="shared" si="16"/>
        <v>#DIV/0!</v>
      </c>
      <c r="O297" s="61" t="str">
        <f t="shared" si="14"/>
        <v>חיפה מפרץ</v>
      </c>
      <c r="P297" s="61" t="str">
        <f t="shared" si="15"/>
        <v>קרית מוצקין</v>
      </c>
    </row>
    <row r="298" spans="1:16" x14ac:dyDescent="0.3">
      <c r="A298" s="61">
        <v>12</v>
      </c>
      <c r="B298" s="61">
        <v>7</v>
      </c>
      <c r="C298" s="60"/>
      <c r="G298" s="62"/>
      <c r="I298" s="86" t="e">
        <f t="shared" si="16"/>
        <v>#DIV/0!</v>
      </c>
      <c r="J298" s="87" t="e">
        <f t="shared" si="16"/>
        <v>#DIV/0!</v>
      </c>
      <c r="K298" s="87" t="e">
        <f t="shared" si="16"/>
        <v>#DIV/0!</v>
      </c>
      <c r="L298" s="87" t="e">
        <f t="shared" si="16"/>
        <v>#DIV/0!</v>
      </c>
      <c r="M298" s="88" t="e">
        <f t="shared" si="16"/>
        <v>#DIV/0!</v>
      </c>
      <c r="O298" s="61" t="str">
        <f t="shared" si="14"/>
        <v>חיפה מפרץ</v>
      </c>
      <c r="P298" s="61" t="str">
        <f t="shared" si="15"/>
        <v>קרית ביאליק</v>
      </c>
    </row>
    <row r="299" spans="1:16" x14ac:dyDescent="0.3">
      <c r="A299" s="61">
        <v>12</v>
      </c>
      <c r="B299" s="61">
        <v>8</v>
      </c>
      <c r="C299" s="60"/>
      <c r="G299" s="62"/>
      <c r="I299" s="86" t="e">
        <f t="shared" si="16"/>
        <v>#DIV/0!</v>
      </c>
      <c r="J299" s="87" t="e">
        <f t="shared" si="16"/>
        <v>#DIV/0!</v>
      </c>
      <c r="K299" s="87" t="e">
        <f t="shared" si="16"/>
        <v>#DIV/0!</v>
      </c>
      <c r="L299" s="87" t="e">
        <f t="shared" si="16"/>
        <v>#DIV/0!</v>
      </c>
      <c r="M299" s="88" t="e">
        <f t="shared" si="16"/>
        <v>#DIV/0!</v>
      </c>
      <c r="O299" s="61" t="str">
        <f t="shared" si="14"/>
        <v>חיפה מפרץ</v>
      </c>
      <c r="P299" s="61" t="str">
        <f t="shared" si="15"/>
        <v>קרית חיים</v>
      </c>
    </row>
    <row r="300" spans="1:16" x14ac:dyDescent="0.3">
      <c r="A300" s="61">
        <v>12</v>
      </c>
      <c r="B300" s="61">
        <v>9</v>
      </c>
      <c r="C300" s="60"/>
      <c r="G300" s="62"/>
      <c r="I300" s="86" t="e">
        <f t="shared" si="16"/>
        <v>#DIV/0!</v>
      </c>
      <c r="J300" s="87" t="e">
        <f t="shared" si="16"/>
        <v>#DIV/0!</v>
      </c>
      <c r="K300" s="87" t="e">
        <f t="shared" si="16"/>
        <v>#DIV/0!</v>
      </c>
      <c r="L300" s="87" t="e">
        <f t="shared" si="16"/>
        <v>#DIV/0!</v>
      </c>
      <c r="M300" s="88" t="e">
        <f t="shared" si="16"/>
        <v>#DIV/0!</v>
      </c>
      <c r="O300" s="61" t="str">
        <f t="shared" si="14"/>
        <v>חיפה מפרץ</v>
      </c>
      <c r="P300" s="61" t="str">
        <f t="shared" si="15"/>
        <v>קרית אתא</v>
      </c>
    </row>
    <row r="301" spans="1:16" x14ac:dyDescent="0.3">
      <c r="A301" s="61">
        <v>12</v>
      </c>
      <c r="B301" s="61">
        <v>10</v>
      </c>
      <c r="C301" s="60"/>
      <c r="G301" s="62"/>
      <c r="I301" s="86" t="e">
        <f t="shared" si="16"/>
        <v>#DIV/0!</v>
      </c>
      <c r="J301" s="87" t="e">
        <f t="shared" si="16"/>
        <v>#DIV/0!</v>
      </c>
      <c r="K301" s="87" t="e">
        <f t="shared" si="16"/>
        <v>#DIV/0!</v>
      </c>
      <c r="L301" s="87" t="e">
        <f t="shared" si="16"/>
        <v>#DIV/0!</v>
      </c>
      <c r="M301" s="88" t="e">
        <f t="shared" si="16"/>
        <v>#DIV/0!</v>
      </c>
      <c r="O301" s="61" t="str">
        <f t="shared" si="14"/>
        <v>חיפה מפרץ</v>
      </c>
      <c r="P301" s="61" t="str">
        <f t="shared" si="15"/>
        <v>כפר מנדא</v>
      </c>
    </row>
    <row r="302" spans="1:16" x14ac:dyDescent="0.3">
      <c r="A302" s="61">
        <v>12</v>
      </c>
      <c r="B302" s="61">
        <v>11</v>
      </c>
      <c r="C302" s="60"/>
      <c r="G302" s="62"/>
      <c r="I302" s="86" t="e">
        <f t="shared" si="16"/>
        <v>#DIV/0!</v>
      </c>
      <c r="J302" s="87" t="e">
        <f t="shared" si="16"/>
        <v>#DIV/0!</v>
      </c>
      <c r="K302" s="87" t="e">
        <f t="shared" si="16"/>
        <v>#DIV/0!</v>
      </c>
      <c r="L302" s="87" t="e">
        <f t="shared" si="16"/>
        <v>#DIV/0!</v>
      </c>
      <c r="M302" s="88" t="e">
        <f t="shared" si="16"/>
        <v>#DIV/0!</v>
      </c>
      <c r="O302" s="61" t="str">
        <f t="shared" si="14"/>
        <v>חיפה מפרץ</v>
      </c>
      <c r="P302" s="61" t="str">
        <f t="shared" si="15"/>
        <v>זבולון</v>
      </c>
    </row>
    <row r="303" spans="1:16" x14ac:dyDescent="0.3">
      <c r="A303" s="61">
        <v>12</v>
      </c>
      <c r="B303" s="61">
        <v>12</v>
      </c>
      <c r="C303" s="60"/>
      <c r="G303" s="62"/>
      <c r="I303" s="86" t="e">
        <f t="shared" si="16"/>
        <v>#DIV/0!</v>
      </c>
      <c r="J303" s="87" t="e">
        <f t="shared" si="16"/>
        <v>#DIV/0!</v>
      </c>
      <c r="K303" s="87" t="e">
        <f t="shared" si="16"/>
        <v>#DIV/0!</v>
      </c>
      <c r="L303" s="87" t="e">
        <f t="shared" si="16"/>
        <v>#DIV/0!</v>
      </c>
      <c r="M303" s="88" t="e">
        <f t="shared" si="16"/>
        <v>#DIV/0!</v>
      </c>
      <c r="O303" s="61" t="str">
        <f t="shared" si="14"/>
        <v>חיפה מפרץ</v>
      </c>
      <c r="P303" s="61" t="str">
        <f t="shared" si="15"/>
        <v>חיפה מפרץ</v>
      </c>
    </row>
    <row r="304" spans="1:16" x14ac:dyDescent="0.3">
      <c r="A304" s="61">
        <v>12</v>
      </c>
      <c r="B304" s="61">
        <v>13</v>
      </c>
      <c r="C304" s="60"/>
      <c r="G304" s="62"/>
      <c r="I304" s="86" t="e">
        <f t="shared" si="16"/>
        <v>#DIV/0!</v>
      </c>
      <c r="J304" s="87" t="e">
        <f t="shared" si="16"/>
        <v>#DIV/0!</v>
      </c>
      <c r="K304" s="87" t="e">
        <f t="shared" si="16"/>
        <v>#DIV/0!</v>
      </c>
      <c r="L304" s="87" t="e">
        <f t="shared" si="16"/>
        <v>#DIV/0!</v>
      </c>
      <c r="M304" s="88" t="e">
        <f t="shared" si="16"/>
        <v>#DIV/0!</v>
      </c>
      <c r="O304" s="61" t="str">
        <f t="shared" si="14"/>
        <v>חיפה מפרץ</v>
      </c>
      <c r="P304" s="61" t="str">
        <f t="shared" si="15"/>
        <v>חיפה עיר תחתית</v>
      </c>
    </row>
    <row r="305" spans="1:16" x14ac:dyDescent="0.3">
      <c r="A305" s="61">
        <v>12</v>
      </c>
      <c r="B305" s="61">
        <v>14</v>
      </c>
      <c r="C305" s="60"/>
      <c r="G305" s="62"/>
      <c r="I305" s="86" t="e">
        <f t="shared" si="16"/>
        <v>#DIV/0!</v>
      </c>
      <c r="J305" s="87" t="e">
        <f t="shared" si="16"/>
        <v>#DIV/0!</v>
      </c>
      <c r="K305" s="87" t="e">
        <f t="shared" si="16"/>
        <v>#DIV/0!</v>
      </c>
      <c r="L305" s="87" t="e">
        <f t="shared" si="16"/>
        <v>#DIV/0!</v>
      </c>
      <c r="M305" s="88" t="e">
        <f t="shared" si="16"/>
        <v>#DIV/0!</v>
      </c>
      <c r="O305" s="61" t="str">
        <f t="shared" si="14"/>
        <v>חיפה מפרץ</v>
      </c>
      <c r="P305" s="61" t="str">
        <f t="shared" si="15"/>
        <v>חיפה הדר-כרמל</v>
      </c>
    </row>
    <row r="306" spans="1:16" x14ac:dyDescent="0.3">
      <c r="A306" s="61">
        <v>12</v>
      </c>
      <c r="B306" s="61">
        <v>15</v>
      </c>
      <c r="C306" s="60"/>
      <c r="G306" s="62"/>
      <c r="I306" s="86" t="e">
        <f t="shared" si="16"/>
        <v>#DIV/0!</v>
      </c>
      <c r="J306" s="87" t="e">
        <f t="shared" si="16"/>
        <v>#DIV/0!</v>
      </c>
      <c r="K306" s="87" t="e">
        <f t="shared" si="16"/>
        <v>#DIV/0!</v>
      </c>
      <c r="L306" s="87" t="e">
        <f t="shared" si="16"/>
        <v>#DIV/0!</v>
      </c>
      <c r="M306" s="88" t="e">
        <f t="shared" si="16"/>
        <v>#DIV/0!</v>
      </c>
      <c r="O306" s="61" t="str">
        <f t="shared" si="14"/>
        <v>חיפה מפרץ</v>
      </c>
      <c r="P306" s="61" t="str">
        <f t="shared" si="15"/>
        <v>חיפה מערב</v>
      </c>
    </row>
    <row r="307" spans="1:16" x14ac:dyDescent="0.3">
      <c r="A307" s="61">
        <v>12</v>
      </c>
      <c r="B307" s="61">
        <v>16</v>
      </c>
      <c r="C307" s="60"/>
      <c r="G307" s="62"/>
      <c r="I307" s="86" t="e">
        <f t="shared" si="16"/>
        <v>#DIV/0!</v>
      </c>
      <c r="J307" s="87" t="e">
        <f t="shared" si="16"/>
        <v>#DIV/0!</v>
      </c>
      <c r="K307" s="87" t="e">
        <f t="shared" si="16"/>
        <v>#DIV/0!</v>
      </c>
      <c r="L307" s="87" t="e">
        <f t="shared" si="16"/>
        <v>#DIV/0!</v>
      </c>
      <c r="M307" s="88" t="e">
        <f t="shared" si="16"/>
        <v>#DIV/0!</v>
      </c>
      <c r="O307" s="61" t="str">
        <f t="shared" si="14"/>
        <v>חיפה מפרץ</v>
      </c>
      <c r="P307" s="61" t="str">
        <f t="shared" si="15"/>
        <v>חיפה כרמל</v>
      </c>
    </row>
    <row r="308" spans="1:16" x14ac:dyDescent="0.3">
      <c r="A308" s="61">
        <v>12</v>
      </c>
      <c r="B308" s="61">
        <v>17</v>
      </c>
      <c r="C308" s="60"/>
      <c r="G308" s="62"/>
      <c r="I308" s="86" t="e">
        <f t="shared" si="16"/>
        <v>#DIV/0!</v>
      </c>
      <c r="J308" s="87" t="e">
        <f t="shared" si="16"/>
        <v>#DIV/0!</v>
      </c>
      <c r="K308" s="87" t="e">
        <f t="shared" si="16"/>
        <v>#DIV/0!</v>
      </c>
      <c r="L308" s="87" t="e">
        <f t="shared" si="16"/>
        <v>#DIV/0!</v>
      </c>
      <c r="M308" s="88" t="e">
        <f t="shared" si="16"/>
        <v>#DIV/0!</v>
      </c>
      <c r="O308" s="61" t="str">
        <f t="shared" si="14"/>
        <v>חיפה מפרץ</v>
      </c>
      <c r="P308" s="61" t="str">
        <f t="shared" si="15"/>
        <v>חיפה נווה שאנן</v>
      </c>
    </row>
    <row r="309" spans="1:16" x14ac:dyDescent="0.3">
      <c r="A309" s="61">
        <v>12</v>
      </c>
      <c r="B309" s="61">
        <v>18</v>
      </c>
      <c r="C309" s="60"/>
      <c r="G309" s="62"/>
      <c r="I309" s="86" t="e">
        <f t="shared" si="16"/>
        <v>#DIV/0!</v>
      </c>
      <c r="J309" s="87" t="e">
        <f t="shared" si="16"/>
        <v>#DIV/0!</v>
      </c>
      <c r="K309" s="87" t="e">
        <f t="shared" si="16"/>
        <v>#DIV/0!</v>
      </c>
      <c r="L309" s="87" t="e">
        <f t="shared" si="16"/>
        <v>#DIV/0!</v>
      </c>
      <c r="M309" s="88" t="e">
        <f t="shared" si="16"/>
        <v>#DIV/0!</v>
      </c>
      <c r="O309" s="61" t="str">
        <f t="shared" si="14"/>
        <v>חיפה מפרץ</v>
      </c>
      <c r="P309" s="61" t="str">
        <f t="shared" si="15"/>
        <v>נשר</v>
      </c>
    </row>
    <row r="310" spans="1:16" x14ac:dyDescent="0.3">
      <c r="A310" s="61">
        <v>12</v>
      </c>
      <c r="B310" s="61">
        <v>19</v>
      </c>
      <c r="C310" s="60"/>
      <c r="G310" s="62"/>
      <c r="I310" s="86" t="e">
        <f t="shared" si="16"/>
        <v>#DIV/0!</v>
      </c>
      <c r="J310" s="87" t="e">
        <f t="shared" si="16"/>
        <v>#DIV/0!</v>
      </c>
      <c r="K310" s="87" t="e">
        <f t="shared" si="16"/>
        <v>#DIV/0!</v>
      </c>
      <c r="L310" s="87" t="e">
        <f t="shared" si="16"/>
        <v>#DIV/0!</v>
      </c>
      <c r="M310" s="88" t="e">
        <f t="shared" si="16"/>
        <v>#DIV/0!</v>
      </c>
      <c r="O310" s="61" t="str">
        <f t="shared" si="14"/>
        <v>חיפה מפרץ</v>
      </c>
      <c r="P310" s="61" t="str">
        <f t="shared" si="15"/>
        <v>נצרת</v>
      </c>
    </row>
    <row r="311" spans="1:16" x14ac:dyDescent="0.3">
      <c r="A311" s="61">
        <v>12</v>
      </c>
      <c r="B311" s="61">
        <v>20</v>
      </c>
      <c r="C311" s="60"/>
      <c r="G311" s="62"/>
      <c r="I311" s="86" t="e">
        <f t="shared" si="16"/>
        <v>#DIV/0!</v>
      </c>
      <c r="J311" s="87" t="e">
        <f t="shared" si="16"/>
        <v>#DIV/0!</v>
      </c>
      <c r="K311" s="87" t="e">
        <f t="shared" si="16"/>
        <v>#DIV/0!</v>
      </c>
      <c r="L311" s="87" t="e">
        <f t="shared" si="16"/>
        <v>#DIV/0!</v>
      </c>
      <c r="M311" s="88" t="e">
        <f t="shared" si="16"/>
        <v>#DIV/0!</v>
      </c>
      <c r="O311" s="61" t="str">
        <f t="shared" si="14"/>
        <v>חיפה מפרץ</v>
      </c>
      <c r="P311" s="61" t="str">
        <f t="shared" si="15"/>
        <v>נצרת-עילית</v>
      </c>
    </row>
    <row r="312" spans="1:16" x14ac:dyDescent="0.3">
      <c r="A312" s="61">
        <v>12</v>
      </c>
      <c r="B312" s="61">
        <v>21</v>
      </c>
      <c r="C312" s="60"/>
      <c r="G312" s="62"/>
      <c r="I312" s="86" t="e">
        <f t="shared" si="16"/>
        <v>#DIV/0!</v>
      </c>
      <c r="J312" s="87" t="e">
        <f t="shared" si="16"/>
        <v>#DIV/0!</v>
      </c>
      <c r="K312" s="87" t="e">
        <f t="shared" si="16"/>
        <v>#DIV/0!</v>
      </c>
      <c r="L312" s="87" t="e">
        <f t="shared" si="16"/>
        <v>#DIV/0!</v>
      </c>
      <c r="M312" s="88" t="e">
        <f t="shared" si="16"/>
        <v>#DIV/0!</v>
      </c>
      <c r="O312" s="61" t="str">
        <f t="shared" si="14"/>
        <v>חיפה מפרץ</v>
      </c>
      <c r="P312" s="61" t="str">
        <f t="shared" si="15"/>
        <v>מגדל העמק</v>
      </c>
    </row>
    <row r="313" spans="1:16" x14ac:dyDescent="0.3">
      <c r="A313" s="61">
        <v>12</v>
      </c>
      <c r="B313" s="61">
        <v>22</v>
      </c>
      <c r="C313" s="60"/>
      <c r="G313" s="62"/>
      <c r="I313" s="86" t="e">
        <f t="shared" si="16"/>
        <v>#DIV/0!</v>
      </c>
      <c r="J313" s="87" t="e">
        <f t="shared" si="16"/>
        <v>#DIV/0!</v>
      </c>
      <c r="K313" s="87" t="e">
        <f t="shared" si="16"/>
        <v>#DIV/0!</v>
      </c>
      <c r="L313" s="87" t="e">
        <f t="shared" si="16"/>
        <v>#DIV/0!</v>
      </c>
      <c r="M313" s="88" t="e">
        <f t="shared" si="16"/>
        <v>#DIV/0!</v>
      </c>
      <c r="O313" s="61" t="str">
        <f t="shared" si="14"/>
        <v>חיפה מפרץ</v>
      </c>
      <c r="P313" s="61" t="str">
        <f t="shared" si="15"/>
        <v>יוקנעם</v>
      </c>
    </row>
    <row r="314" spans="1:16" x14ac:dyDescent="0.3">
      <c r="A314" s="61">
        <v>12</v>
      </c>
      <c r="B314" s="61">
        <v>23</v>
      </c>
      <c r="C314" s="60"/>
      <c r="G314" s="62"/>
      <c r="I314" s="86" t="e">
        <f t="shared" si="16"/>
        <v>#DIV/0!</v>
      </c>
      <c r="J314" s="87" t="e">
        <f t="shared" si="16"/>
        <v>#DIV/0!</v>
      </c>
      <c r="K314" s="87" t="e">
        <f t="shared" si="16"/>
        <v>#DIV/0!</v>
      </c>
      <c r="L314" s="87" t="e">
        <f t="shared" si="16"/>
        <v>#DIV/0!</v>
      </c>
      <c r="M314" s="88" t="e">
        <f t="shared" si="16"/>
        <v>#DIV/0!</v>
      </c>
      <c r="O314" s="61" t="str">
        <f t="shared" si="14"/>
        <v>חיפה מפרץ</v>
      </c>
      <c r="P314" s="61" t="str">
        <f t="shared" si="15"/>
        <v>דלית אל כרמל</v>
      </c>
    </row>
    <row r="315" spans="1:16" x14ac:dyDescent="0.3">
      <c r="A315" s="61">
        <v>12</v>
      </c>
      <c r="B315" s="61">
        <v>24</v>
      </c>
      <c r="C315" s="60"/>
      <c r="G315" s="62"/>
      <c r="I315" s="86" t="e">
        <f t="shared" si="16"/>
        <v>#DIV/0!</v>
      </c>
      <c r="J315" s="87" t="e">
        <f t="shared" si="16"/>
        <v>#DIV/0!</v>
      </c>
      <c r="K315" s="87" t="e">
        <f t="shared" si="16"/>
        <v>#DIV/0!</v>
      </c>
      <c r="L315" s="87" t="e">
        <f t="shared" si="16"/>
        <v>#DIV/0!</v>
      </c>
      <c r="M315" s="88" t="e">
        <f t="shared" si="16"/>
        <v>#DIV/0!</v>
      </c>
      <c r="O315" s="61" t="str">
        <f t="shared" si="14"/>
        <v>חיפה מפרץ</v>
      </c>
      <c r="P315" s="61" t="str">
        <f t="shared" si="15"/>
        <v>חוף הכרמל</v>
      </c>
    </row>
    <row r="316" spans="1:16" x14ac:dyDescent="0.3">
      <c r="A316" s="61">
        <v>12</v>
      </c>
      <c r="B316" s="61">
        <v>25</v>
      </c>
      <c r="C316" s="60"/>
      <c r="G316" s="62"/>
      <c r="I316" s="86" t="e">
        <f t="shared" si="16"/>
        <v>#DIV/0!</v>
      </c>
      <c r="J316" s="87" t="e">
        <f t="shared" si="16"/>
        <v>#DIV/0!</v>
      </c>
      <c r="K316" s="87" t="e">
        <f t="shared" si="16"/>
        <v>#DIV/0!</v>
      </c>
      <c r="L316" s="87" t="e">
        <f t="shared" si="16"/>
        <v>#DIV/0!</v>
      </c>
      <c r="M316" s="88" t="e">
        <f t="shared" si="16"/>
        <v>#DIV/0!</v>
      </c>
      <c r="O316" s="61" t="str">
        <f t="shared" si="14"/>
        <v>חיפה מפרץ</v>
      </c>
      <c r="P316" s="61" t="str">
        <f t="shared" si="15"/>
        <v>זכרון יעקב</v>
      </c>
    </row>
    <row r="317" spans="1:16" x14ac:dyDescent="0.3">
      <c r="A317" s="61">
        <v>12</v>
      </c>
      <c r="B317" s="61">
        <v>30</v>
      </c>
      <c r="C317" s="60"/>
      <c r="G317" s="62"/>
      <c r="I317" s="86" t="e">
        <f t="shared" si="16"/>
        <v>#DIV/0!</v>
      </c>
      <c r="J317" s="87" t="e">
        <f t="shared" si="16"/>
        <v>#DIV/0!</v>
      </c>
      <c r="K317" s="87" t="e">
        <f t="shared" si="16"/>
        <v>#DIV/0!</v>
      </c>
      <c r="L317" s="87" t="e">
        <f t="shared" si="16"/>
        <v>#DIV/0!</v>
      </c>
      <c r="M317" s="88" t="e">
        <f t="shared" si="16"/>
        <v>#DIV/0!</v>
      </c>
      <c r="O317" s="61" t="str">
        <f t="shared" si="14"/>
        <v>חיפה מפרץ</v>
      </c>
      <c r="P317" s="61" t="str">
        <f t="shared" si="15"/>
        <v>סכנין</v>
      </c>
    </row>
    <row r="318" spans="1:16" x14ac:dyDescent="0.3">
      <c r="A318" s="61">
        <v>13</v>
      </c>
      <c r="B318" s="61">
        <v>1</v>
      </c>
      <c r="C318" s="60"/>
      <c r="G318" s="62"/>
      <c r="I318" s="86" t="e">
        <f t="shared" si="16"/>
        <v>#DIV/0!</v>
      </c>
      <c r="J318" s="87" t="e">
        <f t="shared" si="16"/>
        <v>#DIV/0!</v>
      </c>
      <c r="K318" s="87" t="e">
        <f t="shared" si="16"/>
        <v>#DIV/0!</v>
      </c>
      <c r="L318" s="87" t="e">
        <f t="shared" si="16"/>
        <v>#DIV/0!</v>
      </c>
      <c r="M318" s="88" t="e">
        <f t="shared" si="16"/>
        <v>#DIV/0!</v>
      </c>
      <c r="O318" s="61" t="str">
        <f t="shared" si="14"/>
        <v>חיפה עיר תחתית</v>
      </c>
      <c r="P318" s="61" t="str">
        <f t="shared" si="15"/>
        <v>נהריה</v>
      </c>
    </row>
    <row r="319" spans="1:16" x14ac:dyDescent="0.3">
      <c r="A319" s="61">
        <v>13</v>
      </c>
      <c r="B319" s="61">
        <v>2</v>
      </c>
      <c r="C319" s="60"/>
      <c r="G319" s="62"/>
      <c r="I319" s="86" t="e">
        <f t="shared" si="16"/>
        <v>#DIV/0!</v>
      </c>
      <c r="J319" s="87" t="e">
        <f t="shared" si="16"/>
        <v>#DIV/0!</v>
      </c>
      <c r="K319" s="87" t="e">
        <f t="shared" si="16"/>
        <v>#DIV/0!</v>
      </c>
      <c r="L319" s="87" t="e">
        <f t="shared" si="16"/>
        <v>#DIV/0!</v>
      </c>
      <c r="M319" s="88" t="e">
        <f t="shared" si="16"/>
        <v>#DIV/0!</v>
      </c>
      <c r="O319" s="61" t="str">
        <f t="shared" si="14"/>
        <v>חיפה עיר תחתית</v>
      </c>
      <c r="P319" s="61" t="str">
        <f t="shared" si="15"/>
        <v>עכו</v>
      </c>
    </row>
    <row r="320" spans="1:16" x14ac:dyDescent="0.3">
      <c r="A320" s="61">
        <v>13</v>
      </c>
      <c r="B320" s="61">
        <v>3</v>
      </c>
      <c r="C320" s="60"/>
      <c r="G320" s="62"/>
      <c r="I320" s="86" t="e">
        <f t="shared" si="16"/>
        <v>#DIV/0!</v>
      </c>
      <c r="J320" s="87" t="e">
        <f t="shared" si="16"/>
        <v>#DIV/0!</v>
      </c>
      <c r="K320" s="87" t="e">
        <f t="shared" si="16"/>
        <v>#DIV/0!</v>
      </c>
      <c r="L320" s="87" t="e">
        <f t="shared" si="16"/>
        <v>#DIV/0!</v>
      </c>
      <c r="M320" s="88" t="e">
        <f t="shared" si="16"/>
        <v>#DIV/0!</v>
      </c>
      <c r="O320" s="61" t="str">
        <f t="shared" si="14"/>
        <v>חיפה עיר תחתית</v>
      </c>
      <c r="P320" s="61" t="str">
        <f t="shared" si="15"/>
        <v>כרמיאל</v>
      </c>
    </row>
    <row r="321" spans="1:16" x14ac:dyDescent="0.3">
      <c r="A321" s="61">
        <v>13</v>
      </c>
      <c r="B321" s="61">
        <v>4</v>
      </c>
      <c r="C321" s="60"/>
      <c r="G321" s="62"/>
      <c r="I321" s="86" t="e">
        <f t="shared" si="16"/>
        <v>#DIV/0!</v>
      </c>
      <c r="J321" s="87" t="e">
        <f t="shared" si="16"/>
        <v>#DIV/0!</v>
      </c>
      <c r="K321" s="87" t="e">
        <f t="shared" si="16"/>
        <v>#DIV/0!</v>
      </c>
      <c r="L321" s="87" t="e">
        <f t="shared" si="16"/>
        <v>#DIV/0!</v>
      </c>
      <c r="M321" s="88" t="e">
        <f t="shared" si="16"/>
        <v>#DIV/0!</v>
      </c>
      <c r="O321" s="61" t="str">
        <f t="shared" si="14"/>
        <v>חיפה עיר תחתית</v>
      </c>
      <c r="P321" s="61" t="str">
        <f t="shared" si="15"/>
        <v>שפרעם</v>
      </c>
    </row>
    <row r="322" spans="1:16" x14ac:dyDescent="0.3">
      <c r="A322" s="61">
        <v>13</v>
      </c>
      <c r="B322" s="61">
        <v>5</v>
      </c>
      <c r="C322" s="60"/>
      <c r="G322" s="62"/>
      <c r="I322" s="86" t="e">
        <f t="shared" si="16"/>
        <v>#DIV/0!</v>
      </c>
      <c r="J322" s="87" t="e">
        <f t="shared" si="16"/>
        <v>#DIV/0!</v>
      </c>
      <c r="K322" s="87" t="e">
        <f t="shared" si="16"/>
        <v>#DIV/0!</v>
      </c>
      <c r="L322" s="87" t="e">
        <f t="shared" si="16"/>
        <v>#DIV/0!</v>
      </c>
      <c r="M322" s="88" t="e">
        <f t="shared" si="16"/>
        <v>#DIV/0!</v>
      </c>
      <c r="O322" s="61" t="str">
        <f t="shared" si="14"/>
        <v>חיפה עיר תחתית</v>
      </c>
      <c r="P322" s="61" t="str">
        <f t="shared" si="15"/>
        <v>קרית ים</v>
      </c>
    </row>
    <row r="323" spans="1:16" x14ac:dyDescent="0.3">
      <c r="A323" s="61">
        <v>13</v>
      </c>
      <c r="B323" s="61">
        <v>6</v>
      </c>
      <c r="C323" s="60"/>
      <c r="G323" s="62"/>
      <c r="I323" s="86" t="e">
        <f t="shared" si="16"/>
        <v>#DIV/0!</v>
      </c>
      <c r="J323" s="87" t="e">
        <f t="shared" si="16"/>
        <v>#DIV/0!</v>
      </c>
      <c r="K323" s="87" t="e">
        <f t="shared" si="16"/>
        <v>#DIV/0!</v>
      </c>
      <c r="L323" s="87" t="e">
        <f t="shared" si="16"/>
        <v>#DIV/0!</v>
      </c>
      <c r="M323" s="88" t="e">
        <f t="shared" si="16"/>
        <v>#DIV/0!</v>
      </c>
      <c r="O323" s="61" t="str">
        <f t="shared" si="14"/>
        <v>חיפה עיר תחתית</v>
      </c>
      <c r="P323" s="61" t="str">
        <f t="shared" si="15"/>
        <v>קרית מוצקין</v>
      </c>
    </row>
    <row r="324" spans="1:16" x14ac:dyDescent="0.3">
      <c r="A324" s="61">
        <v>13</v>
      </c>
      <c r="B324" s="61">
        <v>7</v>
      </c>
      <c r="C324" s="60"/>
      <c r="G324" s="62"/>
      <c r="I324" s="86" t="e">
        <f t="shared" si="16"/>
        <v>#DIV/0!</v>
      </c>
      <c r="J324" s="87" t="e">
        <f t="shared" si="16"/>
        <v>#DIV/0!</v>
      </c>
      <c r="K324" s="87" t="e">
        <f t="shared" si="16"/>
        <v>#DIV/0!</v>
      </c>
      <c r="L324" s="87" t="e">
        <f t="shared" si="16"/>
        <v>#DIV/0!</v>
      </c>
      <c r="M324" s="88" t="e">
        <f t="shared" si="16"/>
        <v>#DIV/0!</v>
      </c>
      <c r="O324" s="61" t="str">
        <f t="shared" si="14"/>
        <v>חיפה עיר תחתית</v>
      </c>
      <c r="P324" s="61" t="str">
        <f t="shared" si="15"/>
        <v>קרית ביאליק</v>
      </c>
    </row>
    <row r="325" spans="1:16" x14ac:dyDescent="0.3">
      <c r="A325" s="61">
        <v>13</v>
      </c>
      <c r="B325" s="61">
        <v>8</v>
      </c>
      <c r="C325" s="60"/>
      <c r="G325" s="62"/>
      <c r="I325" s="86" t="e">
        <f t="shared" ref="I325:M375" si="17">C325/SUM($C325:$G325)</f>
        <v>#DIV/0!</v>
      </c>
      <c r="J325" s="87" t="e">
        <f t="shared" si="17"/>
        <v>#DIV/0!</v>
      </c>
      <c r="K325" s="87" t="e">
        <f t="shared" si="17"/>
        <v>#DIV/0!</v>
      </c>
      <c r="L325" s="87" t="e">
        <f t="shared" si="17"/>
        <v>#DIV/0!</v>
      </c>
      <c r="M325" s="88" t="e">
        <f t="shared" si="17"/>
        <v>#DIV/0!</v>
      </c>
      <c r="O325" s="61" t="str">
        <f t="shared" si="14"/>
        <v>חיפה עיר תחתית</v>
      </c>
      <c r="P325" s="61" t="str">
        <f t="shared" si="15"/>
        <v>קרית חיים</v>
      </c>
    </row>
    <row r="326" spans="1:16" x14ac:dyDescent="0.3">
      <c r="A326" s="61">
        <v>13</v>
      </c>
      <c r="B326" s="61">
        <v>9</v>
      </c>
      <c r="C326" s="60"/>
      <c r="G326" s="62"/>
      <c r="I326" s="86" t="e">
        <f t="shared" si="17"/>
        <v>#DIV/0!</v>
      </c>
      <c r="J326" s="87" t="e">
        <f t="shared" si="17"/>
        <v>#DIV/0!</v>
      </c>
      <c r="K326" s="87" t="e">
        <f t="shared" si="17"/>
        <v>#DIV/0!</v>
      </c>
      <c r="L326" s="87" t="e">
        <f t="shared" si="17"/>
        <v>#DIV/0!</v>
      </c>
      <c r="M326" s="88" t="e">
        <f t="shared" si="17"/>
        <v>#DIV/0!</v>
      </c>
      <c r="O326" s="61" t="str">
        <f t="shared" ref="O326:O389" si="18">VLOOKUP(A326,$S$6:$T$31,2,0)</f>
        <v>חיפה עיר תחתית</v>
      </c>
      <c r="P326" s="61" t="str">
        <f t="shared" ref="P326:P389" si="19">VLOOKUP(B326,$S$6:$T$31,2,0)</f>
        <v>קרית אתא</v>
      </c>
    </row>
    <row r="327" spans="1:16" x14ac:dyDescent="0.3">
      <c r="A327" s="61">
        <v>13</v>
      </c>
      <c r="B327" s="61">
        <v>10</v>
      </c>
      <c r="C327" s="60"/>
      <c r="G327" s="62"/>
      <c r="I327" s="86" t="e">
        <f t="shared" si="17"/>
        <v>#DIV/0!</v>
      </c>
      <c r="J327" s="87" t="e">
        <f t="shared" si="17"/>
        <v>#DIV/0!</v>
      </c>
      <c r="K327" s="87" t="e">
        <f t="shared" si="17"/>
        <v>#DIV/0!</v>
      </c>
      <c r="L327" s="87" t="e">
        <f t="shared" si="17"/>
        <v>#DIV/0!</v>
      </c>
      <c r="M327" s="88" t="e">
        <f t="shared" si="17"/>
        <v>#DIV/0!</v>
      </c>
      <c r="O327" s="61" t="str">
        <f t="shared" si="18"/>
        <v>חיפה עיר תחתית</v>
      </c>
      <c r="P327" s="61" t="str">
        <f t="shared" si="19"/>
        <v>כפר מנדא</v>
      </c>
    </row>
    <row r="328" spans="1:16" x14ac:dyDescent="0.3">
      <c r="A328" s="61">
        <v>13</v>
      </c>
      <c r="B328" s="61">
        <v>11</v>
      </c>
      <c r="C328" s="60"/>
      <c r="G328" s="62"/>
      <c r="I328" s="86" t="e">
        <f t="shared" si="17"/>
        <v>#DIV/0!</v>
      </c>
      <c r="J328" s="87" t="e">
        <f t="shared" si="17"/>
        <v>#DIV/0!</v>
      </c>
      <c r="K328" s="87" t="e">
        <f t="shared" si="17"/>
        <v>#DIV/0!</v>
      </c>
      <c r="L328" s="87" t="e">
        <f t="shared" si="17"/>
        <v>#DIV/0!</v>
      </c>
      <c r="M328" s="88" t="e">
        <f t="shared" si="17"/>
        <v>#DIV/0!</v>
      </c>
      <c r="O328" s="61" t="str">
        <f t="shared" si="18"/>
        <v>חיפה עיר תחתית</v>
      </c>
      <c r="P328" s="61" t="str">
        <f t="shared" si="19"/>
        <v>זבולון</v>
      </c>
    </row>
    <row r="329" spans="1:16" x14ac:dyDescent="0.3">
      <c r="A329" s="61">
        <v>13</v>
      </c>
      <c r="B329" s="61">
        <v>12</v>
      </c>
      <c r="C329" s="60"/>
      <c r="G329" s="62"/>
      <c r="I329" s="86" t="e">
        <f t="shared" si="17"/>
        <v>#DIV/0!</v>
      </c>
      <c r="J329" s="87" t="e">
        <f t="shared" si="17"/>
        <v>#DIV/0!</v>
      </c>
      <c r="K329" s="87" t="e">
        <f t="shared" si="17"/>
        <v>#DIV/0!</v>
      </c>
      <c r="L329" s="87" t="e">
        <f t="shared" si="17"/>
        <v>#DIV/0!</v>
      </c>
      <c r="M329" s="88" t="e">
        <f t="shared" si="17"/>
        <v>#DIV/0!</v>
      </c>
      <c r="O329" s="61" t="str">
        <f t="shared" si="18"/>
        <v>חיפה עיר תחתית</v>
      </c>
      <c r="P329" s="61" t="str">
        <f t="shared" si="19"/>
        <v>חיפה מפרץ</v>
      </c>
    </row>
    <row r="330" spans="1:16" x14ac:dyDescent="0.3">
      <c r="A330" s="61">
        <v>13</v>
      </c>
      <c r="B330" s="61">
        <v>13</v>
      </c>
      <c r="C330" s="60"/>
      <c r="G330" s="62"/>
      <c r="I330" s="86" t="e">
        <f t="shared" si="17"/>
        <v>#DIV/0!</v>
      </c>
      <c r="J330" s="87" t="e">
        <f t="shared" si="17"/>
        <v>#DIV/0!</v>
      </c>
      <c r="K330" s="87" t="e">
        <f t="shared" si="17"/>
        <v>#DIV/0!</v>
      </c>
      <c r="L330" s="87" t="e">
        <f t="shared" si="17"/>
        <v>#DIV/0!</v>
      </c>
      <c r="M330" s="88" t="e">
        <f t="shared" si="17"/>
        <v>#DIV/0!</v>
      </c>
      <c r="O330" s="61" t="str">
        <f t="shared" si="18"/>
        <v>חיפה עיר תחתית</v>
      </c>
      <c r="P330" s="61" t="str">
        <f t="shared" si="19"/>
        <v>חיפה עיר תחתית</v>
      </c>
    </row>
    <row r="331" spans="1:16" x14ac:dyDescent="0.3">
      <c r="A331" s="61">
        <v>13</v>
      </c>
      <c r="B331" s="61">
        <v>14</v>
      </c>
      <c r="C331" s="60"/>
      <c r="G331" s="62"/>
      <c r="I331" s="86" t="e">
        <f t="shared" si="17"/>
        <v>#DIV/0!</v>
      </c>
      <c r="J331" s="87" t="e">
        <f t="shared" si="17"/>
        <v>#DIV/0!</v>
      </c>
      <c r="K331" s="87" t="e">
        <f t="shared" si="17"/>
        <v>#DIV/0!</v>
      </c>
      <c r="L331" s="87" t="e">
        <f t="shared" si="17"/>
        <v>#DIV/0!</v>
      </c>
      <c r="M331" s="88" t="e">
        <f t="shared" si="17"/>
        <v>#DIV/0!</v>
      </c>
      <c r="O331" s="61" t="str">
        <f t="shared" si="18"/>
        <v>חיפה עיר תחתית</v>
      </c>
      <c r="P331" s="61" t="str">
        <f t="shared" si="19"/>
        <v>חיפה הדר-כרמל</v>
      </c>
    </row>
    <row r="332" spans="1:16" x14ac:dyDescent="0.3">
      <c r="A332" s="61">
        <v>13</v>
      </c>
      <c r="B332" s="61">
        <v>15</v>
      </c>
      <c r="C332" s="60"/>
      <c r="G332" s="62"/>
      <c r="I332" s="86" t="e">
        <f t="shared" si="17"/>
        <v>#DIV/0!</v>
      </c>
      <c r="J332" s="87" t="e">
        <f t="shared" si="17"/>
        <v>#DIV/0!</v>
      </c>
      <c r="K332" s="87" t="e">
        <f t="shared" si="17"/>
        <v>#DIV/0!</v>
      </c>
      <c r="L332" s="87" t="e">
        <f t="shared" si="17"/>
        <v>#DIV/0!</v>
      </c>
      <c r="M332" s="88" t="e">
        <f t="shared" si="17"/>
        <v>#DIV/0!</v>
      </c>
      <c r="O332" s="61" t="str">
        <f t="shared" si="18"/>
        <v>חיפה עיר תחתית</v>
      </c>
      <c r="P332" s="61" t="str">
        <f t="shared" si="19"/>
        <v>חיפה מערב</v>
      </c>
    </row>
    <row r="333" spans="1:16" x14ac:dyDescent="0.3">
      <c r="A333" s="61">
        <v>13</v>
      </c>
      <c r="B333" s="61">
        <v>16</v>
      </c>
      <c r="C333" s="60"/>
      <c r="G333" s="62"/>
      <c r="I333" s="86" t="e">
        <f t="shared" si="17"/>
        <v>#DIV/0!</v>
      </c>
      <c r="J333" s="87" t="e">
        <f t="shared" si="17"/>
        <v>#DIV/0!</v>
      </c>
      <c r="K333" s="87" t="e">
        <f t="shared" si="17"/>
        <v>#DIV/0!</v>
      </c>
      <c r="L333" s="87" t="e">
        <f t="shared" si="17"/>
        <v>#DIV/0!</v>
      </c>
      <c r="M333" s="88" t="e">
        <f t="shared" si="17"/>
        <v>#DIV/0!</v>
      </c>
      <c r="O333" s="61" t="str">
        <f t="shared" si="18"/>
        <v>חיפה עיר תחתית</v>
      </c>
      <c r="P333" s="61" t="str">
        <f t="shared" si="19"/>
        <v>חיפה כרמל</v>
      </c>
    </row>
    <row r="334" spans="1:16" x14ac:dyDescent="0.3">
      <c r="A334" s="61">
        <v>13</v>
      </c>
      <c r="B334" s="61">
        <v>17</v>
      </c>
      <c r="C334" s="60"/>
      <c r="G334" s="62"/>
      <c r="I334" s="86" t="e">
        <f t="shared" si="17"/>
        <v>#DIV/0!</v>
      </c>
      <c r="J334" s="87" t="e">
        <f t="shared" si="17"/>
        <v>#DIV/0!</v>
      </c>
      <c r="K334" s="87" t="e">
        <f t="shared" si="17"/>
        <v>#DIV/0!</v>
      </c>
      <c r="L334" s="87" t="e">
        <f t="shared" si="17"/>
        <v>#DIV/0!</v>
      </c>
      <c r="M334" s="88" t="e">
        <f t="shared" si="17"/>
        <v>#DIV/0!</v>
      </c>
      <c r="O334" s="61" t="str">
        <f t="shared" si="18"/>
        <v>חיפה עיר תחתית</v>
      </c>
      <c r="P334" s="61" t="str">
        <f t="shared" si="19"/>
        <v>חיפה נווה שאנן</v>
      </c>
    </row>
    <row r="335" spans="1:16" x14ac:dyDescent="0.3">
      <c r="A335" s="61">
        <v>13</v>
      </c>
      <c r="B335" s="61">
        <v>18</v>
      </c>
      <c r="C335" s="60"/>
      <c r="G335" s="62"/>
      <c r="I335" s="86" t="e">
        <f t="shared" si="17"/>
        <v>#DIV/0!</v>
      </c>
      <c r="J335" s="87" t="e">
        <f t="shared" si="17"/>
        <v>#DIV/0!</v>
      </c>
      <c r="K335" s="87" t="e">
        <f t="shared" si="17"/>
        <v>#DIV/0!</v>
      </c>
      <c r="L335" s="87" t="e">
        <f t="shared" si="17"/>
        <v>#DIV/0!</v>
      </c>
      <c r="M335" s="88" t="e">
        <f t="shared" si="17"/>
        <v>#DIV/0!</v>
      </c>
      <c r="O335" s="61" t="str">
        <f t="shared" si="18"/>
        <v>חיפה עיר תחתית</v>
      </c>
      <c r="P335" s="61" t="str">
        <f t="shared" si="19"/>
        <v>נשר</v>
      </c>
    </row>
    <row r="336" spans="1:16" x14ac:dyDescent="0.3">
      <c r="A336" s="61">
        <v>13</v>
      </c>
      <c r="B336" s="61">
        <v>19</v>
      </c>
      <c r="C336" s="60"/>
      <c r="G336" s="62"/>
      <c r="I336" s="86" t="e">
        <f t="shared" si="17"/>
        <v>#DIV/0!</v>
      </c>
      <c r="J336" s="87" t="e">
        <f t="shared" si="17"/>
        <v>#DIV/0!</v>
      </c>
      <c r="K336" s="87" t="e">
        <f t="shared" si="17"/>
        <v>#DIV/0!</v>
      </c>
      <c r="L336" s="87" t="e">
        <f t="shared" si="17"/>
        <v>#DIV/0!</v>
      </c>
      <c r="M336" s="88" t="e">
        <f t="shared" si="17"/>
        <v>#DIV/0!</v>
      </c>
      <c r="O336" s="61" t="str">
        <f t="shared" si="18"/>
        <v>חיפה עיר תחתית</v>
      </c>
      <c r="P336" s="61" t="str">
        <f t="shared" si="19"/>
        <v>נצרת</v>
      </c>
    </row>
    <row r="337" spans="1:16" x14ac:dyDescent="0.3">
      <c r="A337" s="61">
        <v>13</v>
      </c>
      <c r="B337" s="61">
        <v>20</v>
      </c>
      <c r="C337" s="60"/>
      <c r="G337" s="62"/>
      <c r="I337" s="86" t="e">
        <f t="shared" si="17"/>
        <v>#DIV/0!</v>
      </c>
      <c r="J337" s="87" t="e">
        <f t="shared" si="17"/>
        <v>#DIV/0!</v>
      </c>
      <c r="K337" s="87" t="e">
        <f t="shared" si="17"/>
        <v>#DIV/0!</v>
      </c>
      <c r="L337" s="87" t="e">
        <f t="shared" si="17"/>
        <v>#DIV/0!</v>
      </c>
      <c r="M337" s="88" t="e">
        <f t="shared" si="17"/>
        <v>#DIV/0!</v>
      </c>
      <c r="O337" s="61" t="str">
        <f t="shared" si="18"/>
        <v>חיפה עיר תחתית</v>
      </c>
      <c r="P337" s="61" t="str">
        <f t="shared" si="19"/>
        <v>נצרת-עילית</v>
      </c>
    </row>
    <row r="338" spans="1:16" x14ac:dyDescent="0.3">
      <c r="A338" s="61">
        <v>13</v>
      </c>
      <c r="B338" s="61">
        <v>21</v>
      </c>
      <c r="C338" s="60"/>
      <c r="G338" s="62"/>
      <c r="I338" s="86" t="e">
        <f t="shared" si="17"/>
        <v>#DIV/0!</v>
      </c>
      <c r="J338" s="87" t="e">
        <f t="shared" si="17"/>
        <v>#DIV/0!</v>
      </c>
      <c r="K338" s="87" t="e">
        <f t="shared" si="17"/>
        <v>#DIV/0!</v>
      </c>
      <c r="L338" s="87" t="e">
        <f t="shared" si="17"/>
        <v>#DIV/0!</v>
      </c>
      <c r="M338" s="88" t="e">
        <f t="shared" si="17"/>
        <v>#DIV/0!</v>
      </c>
      <c r="O338" s="61" t="str">
        <f t="shared" si="18"/>
        <v>חיפה עיר תחתית</v>
      </c>
      <c r="P338" s="61" t="str">
        <f t="shared" si="19"/>
        <v>מגדל העמק</v>
      </c>
    </row>
    <row r="339" spans="1:16" x14ac:dyDescent="0.3">
      <c r="A339" s="61">
        <v>13</v>
      </c>
      <c r="B339" s="61">
        <v>22</v>
      </c>
      <c r="C339" s="60"/>
      <c r="G339" s="62"/>
      <c r="I339" s="86" t="e">
        <f t="shared" si="17"/>
        <v>#DIV/0!</v>
      </c>
      <c r="J339" s="87" t="e">
        <f t="shared" si="17"/>
        <v>#DIV/0!</v>
      </c>
      <c r="K339" s="87" t="e">
        <f t="shared" si="17"/>
        <v>#DIV/0!</v>
      </c>
      <c r="L339" s="87" t="e">
        <f t="shared" si="17"/>
        <v>#DIV/0!</v>
      </c>
      <c r="M339" s="88" t="e">
        <f t="shared" si="17"/>
        <v>#DIV/0!</v>
      </c>
      <c r="O339" s="61" t="str">
        <f t="shared" si="18"/>
        <v>חיפה עיר תחתית</v>
      </c>
      <c r="P339" s="61" t="str">
        <f t="shared" si="19"/>
        <v>יוקנעם</v>
      </c>
    </row>
    <row r="340" spans="1:16" x14ac:dyDescent="0.3">
      <c r="A340" s="61">
        <v>13</v>
      </c>
      <c r="B340" s="61">
        <v>23</v>
      </c>
      <c r="C340" s="60"/>
      <c r="G340" s="62"/>
      <c r="I340" s="86" t="e">
        <f t="shared" si="17"/>
        <v>#DIV/0!</v>
      </c>
      <c r="J340" s="87" t="e">
        <f t="shared" si="17"/>
        <v>#DIV/0!</v>
      </c>
      <c r="K340" s="87" t="e">
        <f t="shared" si="17"/>
        <v>#DIV/0!</v>
      </c>
      <c r="L340" s="87" t="e">
        <f t="shared" si="17"/>
        <v>#DIV/0!</v>
      </c>
      <c r="M340" s="88" t="e">
        <f t="shared" si="17"/>
        <v>#DIV/0!</v>
      </c>
      <c r="O340" s="61" t="str">
        <f t="shared" si="18"/>
        <v>חיפה עיר תחתית</v>
      </c>
      <c r="P340" s="61" t="str">
        <f t="shared" si="19"/>
        <v>דלית אל כרמל</v>
      </c>
    </row>
    <row r="341" spans="1:16" x14ac:dyDescent="0.3">
      <c r="A341" s="61">
        <v>13</v>
      </c>
      <c r="B341" s="61">
        <v>24</v>
      </c>
      <c r="C341" s="60"/>
      <c r="G341" s="62"/>
      <c r="I341" s="86" t="e">
        <f t="shared" si="17"/>
        <v>#DIV/0!</v>
      </c>
      <c r="J341" s="87" t="e">
        <f t="shared" si="17"/>
        <v>#DIV/0!</v>
      </c>
      <c r="K341" s="87" t="e">
        <f t="shared" si="17"/>
        <v>#DIV/0!</v>
      </c>
      <c r="L341" s="87" t="e">
        <f t="shared" si="17"/>
        <v>#DIV/0!</v>
      </c>
      <c r="M341" s="88" t="e">
        <f t="shared" si="17"/>
        <v>#DIV/0!</v>
      </c>
      <c r="O341" s="61" t="str">
        <f t="shared" si="18"/>
        <v>חיפה עיר תחתית</v>
      </c>
      <c r="P341" s="61" t="str">
        <f t="shared" si="19"/>
        <v>חוף הכרמל</v>
      </c>
    </row>
    <row r="342" spans="1:16" x14ac:dyDescent="0.3">
      <c r="A342" s="61">
        <v>13</v>
      </c>
      <c r="B342" s="61">
        <v>25</v>
      </c>
      <c r="C342" s="60"/>
      <c r="G342" s="62"/>
      <c r="I342" s="86" t="e">
        <f t="shared" si="17"/>
        <v>#DIV/0!</v>
      </c>
      <c r="J342" s="87" t="e">
        <f t="shared" si="17"/>
        <v>#DIV/0!</v>
      </c>
      <c r="K342" s="87" t="e">
        <f t="shared" si="17"/>
        <v>#DIV/0!</v>
      </c>
      <c r="L342" s="87" t="e">
        <f t="shared" si="17"/>
        <v>#DIV/0!</v>
      </c>
      <c r="M342" s="88" t="e">
        <f t="shared" si="17"/>
        <v>#DIV/0!</v>
      </c>
      <c r="O342" s="61" t="str">
        <f t="shared" si="18"/>
        <v>חיפה עיר תחתית</v>
      </c>
      <c r="P342" s="61" t="str">
        <f t="shared" si="19"/>
        <v>זכרון יעקב</v>
      </c>
    </row>
    <row r="343" spans="1:16" x14ac:dyDescent="0.3">
      <c r="A343" s="61">
        <v>13</v>
      </c>
      <c r="B343" s="61">
        <v>30</v>
      </c>
      <c r="C343" s="60"/>
      <c r="G343" s="62"/>
      <c r="I343" s="86" t="e">
        <f t="shared" si="17"/>
        <v>#DIV/0!</v>
      </c>
      <c r="J343" s="87" t="e">
        <f t="shared" si="17"/>
        <v>#DIV/0!</v>
      </c>
      <c r="K343" s="87" t="e">
        <f t="shared" si="17"/>
        <v>#DIV/0!</v>
      </c>
      <c r="L343" s="87" t="e">
        <f t="shared" si="17"/>
        <v>#DIV/0!</v>
      </c>
      <c r="M343" s="88" t="e">
        <f t="shared" si="17"/>
        <v>#DIV/0!</v>
      </c>
      <c r="O343" s="61" t="str">
        <f t="shared" si="18"/>
        <v>חיפה עיר תחתית</v>
      </c>
      <c r="P343" s="61" t="str">
        <f t="shared" si="19"/>
        <v>סכנין</v>
      </c>
    </row>
    <row r="344" spans="1:16" x14ac:dyDescent="0.3">
      <c r="A344" s="61">
        <v>14</v>
      </c>
      <c r="B344" s="61">
        <v>1</v>
      </c>
      <c r="C344" s="60"/>
      <c r="G344" s="62"/>
      <c r="I344" s="86" t="e">
        <f t="shared" si="17"/>
        <v>#DIV/0!</v>
      </c>
      <c r="J344" s="87" t="e">
        <f t="shared" si="17"/>
        <v>#DIV/0!</v>
      </c>
      <c r="K344" s="87" t="e">
        <f t="shared" si="17"/>
        <v>#DIV/0!</v>
      </c>
      <c r="L344" s="87" t="e">
        <f t="shared" si="17"/>
        <v>#DIV/0!</v>
      </c>
      <c r="M344" s="88" t="e">
        <f t="shared" si="17"/>
        <v>#DIV/0!</v>
      </c>
      <c r="O344" s="61" t="str">
        <f t="shared" si="18"/>
        <v>חיפה הדר-כרמל</v>
      </c>
      <c r="P344" s="61" t="str">
        <f t="shared" si="19"/>
        <v>נהריה</v>
      </c>
    </row>
    <row r="345" spans="1:16" x14ac:dyDescent="0.3">
      <c r="A345" s="61">
        <v>14</v>
      </c>
      <c r="B345" s="61">
        <v>2</v>
      </c>
      <c r="C345" s="60"/>
      <c r="G345" s="62"/>
      <c r="I345" s="86" t="e">
        <f t="shared" si="17"/>
        <v>#DIV/0!</v>
      </c>
      <c r="J345" s="87" t="e">
        <f t="shared" si="17"/>
        <v>#DIV/0!</v>
      </c>
      <c r="K345" s="87" t="e">
        <f t="shared" si="17"/>
        <v>#DIV/0!</v>
      </c>
      <c r="L345" s="87" t="e">
        <f t="shared" si="17"/>
        <v>#DIV/0!</v>
      </c>
      <c r="M345" s="88" t="e">
        <f t="shared" si="17"/>
        <v>#DIV/0!</v>
      </c>
      <c r="O345" s="61" t="str">
        <f t="shared" si="18"/>
        <v>חיפה הדר-כרמל</v>
      </c>
      <c r="P345" s="61" t="str">
        <f t="shared" si="19"/>
        <v>עכו</v>
      </c>
    </row>
    <row r="346" spans="1:16" x14ac:dyDescent="0.3">
      <c r="A346" s="61">
        <v>14</v>
      </c>
      <c r="B346" s="61">
        <v>3</v>
      </c>
      <c r="C346" s="60"/>
      <c r="G346" s="62"/>
      <c r="I346" s="86" t="e">
        <f t="shared" si="17"/>
        <v>#DIV/0!</v>
      </c>
      <c r="J346" s="87" t="e">
        <f t="shared" si="17"/>
        <v>#DIV/0!</v>
      </c>
      <c r="K346" s="87" t="e">
        <f t="shared" si="17"/>
        <v>#DIV/0!</v>
      </c>
      <c r="L346" s="87" t="e">
        <f t="shared" si="17"/>
        <v>#DIV/0!</v>
      </c>
      <c r="M346" s="88" t="e">
        <f t="shared" si="17"/>
        <v>#DIV/0!</v>
      </c>
      <c r="O346" s="61" t="str">
        <f t="shared" si="18"/>
        <v>חיפה הדר-כרמל</v>
      </c>
      <c r="P346" s="61" t="str">
        <f t="shared" si="19"/>
        <v>כרמיאל</v>
      </c>
    </row>
    <row r="347" spans="1:16" x14ac:dyDescent="0.3">
      <c r="A347" s="61">
        <v>14</v>
      </c>
      <c r="B347" s="61">
        <v>4</v>
      </c>
      <c r="C347" s="60"/>
      <c r="G347" s="62"/>
      <c r="I347" s="86" t="e">
        <f t="shared" si="17"/>
        <v>#DIV/0!</v>
      </c>
      <c r="J347" s="87" t="e">
        <f t="shared" si="17"/>
        <v>#DIV/0!</v>
      </c>
      <c r="K347" s="87" t="e">
        <f t="shared" si="17"/>
        <v>#DIV/0!</v>
      </c>
      <c r="L347" s="87" t="e">
        <f t="shared" si="17"/>
        <v>#DIV/0!</v>
      </c>
      <c r="M347" s="88" t="e">
        <f t="shared" si="17"/>
        <v>#DIV/0!</v>
      </c>
      <c r="O347" s="61" t="str">
        <f t="shared" si="18"/>
        <v>חיפה הדר-כרמל</v>
      </c>
      <c r="P347" s="61" t="str">
        <f t="shared" si="19"/>
        <v>שפרעם</v>
      </c>
    </row>
    <row r="348" spans="1:16" x14ac:dyDescent="0.3">
      <c r="A348" s="61">
        <v>14</v>
      </c>
      <c r="B348" s="61">
        <v>5</v>
      </c>
      <c r="C348" s="60"/>
      <c r="G348" s="62"/>
      <c r="I348" s="86" t="e">
        <f t="shared" si="17"/>
        <v>#DIV/0!</v>
      </c>
      <c r="J348" s="87" t="e">
        <f t="shared" si="17"/>
        <v>#DIV/0!</v>
      </c>
      <c r="K348" s="87" t="e">
        <f t="shared" si="17"/>
        <v>#DIV/0!</v>
      </c>
      <c r="L348" s="87" t="e">
        <f t="shared" si="17"/>
        <v>#DIV/0!</v>
      </c>
      <c r="M348" s="88" t="e">
        <f t="shared" si="17"/>
        <v>#DIV/0!</v>
      </c>
      <c r="O348" s="61" t="str">
        <f t="shared" si="18"/>
        <v>חיפה הדר-כרמל</v>
      </c>
      <c r="P348" s="61" t="str">
        <f t="shared" si="19"/>
        <v>קרית ים</v>
      </c>
    </row>
    <row r="349" spans="1:16" x14ac:dyDescent="0.3">
      <c r="A349" s="61">
        <v>14</v>
      </c>
      <c r="B349" s="61">
        <v>6</v>
      </c>
      <c r="C349" s="60"/>
      <c r="G349" s="62"/>
      <c r="I349" s="86" t="e">
        <f t="shared" si="17"/>
        <v>#DIV/0!</v>
      </c>
      <c r="J349" s="87" t="e">
        <f t="shared" si="17"/>
        <v>#DIV/0!</v>
      </c>
      <c r="K349" s="87" t="e">
        <f t="shared" si="17"/>
        <v>#DIV/0!</v>
      </c>
      <c r="L349" s="87" t="e">
        <f t="shared" si="17"/>
        <v>#DIV/0!</v>
      </c>
      <c r="M349" s="88" t="e">
        <f t="shared" si="17"/>
        <v>#DIV/0!</v>
      </c>
      <c r="O349" s="61" t="str">
        <f t="shared" si="18"/>
        <v>חיפה הדר-כרמל</v>
      </c>
      <c r="P349" s="61" t="str">
        <f t="shared" si="19"/>
        <v>קרית מוצקין</v>
      </c>
    </row>
    <row r="350" spans="1:16" x14ac:dyDescent="0.3">
      <c r="A350" s="61">
        <v>14</v>
      </c>
      <c r="B350" s="61">
        <v>7</v>
      </c>
      <c r="C350" s="60"/>
      <c r="G350" s="62"/>
      <c r="I350" s="86" t="e">
        <f t="shared" si="17"/>
        <v>#DIV/0!</v>
      </c>
      <c r="J350" s="87" t="e">
        <f t="shared" si="17"/>
        <v>#DIV/0!</v>
      </c>
      <c r="K350" s="87" t="e">
        <f t="shared" si="17"/>
        <v>#DIV/0!</v>
      </c>
      <c r="L350" s="87" t="e">
        <f t="shared" si="17"/>
        <v>#DIV/0!</v>
      </c>
      <c r="M350" s="88" t="e">
        <f t="shared" si="17"/>
        <v>#DIV/0!</v>
      </c>
      <c r="O350" s="61" t="str">
        <f t="shared" si="18"/>
        <v>חיפה הדר-כרמל</v>
      </c>
      <c r="P350" s="61" t="str">
        <f t="shared" si="19"/>
        <v>קרית ביאליק</v>
      </c>
    </row>
    <row r="351" spans="1:16" x14ac:dyDescent="0.3">
      <c r="A351" s="61">
        <v>14</v>
      </c>
      <c r="B351" s="61">
        <v>8</v>
      </c>
      <c r="C351" s="60"/>
      <c r="G351" s="62"/>
      <c r="I351" s="86" t="e">
        <f t="shared" si="17"/>
        <v>#DIV/0!</v>
      </c>
      <c r="J351" s="87" t="e">
        <f t="shared" si="17"/>
        <v>#DIV/0!</v>
      </c>
      <c r="K351" s="87" t="e">
        <f t="shared" si="17"/>
        <v>#DIV/0!</v>
      </c>
      <c r="L351" s="87" t="e">
        <f t="shared" si="17"/>
        <v>#DIV/0!</v>
      </c>
      <c r="M351" s="88" t="e">
        <f t="shared" si="17"/>
        <v>#DIV/0!</v>
      </c>
      <c r="O351" s="61" t="str">
        <f t="shared" si="18"/>
        <v>חיפה הדר-כרמל</v>
      </c>
      <c r="P351" s="61" t="str">
        <f t="shared" si="19"/>
        <v>קרית חיים</v>
      </c>
    </row>
    <row r="352" spans="1:16" x14ac:dyDescent="0.3">
      <c r="A352" s="61">
        <v>14</v>
      </c>
      <c r="B352" s="61">
        <v>9</v>
      </c>
      <c r="C352" s="60"/>
      <c r="G352" s="62"/>
      <c r="I352" s="86" t="e">
        <f t="shared" si="17"/>
        <v>#DIV/0!</v>
      </c>
      <c r="J352" s="87" t="e">
        <f t="shared" si="17"/>
        <v>#DIV/0!</v>
      </c>
      <c r="K352" s="87" t="e">
        <f t="shared" si="17"/>
        <v>#DIV/0!</v>
      </c>
      <c r="L352" s="87" t="e">
        <f t="shared" si="17"/>
        <v>#DIV/0!</v>
      </c>
      <c r="M352" s="88" t="e">
        <f t="shared" si="17"/>
        <v>#DIV/0!</v>
      </c>
      <c r="O352" s="61" t="str">
        <f t="shared" si="18"/>
        <v>חיפה הדר-כרמל</v>
      </c>
      <c r="P352" s="61" t="str">
        <f t="shared" si="19"/>
        <v>קרית אתא</v>
      </c>
    </row>
    <row r="353" spans="1:16" x14ac:dyDescent="0.3">
      <c r="A353" s="61">
        <v>14</v>
      </c>
      <c r="B353" s="61">
        <v>10</v>
      </c>
      <c r="C353" s="60"/>
      <c r="G353" s="62"/>
      <c r="I353" s="86" t="e">
        <f t="shared" si="17"/>
        <v>#DIV/0!</v>
      </c>
      <c r="J353" s="87" t="e">
        <f t="shared" si="17"/>
        <v>#DIV/0!</v>
      </c>
      <c r="K353" s="87" t="e">
        <f t="shared" si="17"/>
        <v>#DIV/0!</v>
      </c>
      <c r="L353" s="87" t="e">
        <f t="shared" si="17"/>
        <v>#DIV/0!</v>
      </c>
      <c r="M353" s="88" t="e">
        <f t="shared" si="17"/>
        <v>#DIV/0!</v>
      </c>
      <c r="O353" s="61" t="str">
        <f t="shared" si="18"/>
        <v>חיפה הדר-כרמל</v>
      </c>
      <c r="P353" s="61" t="str">
        <f t="shared" si="19"/>
        <v>כפר מנדא</v>
      </c>
    </row>
    <row r="354" spans="1:16" x14ac:dyDescent="0.3">
      <c r="A354" s="61">
        <v>14</v>
      </c>
      <c r="B354" s="61">
        <v>11</v>
      </c>
      <c r="C354" s="60"/>
      <c r="G354" s="62"/>
      <c r="I354" s="86" t="e">
        <f t="shared" si="17"/>
        <v>#DIV/0!</v>
      </c>
      <c r="J354" s="87" t="e">
        <f t="shared" si="17"/>
        <v>#DIV/0!</v>
      </c>
      <c r="K354" s="87" t="e">
        <f t="shared" si="17"/>
        <v>#DIV/0!</v>
      </c>
      <c r="L354" s="87" t="e">
        <f t="shared" si="17"/>
        <v>#DIV/0!</v>
      </c>
      <c r="M354" s="88" t="e">
        <f t="shared" si="17"/>
        <v>#DIV/0!</v>
      </c>
      <c r="O354" s="61" t="str">
        <f t="shared" si="18"/>
        <v>חיפה הדר-כרמל</v>
      </c>
      <c r="P354" s="61" t="str">
        <f t="shared" si="19"/>
        <v>זבולון</v>
      </c>
    </row>
    <row r="355" spans="1:16" x14ac:dyDescent="0.3">
      <c r="A355" s="61">
        <v>14</v>
      </c>
      <c r="B355" s="61">
        <v>12</v>
      </c>
      <c r="C355" s="60"/>
      <c r="G355" s="62"/>
      <c r="I355" s="86" t="e">
        <f t="shared" si="17"/>
        <v>#DIV/0!</v>
      </c>
      <c r="J355" s="87" t="e">
        <f t="shared" si="17"/>
        <v>#DIV/0!</v>
      </c>
      <c r="K355" s="87" t="e">
        <f t="shared" si="17"/>
        <v>#DIV/0!</v>
      </c>
      <c r="L355" s="87" t="e">
        <f t="shared" si="17"/>
        <v>#DIV/0!</v>
      </c>
      <c r="M355" s="88" t="e">
        <f t="shared" si="17"/>
        <v>#DIV/0!</v>
      </c>
      <c r="O355" s="61" t="str">
        <f t="shared" si="18"/>
        <v>חיפה הדר-כרמל</v>
      </c>
      <c r="P355" s="61" t="str">
        <f t="shared" si="19"/>
        <v>חיפה מפרץ</v>
      </c>
    </row>
    <row r="356" spans="1:16" x14ac:dyDescent="0.3">
      <c r="A356" s="61">
        <v>14</v>
      </c>
      <c r="B356" s="61">
        <v>13</v>
      </c>
      <c r="C356" s="60"/>
      <c r="G356" s="62"/>
      <c r="I356" s="86" t="e">
        <f t="shared" si="17"/>
        <v>#DIV/0!</v>
      </c>
      <c r="J356" s="87" t="e">
        <f t="shared" si="17"/>
        <v>#DIV/0!</v>
      </c>
      <c r="K356" s="87" t="e">
        <f t="shared" si="17"/>
        <v>#DIV/0!</v>
      </c>
      <c r="L356" s="87" t="e">
        <f t="shared" si="17"/>
        <v>#DIV/0!</v>
      </c>
      <c r="M356" s="88" t="e">
        <f t="shared" si="17"/>
        <v>#DIV/0!</v>
      </c>
      <c r="O356" s="61" t="str">
        <f t="shared" si="18"/>
        <v>חיפה הדר-כרמל</v>
      </c>
      <c r="P356" s="61" t="str">
        <f t="shared" si="19"/>
        <v>חיפה עיר תחתית</v>
      </c>
    </row>
    <row r="357" spans="1:16" x14ac:dyDescent="0.3">
      <c r="A357" s="61">
        <v>14</v>
      </c>
      <c r="B357" s="61">
        <v>14</v>
      </c>
      <c r="C357" s="60"/>
      <c r="G357" s="62"/>
      <c r="I357" s="86" t="e">
        <f t="shared" si="17"/>
        <v>#DIV/0!</v>
      </c>
      <c r="J357" s="87" t="e">
        <f t="shared" si="17"/>
        <v>#DIV/0!</v>
      </c>
      <c r="K357" s="87" t="e">
        <f t="shared" si="17"/>
        <v>#DIV/0!</v>
      </c>
      <c r="L357" s="87" t="e">
        <f t="shared" si="17"/>
        <v>#DIV/0!</v>
      </c>
      <c r="M357" s="88" t="e">
        <f t="shared" si="17"/>
        <v>#DIV/0!</v>
      </c>
      <c r="O357" s="61" t="str">
        <f t="shared" si="18"/>
        <v>חיפה הדר-כרמל</v>
      </c>
      <c r="P357" s="61" t="str">
        <f t="shared" si="19"/>
        <v>חיפה הדר-כרמל</v>
      </c>
    </row>
    <row r="358" spans="1:16" x14ac:dyDescent="0.3">
      <c r="A358" s="61">
        <v>14</v>
      </c>
      <c r="B358" s="61">
        <v>15</v>
      </c>
      <c r="C358" s="60"/>
      <c r="G358" s="62"/>
      <c r="I358" s="86" t="e">
        <f t="shared" si="17"/>
        <v>#DIV/0!</v>
      </c>
      <c r="J358" s="87" t="e">
        <f t="shared" si="17"/>
        <v>#DIV/0!</v>
      </c>
      <c r="K358" s="87" t="e">
        <f t="shared" si="17"/>
        <v>#DIV/0!</v>
      </c>
      <c r="L358" s="87" t="e">
        <f t="shared" si="17"/>
        <v>#DIV/0!</v>
      </c>
      <c r="M358" s="88" t="e">
        <f t="shared" si="17"/>
        <v>#DIV/0!</v>
      </c>
      <c r="O358" s="61" t="str">
        <f t="shared" si="18"/>
        <v>חיפה הדר-כרמל</v>
      </c>
      <c r="P358" s="61" t="str">
        <f t="shared" si="19"/>
        <v>חיפה מערב</v>
      </c>
    </row>
    <row r="359" spans="1:16" x14ac:dyDescent="0.3">
      <c r="A359" s="61">
        <v>14</v>
      </c>
      <c r="B359" s="61">
        <v>16</v>
      </c>
      <c r="C359" s="60"/>
      <c r="G359" s="62"/>
      <c r="I359" s="86" t="e">
        <f t="shared" si="17"/>
        <v>#DIV/0!</v>
      </c>
      <c r="J359" s="87" t="e">
        <f t="shared" si="17"/>
        <v>#DIV/0!</v>
      </c>
      <c r="K359" s="87" t="e">
        <f t="shared" si="17"/>
        <v>#DIV/0!</v>
      </c>
      <c r="L359" s="87" t="e">
        <f t="shared" si="17"/>
        <v>#DIV/0!</v>
      </c>
      <c r="M359" s="88" t="e">
        <f t="shared" si="17"/>
        <v>#DIV/0!</v>
      </c>
      <c r="O359" s="61" t="str">
        <f t="shared" si="18"/>
        <v>חיפה הדר-כרמל</v>
      </c>
      <c r="P359" s="61" t="str">
        <f t="shared" si="19"/>
        <v>חיפה כרמל</v>
      </c>
    </row>
    <row r="360" spans="1:16" x14ac:dyDescent="0.3">
      <c r="A360" s="61">
        <v>14</v>
      </c>
      <c r="B360" s="61">
        <v>17</v>
      </c>
      <c r="C360" s="60"/>
      <c r="G360" s="62"/>
      <c r="I360" s="86" t="e">
        <f t="shared" si="17"/>
        <v>#DIV/0!</v>
      </c>
      <c r="J360" s="87" t="e">
        <f t="shared" si="17"/>
        <v>#DIV/0!</v>
      </c>
      <c r="K360" s="87" t="e">
        <f t="shared" si="17"/>
        <v>#DIV/0!</v>
      </c>
      <c r="L360" s="87" t="e">
        <f t="shared" si="17"/>
        <v>#DIV/0!</v>
      </c>
      <c r="M360" s="88" t="e">
        <f t="shared" si="17"/>
        <v>#DIV/0!</v>
      </c>
      <c r="O360" s="61" t="str">
        <f t="shared" si="18"/>
        <v>חיפה הדר-כרמל</v>
      </c>
      <c r="P360" s="61" t="str">
        <f t="shared" si="19"/>
        <v>חיפה נווה שאנן</v>
      </c>
    </row>
    <row r="361" spans="1:16" x14ac:dyDescent="0.3">
      <c r="A361" s="61">
        <v>14</v>
      </c>
      <c r="B361" s="61">
        <v>18</v>
      </c>
      <c r="C361" s="60"/>
      <c r="G361" s="62"/>
      <c r="I361" s="86" t="e">
        <f t="shared" si="17"/>
        <v>#DIV/0!</v>
      </c>
      <c r="J361" s="87" t="e">
        <f t="shared" si="17"/>
        <v>#DIV/0!</v>
      </c>
      <c r="K361" s="87" t="e">
        <f t="shared" si="17"/>
        <v>#DIV/0!</v>
      </c>
      <c r="L361" s="87" t="e">
        <f t="shared" si="17"/>
        <v>#DIV/0!</v>
      </c>
      <c r="M361" s="88" t="e">
        <f t="shared" si="17"/>
        <v>#DIV/0!</v>
      </c>
      <c r="O361" s="61" t="str">
        <f t="shared" si="18"/>
        <v>חיפה הדר-כרמל</v>
      </c>
      <c r="P361" s="61" t="str">
        <f t="shared" si="19"/>
        <v>נשר</v>
      </c>
    </row>
    <row r="362" spans="1:16" x14ac:dyDescent="0.3">
      <c r="A362" s="61">
        <v>14</v>
      </c>
      <c r="B362" s="61">
        <v>19</v>
      </c>
      <c r="C362" s="60"/>
      <c r="G362" s="62"/>
      <c r="I362" s="86" t="e">
        <f t="shared" si="17"/>
        <v>#DIV/0!</v>
      </c>
      <c r="J362" s="87" t="e">
        <f t="shared" si="17"/>
        <v>#DIV/0!</v>
      </c>
      <c r="K362" s="87" t="e">
        <f t="shared" si="17"/>
        <v>#DIV/0!</v>
      </c>
      <c r="L362" s="87" t="e">
        <f t="shared" si="17"/>
        <v>#DIV/0!</v>
      </c>
      <c r="M362" s="88" t="e">
        <f t="shared" si="17"/>
        <v>#DIV/0!</v>
      </c>
      <c r="O362" s="61" t="str">
        <f t="shared" si="18"/>
        <v>חיפה הדר-כרמל</v>
      </c>
      <c r="P362" s="61" t="str">
        <f t="shared" si="19"/>
        <v>נצרת</v>
      </c>
    </row>
    <row r="363" spans="1:16" x14ac:dyDescent="0.3">
      <c r="A363" s="61">
        <v>14</v>
      </c>
      <c r="B363" s="61">
        <v>20</v>
      </c>
      <c r="C363" s="60"/>
      <c r="G363" s="62"/>
      <c r="I363" s="86" t="e">
        <f t="shared" si="17"/>
        <v>#DIV/0!</v>
      </c>
      <c r="J363" s="87" t="e">
        <f t="shared" si="17"/>
        <v>#DIV/0!</v>
      </c>
      <c r="K363" s="87" t="e">
        <f t="shared" si="17"/>
        <v>#DIV/0!</v>
      </c>
      <c r="L363" s="87" t="e">
        <f t="shared" si="17"/>
        <v>#DIV/0!</v>
      </c>
      <c r="M363" s="88" t="e">
        <f t="shared" si="17"/>
        <v>#DIV/0!</v>
      </c>
      <c r="O363" s="61" t="str">
        <f t="shared" si="18"/>
        <v>חיפה הדר-כרמל</v>
      </c>
      <c r="P363" s="61" t="str">
        <f t="shared" si="19"/>
        <v>נצרת-עילית</v>
      </c>
    </row>
    <row r="364" spans="1:16" x14ac:dyDescent="0.3">
      <c r="A364" s="61">
        <v>14</v>
      </c>
      <c r="B364" s="61">
        <v>21</v>
      </c>
      <c r="C364" s="60"/>
      <c r="G364" s="62"/>
      <c r="I364" s="86" t="e">
        <f t="shared" si="17"/>
        <v>#DIV/0!</v>
      </c>
      <c r="J364" s="87" t="e">
        <f t="shared" si="17"/>
        <v>#DIV/0!</v>
      </c>
      <c r="K364" s="87" t="e">
        <f t="shared" si="17"/>
        <v>#DIV/0!</v>
      </c>
      <c r="L364" s="87" t="e">
        <f t="shared" si="17"/>
        <v>#DIV/0!</v>
      </c>
      <c r="M364" s="88" t="e">
        <f t="shared" si="17"/>
        <v>#DIV/0!</v>
      </c>
      <c r="O364" s="61" t="str">
        <f t="shared" si="18"/>
        <v>חיפה הדר-כרמל</v>
      </c>
      <c r="P364" s="61" t="str">
        <f t="shared" si="19"/>
        <v>מגדל העמק</v>
      </c>
    </row>
    <row r="365" spans="1:16" x14ac:dyDescent="0.3">
      <c r="A365" s="61">
        <v>14</v>
      </c>
      <c r="B365" s="61">
        <v>22</v>
      </c>
      <c r="C365" s="60"/>
      <c r="G365" s="62"/>
      <c r="I365" s="86" t="e">
        <f t="shared" si="17"/>
        <v>#DIV/0!</v>
      </c>
      <c r="J365" s="87" t="e">
        <f t="shared" si="17"/>
        <v>#DIV/0!</v>
      </c>
      <c r="K365" s="87" t="e">
        <f t="shared" si="17"/>
        <v>#DIV/0!</v>
      </c>
      <c r="L365" s="87" t="e">
        <f t="shared" si="17"/>
        <v>#DIV/0!</v>
      </c>
      <c r="M365" s="88" t="e">
        <f t="shared" si="17"/>
        <v>#DIV/0!</v>
      </c>
      <c r="O365" s="61" t="str">
        <f t="shared" si="18"/>
        <v>חיפה הדר-כרמל</v>
      </c>
      <c r="P365" s="61" t="str">
        <f t="shared" si="19"/>
        <v>יוקנעם</v>
      </c>
    </row>
    <row r="366" spans="1:16" x14ac:dyDescent="0.3">
      <c r="A366" s="61">
        <v>14</v>
      </c>
      <c r="B366" s="61">
        <v>23</v>
      </c>
      <c r="C366" s="60"/>
      <c r="G366" s="62"/>
      <c r="I366" s="86" t="e">
        <f t="shared" si="17"/>
        <v>#DIV/0!</v>
      </c>
      <c r="J366" s="87" t="e">
        <f t="shared" si="17"/>
        <v>#DIV/0!</v>
      </c>
      <c r="K366" s="87" t="e">
        <f t="shared" si="17"/>
        <v>#DIV/0!</v>
      </c>
      <c r="L366" s="87" t="e">
        <f t="shared" si="17"/>
        <v>#DIV/0!</v>
      </c>
      <c r="M366" s="88" t="e">
        <f t="shared" si="17"/>
        <v>#DIV/0!</v>
      </c>
      <c r="O366" s="61" t="str">
        <f t="shared" si="18"/>
        <v>חיפה הדר-כרמל</v>
      </c>
      <c r="P366" s="61" t="str">
        <f t="shared" si="19"/>
        <v>דלית אל כרמל</v>
      </c>
    </row>
    <row r="367" spans="1:16" x14ac:dyDescent="0.3">
      <c r="A367" s="61">
        <v>14</v>
      </c>
      <c r="B367" s="61">
        <v>24</v>
      </c>
      <c r="C367" s="60"/>
      <c r="G367" s="62"/>
      <c r="I367" s="86" t="e">
        <f t="shared" si="17"/>
        <v>#DIV/0!</v>
      </c>
      <c r="J367" s="87" t="e">
        <f t="shared" si="17"/>
        <v>#DIV/0!</v>
      </c>
      <c r="K367" s="87" t="e">
        <f t="shared" si="17"/>
        <v>#DIV/0!</v>
      </c>
      <c r="L367" s="87" t="e">
        <f t="shared" si="17"/>
        <v>#DIV/0!</v>
      </c>
      <c r="M367" s="88" t="e">
        <f t="shared" si="17"/>
        <v>#DIV/0!</v>
      </c>
      <c r="O367" s="61" t="str">
        <f t="shared" si="18"/>
        <v>חיפה הדר-כרמל</v>
      </c>
      <c r="P367" s="61" t="str">
        <f t="shared" si="19"/>
        <v>חוף הכרמל</v>
      </c>
    </row>
    <row r="368" spans="1:16" x14ac:dyDescent="0.3">
      <c r="A368" s="61">
        <v>14</v>
      </c>
      <c r="B368" s="61">
        <v>25</v>
      </c>
      <c r="C368" s="60"/>
      <c r="G368" s="62"/>
      <c r="I368" s="86" t="e">
        <f t="shared" si="17"/>
        <v>#DIV/0!</v>
      </c>
      <c r="J368" s="87" t="e">
        <f t="shared" si="17"/>
        <v>#DIV/0!</v>
      </c>
      <c r="K368" s="87" t="e">
        <f t="shared" si="17"/>
        <v>#DIV/0!</v>
      </c>
      <c r="L368" s="87" t="e">
        <f t="shared" si="17"/>
        <v>#DIV/0!</v>
      </c>
      <c r="M368" s="88" t="e">
        <f t="shared" si="17"/>
        <v>#DIV/0!</v>
      </c>
      <c r="O368" s="61" t="str">
        <f t="shared" si="18"/>
        <v>חיפה הדר-כרמל</v>
      </c>
      <c r="P368" s="61" t="str">
        <f t="shared" si="19"/>
        <v>זכרון יעקב</v>
      </c>
    </row>
    <row r="369" spans="1:16" x14ac:dyDescent="0.3">
      <c r="A369" s="61">
        <v>14</v>
      </c>
      <c r="B369" s="61">
        <v>30</v>
      </c>
      <c r="C369" s="60"/>
      <c r="G369" s="62"/>
      <c r="I369" s="86" t="e">
        <f t="shared" si="17"/>
        <v>#DIV/0!</v>
      </c>
      <c r="J369" s="87" t="e">
        <f t="shared" si="17"/>
        <v>#DIV/0!</v>
      </c>
      <c r="K369" s="87" t="e">
        <f t="shared" si="17"/>
        <v>#DIV/0!</v>
      </c>
      <c r="L369" s="87" t="e">
        <f t="shared" si="17"/>
        <v>#DIV/0!</v>
      </c>
      <c r="M369" s="88" t="e">
        <f t="shared" si="17"/>
        <v>#DIV/0!</v>
      </c>
      <c r="O369" s="61" t="str">
        <f t="shared" si="18"/>
        <v>חיפה הדר-כרמל</v>
      </c>
      <c r="P369" s="61" t="str">
        <f t="shared" si="19"/>
        <v>סכנין</v>
      </c>
    </row>
    <row r="370" spans="1:16" x14ac:dyDescent="0.3">
      <c r="A370" s="61">
        <v>15</v>
      </c>
      <c r="B370" s="61">
        <v>1</v>
      </c>
      <c r="C370" s="60"/>
      <c r="G370" s="62"/>
      <c r="I370" s="86" t="e">
        <f t="shared" si="17"/>
        <v>#DIV/0!</v>
      </c>
      <c r="J370" s="87" t="e">
        <f t="shared" si="17"/>
        <v>#DIV/0!</v>
      </c>
      <c r="K370" s="87" t="e">
        <f t="shared" si="17"/>
        <v>#DIV/0!</v>
      </c>
      <c r="L370" s="87" t="e">
        <f t="shared" si="17"/>
        <v>#DIV/0!</v>
      </c>
      <c r="M370" s="88" t="e">
        <f t="shared" si="17"/>
        <v>#DIV/0!</v>
      </c>
      <c r="O370" s="61" t="str">
        <f t="shared" si="18"/>
        <v>חיפה מערב</v>
      </c>
      <c r="P370" s="61" t="str">
        <f t="shared" si="19"/>
        <v>נהריה</v>
      </c>
    </row>
    <row r="371" spans="1:16" x14ac:dyDescent="0.3">
      <c r="A371" s="61">
        <v>15</v>
      </c>
      <c r="B371" s="61">
        <v>2</v>
      </c>
      <c r="C371" s="60"/>
      <c r="G371" s="62"/>
      <c r="I371" s="86" t="e">
        <f t="shared" si="17"/>
        <v>#DIV/0!</v>
      </c>
      <c r="J371" s="87" t="e">
        <f t="shared" si="17"/>
        <v>#DIV/0!</v>
      </c>
      <c r="K371" s="87" t="e">
        <f t="shared" si="17"/>
        <v>#DIV/0!</v>
      </c>
      <c r="L371" s="87" t="e">
        <f t="shared" si="17"/>
        <v>#DIV/0!</v>
      </c>
      <c r="M371" s="88" t="e">
        <f t="shared" si="17"/>
        <v>#DIV/0!</v>
      </c>
      <c r="O371" s="61" t="str">
        <f t="shared" si="18"/>
        <v>חיפה מערב</v>
      </c>
      <c r="P371" s="61" t="str">
        <f t="shared" si="19"/>
        <v>עכו</v>
      </c>
    </row>
    <row r="372" spans="1:16" x14ac:dyDescent="0.3">
      <c r="A372" s="61">
        <v>15</v>
      </c>
      <c r="B372" s="61">
        <v>3</v>
      </c>
      <c r="C372" s="60"/>
      <c r="G372" s="62"/>
      <c r="I372" s="86" t="e">
        <f t="shared" si="17"/>
        <v>#DIV/0!</v>
      </c>
      <c r="J372" s="87" t="e">
        <f t="shared" si="17"/>
        <v>#DIV/0!</v>
      </c>
      <c r="K372" s="87" t="e">
        <f t="shared" si="17"/>
        <v>#DIV/0!</v>
      </c>
      <c r="L372" s="87" t="e">
        <f t="shared" si="17"/>
        <v>#DIV/0!</v>
      </c>
      <c r="M372" s="88" t="e">
        <f t="shared" si="17"/>
        <v>#DIV/0!</v>
      </c>
      <c r="O372" s="61" t="str">
        <f t="shared" si="18"/>
        <v>חיפה מערב</v>
      </c>
      <c r="P372" s="61" t="str">
        <f t="shared" si="19"/>
        <v>כרמיאל</v>
      </c>
    </row>
    <row r="373" spans="1:16" x14ac:dyDescent="0.3">
      <c r="A373" s="61">
        <v>15</v>
      </c>
      <c r="B373" s="61">
        <v>4</v>
      </c>
      <c r="C373" s="60"/>
      <c r="G373" s="62"/>
      <c r="I373" s="86" t="e">
        <f t="shared" si="17"/>
        <v>#DIV/0!</v>
      </c>
      <c r="J373" s="87" t="e">
        <f t="shared" si="17"/>
        <v>#DIV/0!</v>
      </c>
      <c r="K373" s="87" t="e">
        <f t="shared" si="17"/>
        <v>#DIV/0!</v>
      </c>
      <c r="L373" s="87" t="e">
        <f t="shared" si="17"/>
        <v>#DIV/0!</v>
      </c>
      <c r="M373" s="88" t="e">
        <f t="shared" si="17"/>
        <v>#DIV/0!</v>
      </c>
      <c r="O373" s="61" t="str">
        <f t="shared" si="18"/>
        <v>חיפה מערב</v>
      </c>
      <c r="P373" s="61" t="str">
        <f t="shared" si="19"/>
        <v>שפרעם</v>
      </c>
    </row>
    <row r="374" spans="1:16" x14ac:dyDescent="0.3">
      <c r="A374" s="61">
        <v>15</v>
      </c>
      <c r="B374" s="61">
        <v>5</v>
      </c>
      <c r="C374" s="60"/>
      <c r="G374" s="62"/>
      <c r="I374" s="86" t="e">
        <f t="shared" si="17"/>
        <v>#DIV/0!</v>
      </c>
      <c r="J374" s="87" t="e">
        <f t="shared" si="17"/>
        <v>#DIV/0!</v>
      </c>
      <c r="K374" s="87" t="e">
        <f t="shared" si="17"/>
        <v>#DIV/0!</v>
      </c>
      <c r="L374" s="87" t="e">
        <f t="shared" si="17"/>
        <v>#DIV/0!</v>
      </c>
      <c r="M374" s="88" t="e">
        <f t="shared" si="17"/>
        <v>#DIV/0!</v>
      </c>
      <c r="O374" s="61" t="str">
        <f t="shared" si="18"/>
        <v>חיפה מערב</v>
      </c>
      <c r="P374" s="61" t="str">
        <f t="shared" si="19"/>
        <v>קרית ים</v>
      </c>
    </row>
    <row r="375" spans="1:16" x14ac:dyDescent="0.3">
      <c r="A375" s="61">
        <v>15</v>
      </c>
      <c r="B375" s="61">
        <v>6</v>
      </c>
      <c r="C375" s="60"/>
      <c r="G375" s="62"/>
      <c r="I375" s="86" t="e">
        <f t="shared" si="17"/>
        <v>#DIV/0!</v>
      </c>
      <c r="J375" s="87" t="e">
        <f t="shared" si="17"/>
        <v>#DIV/0!</v>
      </c>
      <c r="K375" s="87" t="e">
        <f t="shared" si="17"/>
        <v>#DIV/0!</v>
      </c>
      <c r="L375" s="87" t="e">
        <f t="shared" si="17"/>
        <v>#DIV/0!</v>
      </c>
      <c r="M375" s="88" t="e">
        <f t="shared" si="17"/>
        <v>#DIV/0!</v>
      </c>
      <c r="O375" s="61" t="str">
        <f t="shared" si="18"/>
        <v>חיפה מערב</v>
      </c>
      <c r="P375" s="61" t="str">
        <f t="shared" si="19"/>
        <v>קרית מוצקין</v>
      </c>
    </row>
    <row r="376" spans="1:16" x14ac:dyDescent="0.3">
      <c r="A376" s="61">
        <v>15</v>
      </c>
      <c r="B376" s="61">
        <v>7</v>
      </c>
      <c r="C376" s="60"/>
      <c r="G376" s="62"/>
      <c r="I376" s="86" t="e">
        <f t="shared" ref="I376:M426" si="20">C376/SUM($C376:$G376)</f>
        <v>#DIV/0!</v>
      </c>
      <c r="J376" s="87" t="e">
        <f t="shared" si="20"/>
        <v>#DIV/0!</v>
      </c>
      <c r="K376" s="87" t="e">
        <f t="shared" si="20"/>
        <v>#DIV/0!</v>
      </c>
      <c r="L376" s="87" t="e">
        <f t="shared" si="20"/>
        <v>#DIV/0!</v>
      </c>
      <c r="M376" s="88" t="e">
        <f t="shared" si="20"/>
        <v>#DIV/0!</v>
      </c>
      <c r="O376" s="61" t="str">
        <f t="shared" si="18"/>
        <v>חיפה מערב</v>
      </c>
      <c r="P376" s="61" t="str">
        <f t="shared" si="19"/>
        <v>קרית ביאליק</v>
      </c>
    </row>
    <row r="377" spans="1:16" x14ac:dyDescent="0.3">
      <c r="A377" s="61">
        <v>15</v>
      </c>
      <c r="B377" s="61">
        <v>8</v>
      </c>
      <c r="C377" s="60"/>
      <c r="G377" s="62"/>
      <c r="I377" s="86" t="e">
        <f t="shared" si="20"/>
        <v>#DIV/0!</v>
      </c>
      <c r="J377" s="87" t="e">
        <f t="shared" si="20"/>
        <v>#DIV/0!</v>
      </c>
      <c r="K377" s="87" t="e">
        <f t="shared" si="20"/>
        <v>#DIV/0!</v>
      </c>
      <c r="L377" s="87" t="e">
        <f t="shared" si="20"/>
        <v>#DIV/0!</v>
      </c>
      <c r="M377" s="88" t="e">
        <f t="shared" si="20"/>
        <v>#DIV/0!</v>
      </c>
      <c r="O377" s="61" t="str">
        <f t="shared" si="18"/>
        <v>חיפה מערב</v>
      </c>
      <c r="P377" s="61" t="str">
        <f t="shared" si="19"/>
        <v>קרית חיים</v>
      </c>
    </row>
    <row r="378" spans="1:16" x14ac:dyDescent="0.3">
      <c r="A378" s="61">
        <v>15</v>
      </c>
      <c r="B378" s="61">
        <v>9</v>
      </c>
      <c r="C378" s="60"/>
      <c r="G378" s="62"/>
      <c r="I378" s="86" t="e">
        <f t="shared" si="20"/>
        <v>#DIV/0!</v>
      </c>
      <c r="J378" s="87" t="e">
        <f t="shared" si="20"/>
        <v>#DIV/0!</v>
      </c>
      <c r="K378" s="87" t="e">
        <f t="shared" si="20"/>
        <v>#DIV/0!</v>
      </c>
      <c r="L378" s="87" t="e">
        <f t="shared" si="20"/>
        <v>#DIV/0!</v>
      </c>
      <c r="M378" s="88" t="e">
        <f t="shared" si="20"/>
        <v>#DIV/0!</v>
      </c>
      <c r="O378" s="61" t="str">
        <f t="shared" si="18"/>
        <v>חיפה מערב</v>
      </c>
      <c r="P378" s="61" t="str">
        <f t="shared" si="19"/>
        <v>קרית אתא</v>
      </c>
    </row>
    <row r="379" spans="1:16" x14ac:dyDescent="0.3">
      <c r="A379" s="61">
        <v>15</v>
      </c>
      <c r="B379" s="61">
        <v>10</v>
      </c>
      <c r="C379" s="60"/>
      <c r="G379" s="62"/>
      <c r="I379" s="86" t="e">
        <f t="shared" si="20"/>
        <v>#DIV/0!</v>
      </c>
      <c r="J379" s="87" t="e">
        <f t="shared" si="20"/>
        <v>#DIV/0!</v>
      </c>
      <c r="K379" s="87" t="e">
        <f t="shared" si="20"/>
        <v>#DIV/0!</v>
      </c>
      <c r="L379" s="87" t="e">
        <f t="shared" si="20"/>
        <v>#DIV/0!</v>
      </c>
      <c r="M379" s="88" t="e">
        <f t="shared" si="20"/>
        <v>#DIV/0!</v>
      </c>
      <c r="O379" s="61" t="str">
        <f t="shared" si="18"/>
        <v>חיפה מערב</v>
      </c>
      <c r="P379" s="61" t="str">
        <f t="shared" si="19"/>
        <v>כפר מנדא</v>
      </c>
    </row>
    <row r="380" spans="1:16" x14ac:dyDescent="0.3">
      <c r="A380" s="61">
        <v>15</v>
      </c>
      <c r="B380" s="61">
        <v>11</v>
      </c>
      <c r="C380" s="60"/>
      <c r="G380" s="62"/>
      <c r="I380" s="86" t="e">
        <f t="shared" si="20"/>
        <v>#DIV/0!</v>
      </c>
      <c r="J380" s="87" t="e">
        <f t="shared" si="20"/>
        <v>#DIV/0!</v>
      </c>
      <c r="K380" s="87" t="e">
        <f t="shared" si="20"/>
        <v>#DIV/0!</v>
      </c>
      <c r="L380" s="87" t="e">
        <f t="shared" si="20"/>
        <v>#DIV/0!</v>
      </c>
      <c r="M380" s="88" t="e">
        <f t="shared" si="20"/>
        <v>#DIV/0!</v>
      </c>
      <c r="O380" s="61" t="str">
        <f t="shared" si="18"/>
        <v>חיפה מערב</v>
      </c>
      <c r="P380" s="61" t="str">
        <f t="shared" si="19"/>
        <v>זבולון</v>
      </c>
    </row>
    <row r="381" spans="1:16" x14ac:dyDescent="0.3">
      <c r="A381" s="61">
        <v>15</v>
      </c>
      <c r="B381" s="61">
        <v>12</v>
      </c>
      <c r="C381" s="60"/>
      <c r="G381" s="62"/>
      <c r="I381" s="86" t="e">
        <f t="shared" si="20"/>
        <v>#DIV/0!</v>
      </c>
      <c r="J381" s="87" t="e">
        <f t="shared" si="20"/>
        <v>#DIV/0!</v>
      </c>
      <c r="K381" s="87" t="e">
        <f t="shared" si="20"/>
        <v>#DIV/0!</v>
      </c>
      <c r="L381" s="87" t="e">
        <f t="shared" si="20"/>
        <v>#DIV/0!</v>
      </c>
      <c r="M381" s="88" t="e">
        <f t="shared" si="20"/>
        <v>#DIV/0!</v>
      </c>
      <c r="O381" s="61" t="str">
        <f t="shared" si="18"/>
        <v>חיפה מערב</v>
      </c>
      <c r="P381" s="61" t="str">
        <f t="shared" si="19"/>
        <v>חיפה מפרץ</v>
      </c>
    </row>
    <row r="382" spans="1:16" x14ac:dyDescent="0.3">
      <c r="A382" s="61">
        <v>15</v>
      </c>
      <c r="B382" s="61">
        <v>13</v>
      </c>
      <c r="C382" s="60"/>
      <c r="G382" s="62"/>
      <c r="I382" s="86" t="e">
        <f t="shared" si="20"/>
        <v>#DIV/0!</v>
      </c>
      <c r="J382" s="87" t="e">
        <f t="shared" si="20"/>
        <v>#DIV/0!</v>
      </c>
      <c r="K382" s="87" t="e">
        <f t="shared" si="20"/>
        <v>#DIV/0!</v>
      </c>
      <c r="L382" s="87" t="e">
        <f t="shared" si="20"/>
        <v>#DIV/0!</v>
      </c>
      <c r="M382" s="88" t="e">
        <f t="shared" si="20"/>
        <v>#DIV/0!</v>
      </c>
      <c r="O382" s="61" t="str">
        <f t="shared" si="18"/>
        <v>חיפה מערב</v>
      </c>
      <c r="P382" s="61" t="str">
        <f t="shared" si="19"/>
        <v>חיפה עיר תחתית</v>
      </c>
    </row>
    <row r="383" spans="1:16" x14ac:dyDescent="0.3">
      <c r="A383" s="61">
        <v>15</v>
      </c>
      <c r="B383" s="61">
        <v>14</v>
      </c>
      <c r="C383" s="60"/>
      <c r="G383" s="62"/>
      <c r="I383" s="86" t="e">
        <f t="shared" si="20"/>
        <v>#DIV/0!</v>
      </c>
      <c r="J383" s="87" t="e">
        <f t="shared" si="20"/>
        <v>#DIV/0!</v>
      </c>
      <c r="K383" s="87" t="e">
        <f t="shared" si="20"/>
        <v>#DIV/0!</v>
      </c>
      <c r="L383" s="87" t="e">
        <f t="shared" si="20"/>
        <v>#DIV/0!</v>
      </c>
      <c r="M383" s="88" t="e">
        <f t="shared" si="20"/>
        <v>#DIV/0!</v>
      </c>
      <c r="O383" s="61" t="str">
        <f t="shared" si="18"/>
        <v>חיפה מערב</v>
      </c>
      <c r="P383" s="61" t="str">
        <f t="shared" si="19"/>
        <v>חיפה הדר-כרמל</v>
      </c>
    </row>
    <row r="384" spans="1:16" x14ac:dyDescent="0.3">
      <c r="A384" s="61">
        <v>15</v>
      </c>
      <c r="B384" s="61">
        <v>15</v>
      </c>
      <c r="C384" s="60"/>
      <c r="G384" s="62"/>
      <c r="I384" s="86" t="e">
        <f t="shared" si="20"/>
        <v>#DIV/0!</v>
      </c>
      <c r="J384" s="87" t="e">
        <f t="shared" si="20"/>
        <v>#DIV/0!</v>
      </c>
      <c r="K384" s="87" t="e">
        <f t="shared" si="20"/>
        <v>#DIV/0!</v>
      </c>
      <c r="L384" s="87" t="e">
        <f t="shared" si="20"/>
        <v>#DIV/0!</v>
      </c>
      <c r="M384" s="88" t="e">
        <f t="shared" si="20"/>
        <v>#DIV/0!</v>
      </c>
      <c r="O384" s="61" t="str">
        <f t="shared" si="18"/>
        <v>חיפה מערב</v>
      </c>
      <c r="P384" s="61" t="str">
        <f t="shared" si="19"/>
        <v>חיפה מערב</v>
      </c>
    </row>
    <row r="385" spans="1:16" x14ac:dyDescent="0.3">
      <c r="A385" s="61">
        <v>15</v>
      </c>
      <c r="B385" s="61">
        <v>16</v>
      </c>
      <c r="C385" s="60"/>
      <c r="G385" s="62"/>
      <c r="I385" s="86" t="e">
        <f t="shared" si="20"/>
        <v>#DIV/0!</v>
      </c>
      <c r="J385" s="87" t="e">
        <f t="shared" si="20"/>
        <v>#DIV/0!</v>
      </c>
      <c r="K385" s="87" t="e">
        <f t="shared" si="20"/>
        <v>#DIV/0!</v>
      </c>
      <c r="L385" s="87" t="e">
        <f t="shared" si="20"/>
        <v>#DIV/0!</v>
      </c>
      <c r="M385" s="88" t="e">
        <f t="shared" si="20"/>
        <v>#DIV/0!</v>
      </c>
      <c r="O385" s="61" t="str">
        <f t="shared" si="18"/>
        <v>חיפה מערב</v>
      </c>
      <c r="P385" s="61" t="str">
        <f t="shared" si="19"/>
        <v>חיפה כרמל</v>
      </c>
    </row>
    <row r="386" spans="1:16" x14ac:dyDescent="0.3">
      <c r="A386" s="61">
        <v>15</v>
      </c>
      <c r="B386" s="61">
        <v>17</v>
      </c>
      <c r="C386" s="60"/>
      <c r="G386" s="62"/>
      <c r="I386" s="86" t="e">
        <f t="shared" si="20"/>
        <v>#DIV/0!</v>
      </c>
      <c r="J386" s="87" t="e">
        <f t="shared" si="20"/>
        <v>#DIV/0!</v>
      </c>
      <c r="K386" s="87" t="e">
        <f t="shared" si="20"/>
        <v>#DIV/0!</v>
      </c>
      <c r="L386" s="87" t="e">
        <f t="shared" si="20"/>
        <v>#DIV/0!</v>
      </c>
      <c r="M386" s="88" t="e">
        <f t="shared" si="20"/>
        <v>#DIV/0!</v>
      </c>
      <c r="O386" s="61" t="str">
        <f t="shared" si="18"/>
        <v>חיפה מערב</v>
      </c>
      <c r="P386" s="61" t="str">
        <f t="shared" si="19"/>
        <v>חיפה נווה שאנן</v>
      </c>
    </row>
    <row r="387" spans="1:16" x14ac:dyDescent="0.3">
      <c r="A387" s="61">
        <v>15</v>
      </c>
      <c r="B387" s="61">
        <v>18</v>
      </c>
      <c r="C387" s="60"/>
      <c r="G387" s="62"/>
      <c r="I387" s="86" t="e">
        <f t="shared" si="20"/>
        <v>#DIV/0!</v>
      </c>
      <c r="J387" s="87" t="e">
        <f t="shared" si="20"/>
        <v>#DIV/0!</v>
      </c>
      <c r="K387" s="87" t="e">
        <f t="shared" si="20"/>
        <v>#DIV/0!</v>
      </c>
      <c r="L387" s="87" t="e">
        <f t="shared" si="20"/>
        <v>#DIV/0!</v>
      </c>
      <c r="M387" s="88" t="e">
        <f t="shared" si="20"/>
        <v>#DIV/0!</v>
      </c>
      <c r="O387" s="61" t="str">
        <f t="shared" si="18"/>
        <v>חיפה מערב</v>
      </c>
      <c r="P387" s="61" t="str">
        <f t="shared" si="19"/>
        <v>נשר</v>
      </c>
    </row>
    <row r="388" spans="1:16" x14ac:dyDescent="0.3">
      <c r="A388" s="61">
        <v>15</v>
      </c>
      <c r="B388" s="61">
        <v>19</v>
      </c>
      <c r="C388" s="60"/>
      <c r="G388" s="62"/>
      <c r="I388" s="86" t="e">
        <f t="shared" si="20"/>
        <v>#DIV/0!</v>
      </c>
      <c r="J388" s="87" t="e">
        <f t="shared" si="20"/>
        <v>#DIV/0!</v>
      </c>
      <c r="K388" s="87" t="e">
        <f t="shared" si="20"/>
        <v>#DIV/0!</v>
      </c>
      <c r="L388" s="87" t="e">
        <f t="shared" si="20"/>
        <v>#DIV/0!</v>
      </c>
      <c r="M388" s="88" t="e">
        <f t="shared" si="20"/>
        <v>#DIV/0!</v>
      </c>
      <c r="O388" s="61" t="str">
        <f t="shared" si="18"/>
        <v>חיפה מערב</v>
      </c>
      <c r="P388" s="61" t="str">
        <f t="shared" si="19"/>
        <v>נצרת</v>
      </c>
    </row>
    <row r="389" spans="1:16" x14ac:dyDescent="0.3">
      <c r="A389" s="61">
        <v>15</v>
      </c>
      <c r="B389" s="61">
        <v>20</v>
      </c>
      <c r="C389" s="60"/>
      <c r="G389" s="62"/>
      <c r="I389" s="86" t="e">
        <f t="shared" si="20"/>
        <v>#DIV/0!</v>
      </c>
      <c r="J389" s="87" t="e">
        <f t="shared" si="20"/>
        <v>#DIV/0!</v>
      </c>
      <c r="K389" s="87" t="e">
        <f t="shared" si="20"/>
        <v>#DIV/0!</v>
      </c>
      <c r="L389" s="87" t="e">
        <f t="shared" si="20"/>
        <v>#DIV/0!</v>
      </c>
      <c r="M389" s="88" t="e">
        <f t="shared" si="20"/>
        <v>#DIV/0!</v>
      </c>
      <c r="O389" s="61" t="str">
        <f t="shared" si="18"/>
        <v>חיפה מערב</v>
      </c>
      <c r="P389" s="61" t="str">
        <f t="shared" si="19"/>
        <v>נצרת-עילית</v>
      </c>
    </row>
    <row r="390" spans="1:16" x14ac:dyDescent="0.3">
      <c r="A390" s="61">
        <v>15</v>
      </c>
      <c r="B390" s="61">
        <v>21</v>
      </c>
      <c r="C390" s="60"/>
      <c r="G390" s="62"/>
      <c r="I390" s="86" t="e">
        <f t="shared" si="20"/>
        <v>#DIV/0!</v>
      </c>
      <c r="J390" s="87" t="e">
        <f t="shared" si="20"/>
        <v>#DIV/0!</v>
      </c>
      <c r="K390" s="87" t="e">
        <f t="shared" si="20"/>
        <v>#DIV/0!</v>
      </c>
      <c r="L390" s="87" t="e">
        <f t="shared" si="20"/>
        <v>#DIV/0!</v>
      </c>
      <c r="M390" s="88" t="e">
        <f t="shared" si="20"/>
        <v>#DIV/0!</v>
      </c>
      <c r="O390" s="61" t="str">
        <f t="shared" ref="O390:O453" si="21">VLOOKUP(A390,$S$6:$T$31,2,0)</f>
        <v>חיפה מערב</v>
      </c>
      <c r="P390" s="61" t="str">
        <f t="shared" ref="P390:P453" si="22">VLOOKUP(B390,$S$6:$T$31,2,0)</f>
        <v>מגדל העמק</v>
      </c>
    </row>
    <row r="391" spans="1:16" x14ac:dyDescent="0.3">
      <c r="A391" s="61">
        <v>15</v>
      </c>
      <c r="B391" s="61">
        <v>22</v>
      </c>
      <c r="C391" s="60"/>
      <c r="G391" s="62"/>
      <c r="I391" s="86" t="e">
        <f t="shared" si="20"/>
        <v>#DIV/0!</v>
      </c>
      <c r="J391" s="87" t="e">
        <f t="shared" si="20"/>
        <v>#DIV/0!</v>
      </c>
      <c r="K391" s="87" t="e">
        <f t="shared" si="20"/>
        <v>#DIV/0!</v>
      </c>
      <c r="L391" s="87" t="e">
        <f t="shared" si="20"/>
        <v>#DIV/0!</v>
      </c>
      <c r="M391" s="88" t="e">
        <f t="shared" si="20"/>
        <v>#DIV/0!</v>
      </c>
      <c r="O391" s="61" t="str">
        <f t="shared" si="21"/>
        <v>חיפה מערב</v>
      </c>
      <c r="P391" s="61" t="str">
        <f t="shared" si="22"/>
        <v>יוקנעם</v>
      </c>
    </row>
    <row r="392" spans="1:16" x14ac:dyDescent="0.3">
      <c r="A392" s="61">
        <v>15</v>
      </c>
      <c r="B392" s="61">
        <v>23</v>
      </c>
      <c r="C392" s="60"/>
      <c r="G392" s="62"/>
      <c r="I392" s="86" t="e">
        <f t="shared" si="20"/>
        <v>#DIV/0!</v>
      </c>
      <c r="J392" s="87" t="e">
        <f t="shared" si="20"/>
        <v>#DIV/0!</v>
      </c>
      <c r="K392" s="87" t="e">
        <f t="shared" si="20"/>
        <v>#DIV/0!</v>
      </c>
      <c r="L392" s="87" t="e">
        <f t="shared" si="20"/>
        <v>#DIV/0!</v>
      </c>
      <c r="M392" s="88" t="e">
        <f t="shared" si="20"/>
        <v>#DIV/0!</v>
      </c>
      <c r="O392" s="61" t="str">
        <f t="shared" si="21"/>
        <v>חיפה מערב</v>
      </c>
      <c r="P392" s="61" t="str">
        <f t="shared" si="22"/>
        <v>דלית אל כרמל</v>
      </c>
    </row>
    <row r="393" spans="1:16" x14ac:dyDescent="0.3">
      <c r="A393" s="61">
        <v>15</v>
      </c>
      <c r="B393" s="61">
        <v>24</v>
      </c>
      <c r="C393" s="60"/>
      <c r="G393" s="62"/>
      <c r="I393" s="86" t="e">
        <f t="shared" si="20"/>
        <v>#DIV/0!</v>
      </c>
      <c r="J393" s="87" t="e">
        <f t="shared" si="20"/>
        <v>#DIV/0!</v>
      </c>
      <c r="K393" s="87" t="e">
        <f t="shared" si="20"/>
        <v>#DIV/0!</v>
      </c>
      <c r="L393" s="87" t="e">
        <f t="shared" si="20"/>
        <v>#DIV/0!</v>
      </c>
      <c r="M393" s="88" t="e">
        <f t="shared" si="20"/>
        <v>#DIV/0!</v>
      </c>
      <c r="O393" s="61" t="str">
        <f t="shared" si="21"/>
        <v>חיפה מערב</v>
      </c>
      <c r="P393" s="61" t="str">
        <f t="shared" si="22"/>
        <v>חוף הכרמל</v>
      </c>
    </row>
    <row r="394" spans="1:16" x14ac:dyDescent="0.3">
      <c r="A394" s="61">
        <v>15</v>
      </c>
      <c r="B394" s="61">
        <v>25</v>
      </c>
      <c r="C394" s="60"/>
      <c r="G394" s="62"/>
      <c r="I394" s="86" t="e">
        <f t="shared" si="20"/>
        <v>#DIV/0!</v>
      </c>
      <c r="J394" s="87" t="e">
        <f t="shared" si="20"/>
        <v>#DIV/0!</v>
      </c>
      <c r="K394" s="87" t="e">
        <f t="shared" si="20"/>
        <v>#DIV/0!</v>
      </c>
      <c r="L394" s="87" t="e">
        <f t="shared" si="20"/>
        <v>#DIV/0!</v>
      </c>
      <c r="M394" s="88" t="e">
        <f t="shared" si="20"/>
        <v>#DIV/0!</v>
      </c>
      <c r="O394" s="61" t="str">
        <f t="shared" si="21"/>
        <v>חיפה מערב</v>
      </c>
      <c r="P394" s="61" t="str">
        <f t="shared" si="22"/>
        <v>זכרון יעקב</v>
      </c>
    </row>
    <row r="395" spans="1:16" x14ac:dyDescent="0.3">
      <c r="A395" s="61">
        <v>15</v>
      </c>
      <c r="B395" s="61">
        <v>30</v>
      </c>
      <c r="C395" s="60"/>
      <c r="G395" s="62"/>
      <c r="I395" s="86" t="e">
        <f t="shared" si="20"/>
        <v>#DIV/0!</v>
      </c>
      <c r="J395" s="87" t="e">
        <f t="shared" si="20"/>
        <v>#DIV/0!</v>
      </c>
      <c r="K395" s="87" t="e">
        <f t="shared" si="20"/>
        <v>#DIV/0!</v>
      </c>
      <c r="L395" s="87" t="e">
        <f t="shared" si="20"/>
        <v>#DIV/0!</v>
      </c>
      <c r="M395" s="88" t="e">
        <f t="shared" si="20"/>
        <v>#DIV/0!</v>
      </c>
      <c r="O395" s="61" t="str">
        <f t="shared" si="21"/>
        <v>חיפה מערב</v>
      </c>
      <c r="P395" s="61" t="str">
        <f t="shared" si="22"/>
        <v>סכנין</v>
      </c>
    </row>
    <row r="396" spans="1:16" x14ac:dyDescent="0.3">
      <c r="A396" s="61">
        <v>16</v>
      </c>
      <c r="B396" s="61">
        <v>1</v>
      </c>
      <c r="C396" s="60"/>
      <c r="G396" s="62"/>
      <c r="I396" s="86" t="e">
        <f t="shared" si="20"/>
        <v>#DIV/0!</v>
      </c>
      <c r="J396" s="87" t="e">
        <f t="shared" si="20"/>
        <v>#DIV/0!</v>
      </c>
      <c r="K396" s="87" t="e">
        <f t="shared" si="20"/>
        <v>#DIV/0!</v>
      </c>
      <c r="L396" s="87" t="e">
        <f t="shared" si="20"/>
        <v>#DIV/0!</v>
      </c>
      <c r="M396" s="88" t="e">
        <f t="shared" si="20"/>
        <v>#DIV/0!</v>
      </c>
      <c r="O396" s="61" t="str">
        <f t="shared" si="21"/>
        <v>חיפה כרמל</v>
      </c>
      <c r="P396" s="61" t="str">
        <f t="shared" si="22"/>
        <v>נהריה</v>
      </c>
    </row>
    <row r="397" spans="1:16" x14ac:dyDescent="0.3">
      <c r="A397" s="61">
        <v>16</v>
      </c>
      <c r="B397" s="61">
        <v>2</v>
      </c>
      <c r="C397" s="60"/>
      <c r="G397" s="62"/>
      <c r="I397" s="86" t="e">
        <f t="shared" si="20"/>
        <v>#DIV/0!</v>
      </c>
      <c r="J397" s="87" t="e">
        <f t="shared" si="20"/>
        <v>#DIV/0!</v>
      </c>
      <c r="K397" s="87" t="e">
        <f t="shared" si="20"/>
        <v>#DIV/0!</v>
      </c>
      <c r="L397" s="87" t="e">
        <f t="shared" si="20"/>
        <v>#DIV/0!</v>
      </c>
      <c r="M397" s="88" t="e">
        <f t="shared" si="20"/>
        <v>#DIV/0!</v>
      </c>
      <c r="O397" s="61" t="str">
        <f t="shared" si="21"/>
        <v>חיפה כרמל</v>
      </c>
      <c r="P397" s="61" t="str">
        <f t="shared" si="22"/>
        <v>עכו</v>
      </c>
    </row>
    <row r="398" spans="1:16" x14ac:dyDescent="0.3">
      <c r="A398" s="61">
        <v>16</v>
      </c>
      <c r="B398" s="61">
        <v>3</v>
      </c>
      <c r="C398" s="60"/>
      <c r="G398" s="62"/>
      <c r="I398" s="86" t="e">
        <f t="shared" si="20"/>
        <v>#DIV/0!</v>
      </c>
      <c r="J398" s="87" t="e">
        <f t="shared" si="20"/>
        <v>#DIV/0!</v>
      </c>
      <c r="K398" s="87" t="e">
        <f t="shared" si="20"/>
        <v>#DIV/0!</v>
      </c>
      <c r="L398" s="87" t="e">
        <f t="shared" si="20"/>
        <v>#DIV/0!</v>
      </c>
      <c r="M398" s="88" t="e">
        <f t="shared" si="20"/>
        <v>#DIV/0!</v>
      </c>
      <c r="O398" s="61" t="str">
        <f t="shared" si="21"/>
        <v>חיפה כרמל</v>
      </c>
      <c r="P398" s="61" t="str">
        <f t="shared" si="22"/>
        <v>כרמיאל</v>
      </c>
    </row>
    <row r="399" spans="1:16" x14ac:dyDescent="0.3">
      <c r="A399" s="61">
        <v>16</v>
      </c>
      <c r="B399" s="61">
        <v>4</v>
      </c>
      <c r="C399" s="60"/>
      <c r="G399" s="62"/>
      <c r="I399" s="86" t="e">
        <f t="shared" si="20"/>
        <v>#DIV/0!</v>
      </c>
      <c r="J399" s="87" t="e">
        <f t="shared" si="20"/>
        <v>#DIV/0!</v>
      </c>
      <c r="K399" s="87" t="e">
        <f t="shared" si="20"/>
        <v>#DIV/0!</v>
      </c>
      <c r="L399" s="87" t="e">
        <f t="shared" si="20"/>
        <v>#DIV/0!</v>
      </c>
      <c r="M399" s="88" t="e">
        <f t="shared" si="20"/>
        <v>#DIV/0!</v>
      </c>
      <c r="O399" s="61" t="str">
        <f t="shared" si="21"/>
        <v>חיפה כרמל</v>
      </c>
      <c r="P399" s="61" t="str">
        <f t="shared" si="22"/>
        <v>שפרעם</v>
      </c>
    </row>
    <row r="400" spans="1:16" x14ac:dyDescent="0.3">
      <c r="A400" s="61">
        <v>16</v>
      </c>
      <c r="B400" s="61">
        <v>5</v>
      </c>
      <c r="C400" s="60"/>
      <c r="G400" s="62"/>
      <c r="I400" s="86" t="e">
        <f t="shared" si="20"/>
        <v>#DIV/0!</v>
      </c>
      <c r="J400" s="87" t="e">
        <f t="shared" si="20"/>
        <v>#DIV/0!</v>
      </c>
      <c r="K400" s="87" t="e">
        <f t="shared" si="20"/>
        <v>#DIV/0!</v>
      </c>
      <c r="L400" s="87" t="e">
        <f t="shared" si="20"/>
        <v>#DIV/0!</v>
      </c>
      <c r="M400" s="88" t="e">
        <f t="shared" si="20"/>
        <v>#DIV/0!</v>
      </c>
      <c r="O400" s="61" t="str">
        <f t="shared" si="21"/>
        <v>חיפה כרמל</v>
      </c>
      <c r="P400" s="61" t="str">
        <f t="shared" si="22"/>
        <v>קרית ים</v>
      </c>
    </row>
    <row r="401" spans="1:16" x14ac:dyDescent="0.3">
      <c r="A401" s="61">
        <v>16</v>
      </c>
      <c r="B401" s="61">
        <v>6</v>
      </c>
      <c r="C401" s="60"/>
      <c r="G401" s="62"/>
      <c r="I401" s="86" t="e">
        <f t="shared" si="20"/>
        <v>#DIV/0!</v>
      </c>
      <c r="J401" s="87" t="e">
        <f t="shared" si="20"/>
        <v>#DIV/0!</v>
      </c>
      <c r="K401" s="87" t="e">
        <f t="shared" si="20"/>
        <v>#DIV/0!</v>
      </c>
      <c r="L401" s="87" t="e">
        <f t="shared" si="20"/>
        <v>#DIV/0!</v>
      </c>
      <c r="M401" s="88" t="e">
        <f t="shared" si="20"/>
        <v>#DIV/0!</v>
      </c>
      <c r="O401" s="61" t="str">
        <f t="shared" si="21"/>
        <v>חיפה כרמל</v>
      </c>
      <c r="P401" s="61" t="str">
        <f t="shared" si="22"/>
        <v>קרית מוצקין</v>
      </c>
    </row>
    <row r="402" spans="1:16" x14ac:dyDescent="0.3">
      <c r="A402" s="61">
        <v>16</v>
      </c>
      <c r="B402" s="61">
        <v>7</v>
      </c>
      <c r="C402" s="60"/>
      <c r="G402" s="62"/>
      <c r="I402" s="86" t="e">
        <f t="shared" si="20"/>
        <v>#DIV/0!</v>
      </c>
      <c r="J402" s="87" t="e">
        <f t="shared" si="20"/>
        <v>#DIV/0!</v>
      </c>
      <c r="K402" s="87" t="e">
        <f t="shared" si="20"/>
        <v>#DIV/0!</v>
      </c>
      <c r="L402" s="87" t="e">
        <f t="shared" si="20"/>
        <v>#DIV/0!</v>
      </c>
      <c r="M402" s="88" t="e">
        <f t="shared" si="20"/>
        <v>#DIV/0!</v>
      </c>
      <c r="O402" s="61" t="str">
        <f t="shared" si="21"/>
        <v>חיפה כרמל</v>
      </c>
      <c r="P402" s="61" t="str">
        <f t="shared" si="22"/>
        <v>קרית ביאליק</v>
      </c>
    </row>
    <row r="403" spans="1:16" x14ac:dyDescent="0.3">
      <c r="A403" s="61">
        <v>16</v>
      </c>
      <c r="B403" s="61">
        <v>8</v>
      </c>
      <c r="C403" s="60"/>
      <c r="G403" s="62"/>
      <c r="I403" s="86" t="e">
        <f t="shared" si="20"/>
        <v>#DIV/0!</v>
      </c>
      <c r="J403" s="87" t="e">
        <f t="shared" si="20"/>
        <v>#DIV/0!</v>
      </c>
      <c r="K403" s="87" t="e">
        <f t="shared" si="20"/>
        <v>#DIV/0!</v>
      </c>
      <c r="L403" s="87" t="e">
        <f t="shared" si="20"/>
        <v>#DIV/0!</v>
      </c>
      <c r="M403" s="88" t="e">
        <f t="shared" si="20"/>
        <v>#DIV/0!</v>
      </c>
      <c r="O403" s="61" t="str">
        <f t="shared" si="21"/>
        <v>חיפה כרמל</v>
      </c>
      <c r="P403" s="61" t="str">
        <f t="shared" si="22"/>
        <v>קרית חיים</v>
      </c>
    </row>
    <row r="404" spans="1:16" x14ac:dyDescent="0.3">
      <c r="A404" s="61">
        <v>16</v>
      </c>
      <c r="B404" s="61">
        <v>9</v>
      </c>
      <c r="C404" s="60"/>
      <c r="G404" s="62"/>
      <c r="I404" s="86" t="e">
        <f t="shared" si="20"/>
        <v>#DIV/0!</v>
      </c>
      <c r="J404" s="87" t="e">
        <f t="shared" si="20"/>
        <v>#DIV/0!</v>
      </c>
      <c r="K404" s="87" t="e">
        <f t="shared" si="20"/>
        <v>#DIV/0!</v>
      </c>
      <c r="L404" s="87" t="e">
        <f t="shared" si="20"/>
        <v>#DIV/0!</v>
      </c>
      <c r="M404" s="88" t="e">
        <f t="shared" si="20"/>
        <v>#DIV/0!</v>
      </c>
      <c r="O404" s="61" t="str">
        <f t="shared" si="21"/>
        <v>חיפה כרמל</v>
      </c>
      <c r="P404" s="61" t="str">
        <f t="shared" si="22"/>
        <v>קרית אתא</v>
      </c>
    </row>
    <row r="405" spans="1:16" x14ac:dyDescent="0.3">
      <c r="A405" s="61">
        <v>16</v>
      </c>
      <c r="B405" s="61">
        <v>10</v>
      </c>
      <c r="C405" s="60"/>
      <c r="G405" s="62"/>
      <c r="I405" s="86" t="e">
        <f t="shared" si="20"/>
        <v>#DIV/0!</v>
      </c>
      <c r="J405" s="87" t="e">
        <f t="shared" si="20"/>
        <v>#DIV/0!</v>
      </c>
      <c r="K405" s="87" t="e">
        <f t="shared" si="20"/>
        <v>#DIV/0!</v>
      </c>
      <c r="L405" s="87" t="e">
        <f t="shared" si="20"/>
        <v>#DIV/0!</v>
      </c>
      <c r="M405" s="88" t="e">
        <f t="shared" si="20"/>
        <v>#DIV/0!</v>
      </c>
      <c r="O405" s="61" t="str">
        <f t="shared" si="21"/>
        <v>חיפה כרמל</v>
      </c>
      <c r="P405" s="61" t="str">
        <f t="shared" si="22"/>
        <v>כפר מנדא</v>
      </c>
    </row>
    <row r="406" spans="1:16" x14ac:dyDescent="0.3">
      <c r="A406" s="61">
        <v>16</v>
      </c>
      <c r="B406" s="61">
        <v>11</v>
      </c>
      <c r="C406" s="60"/>
      <c r="G406" s="62"/>
      <c r="I406" s="86" t="e">
        <f t="shared" si="20"/>
        <v>#DIV/0!</v>
      </c>
      <c r="J406" s="87" t="e">
        <f t="shared" si="20"/>
        <v>#DIV/0!</v>
      </c>
      <c r="K406" s="87" t="e">
        <f t="shared" si="20"/>
        <v>#DIV/0!</v>
      </c>
      <c r="L406" s="87" t="e">
        <f t="shared" si="20"/>
        <v>#DIV/0!</v>
      </c>
      <c r="M406" s="88" t="e">
        <f t="shared" si="20"/>
        <v>#DIV/0!</v>
      </c>
      <c r="O406" s="61" t="str">
        <f t="shared" si="21"/>
        <v>חיפה כרמל</v>
      </c>
      <c r="P406" s="61" t="str">
        <f t="shared" si="22"/>
        <v>זבולון</v>
      </c>
    </row>
    <row r="407" spans="1:16" x14ac:dyDescent="0.3">
      <c r="A407" s="61">
        <v>16</v>
      </c>
      <c r="B407" s="61">
        <v>12</v>
      </c>
      <c r="C407" s="60"/>
      <c r="G407" s="62"/>
      <c r="I407" s="86" t="e">
        <f t="shared" si="20"/>
        <v>#DIV/0!</v>
      </c>
      <c r="J407" s="87" t="e">
        <f t="shared" si="20"/>
        <v>#DIV/0!</v>
      </c>
      <c r="K407" s="87" t="e">
        <f t="shared" si="20"/>
        <v>#DIV/0!</v>
      </c>
      <c r="L407" s="87" t="e">
        <f t="shared" si="20"/>
        <v>#DIV/0!</v>
      </c>
      <c r="M407" s="88" t="e">
        <f t="shared" si="20"/>
        <v>#DIV/0!</v>
      </c>
      <c r="O407" s="61" t="str">
        <f t="shared" si="21"/>
        <v>חיפה כרמל</v>
      </c>
      <c r="P407" s="61" t="str">
        <f t="shared" si="22"/>
        <v>חיפה מפרץ</v>
      </c>
    </row>
    <row r="408" spans="1:16" x14ac:dyDescent="0.3">
      <c r="A408" s="61">
        <v>16</v>
      </c>
      <c r="B408" s="61">
        <v>13</v>
      </c>
      <c r="C408" s="60"/>
      <c r="G408" s="62"/>
      <c r="I408" s="86" t="e">
        <f t="shared" si="20"/>
        <v>#DIV/0!</v>
      </c>
      <c r="J408" s="87" t="e">
        <f t="shared" si="20"/>
        <v>#DIV/0!</v>
      </c>
      <c r="K408" s="87" t="e">
        <f t="shared" si="20"/>
        <v>#DIV/0!</v>
      </c>
      <c r="L408" s="87" t="e">
        <f t="shared" si="20"/>
        <v>#DIV/0!</v>
      </c>
      <c r="M408" s="88" t="e">
        <f t="shared" si="20"/>
        <v>#DIV/0!</v>
      </c>
      <c r="O408" s="61" t="str">
        <f t="shared" si="21"/>
        <v>חיפה כרמל</v>
      </c>
      <c r="P408" s="61" t="str">
        <f t="shared" si="22"/>
        <v>חיפה עיר תחתית</v>
      </c>
    </row>
    <row r="409" spans="1:16" x14ac:dyDescent="0.3">
      <c r="A409" s="61">
        <v>16</v>
      </c>
      <c r="B409" s="61">
        <v>14</v>
      </c>
      <c r="C409" s="60"/>
      <c r="G409" s="62"/>
      <c r="I409" s="86" t="e">
        <f t="shared" si="20"/>
        <v>#DIV/0!</v>
      </c>
      <c r="J409" s="87" t="e">
        <f t="shared" si="20"/>
        <v>#DIV/0!</v>
      </c>
      <c r="K409" s="87" t="e">
        <f t="shared" si="20"/>
        <v>#DIV/0!</v>
      </c>
      <c r="L409" s="87" t="e">
        <f t="shared" si="20"/>
        <v>#DIV/0!</v>
      </c>
      <c r="M409" s="88" t="e">
        <f t="shared" si="20"/>
        <v>#DIV/0!</v>
      </c>
      <c r="O409" s="61" t="str">
        <f t="shared" si="21"/>
        <v>חיפה כרמל</v>
      </c>
      <c r="P409" s="61" t="str">
        <f t="shared" si="22"/>
        <v>חיפה הדר-כרמל</v>
      </c>
    </row>
    <row r="410" spans="1:16" x14ac:dyDescent="0.3">
      <c r="A410" s="61">
        <v>16</v>
      </c>
      <c r="B410" s="61">
        <v>15</v>
      </c>
      <c r="C410" s="60"/>
      <c r="G410" s="62"/>
      <c r="I410" s="86" t="e">
        <f t="shared" si="20"/>
        <v>#DIV/0!</v>
      </c>
      <c r="J410" s="87" t="e">
        <f t="shared" si="20"/>
        <v>#DIV/0!</v>
      </c>
      <c r="K410" s="87" t="e">
        <f t="shared" si="20"/>
        <v>#DIV/0!</v>
      </c>
      <c r="L410" s="87" t="e">
        <f t="shared" si="20"/>
        <v>#DIV/0!</v>
      </c>
      <c r="M410" s="88" t="e">
        <f t="shared" si="20"/>
        <v>#DIV/0!</v>
      </c>
      <c r="O410" s="61" t="str">
        <f t="shared" si="21"/>
        <v>חיפה כרמל</v>
      </c>
      <c r="P410" s="61" t="str">
        <f t="shared" si="22"/>
        <v>חיפה מערב</v>
      </c>
    </row>
    <row r="411" spans="1:16" x14ac:dyDescent="0.3">
      <c r="A411" s="61">
        <v>16</v>
      </c>
      <c r="B411" s="61">
        <v>16</v>
      </c>
      <c r="C411" s="60"/>
      <c r="G411" s="62"/>
      <c r="I411" s="86" t="e">
        <f t="shared" si="20"/>
        <v>#DIV/0!</v>
      </c>
      <c r="J411" s="87" t="e">
        <f t="shared" si="20"/>
        <v>#DIV/0!</v>
      </c>
      <c r="K411" s="87" t="e">
        <f t="shared" si="20"/>
        <v>#DIV/0!</v>
      </c>
      <c r="L411" s="87" t="e">
        <f t="shared" si="20"/>
        <v>#DIV/0!</v>
      </c>
      <c r="M411" s="88" t="e">
        <f t="shared" si="20"/>
        <v>#DIV/0!</v>
      </c>
      <c r="O411" s="61" t="str">
        <f t="shared" si="21"/>
        <v>חיפה כרמל</v>
      </c>
      <c r="P411" s="61" t="str">
        <f t="shared" si="22"/>
        <v>חיפה כרמל</v>
      </c>
    </row>
    <row r="412" spans="1:16" x14ac:dyDescent="0.3">
      <c r="A412" s="61">
        <v>16</v>
      </c>
      <c r="B412" s="61">
        <v>17</v>
      </c>
      <c r="C412" s="60"/>
      <c r="G412" s="62"/>
      <c r="I412" s="86" t="e">
        <f t="shared" si="20"/>
        <v>#DIV/0!</v>
      </c>
      <c r="J412" s="87" t="e">
        <f t="shared" si="20"/>
        <v>#DIV/0!</v>
      </c>
      <c r="K412" s="87" t="e">
        <f t="shared" si="20"/>
        <v>#DIV/0!</v>
      </c>
      <c r="L412" s="87" t="e">
        <f t="shared" si="20"/>
        <v>#DIV/0!</v>
      </c>
      <c r="M412" s="88" t="e">
        <f t="shared" si="20"/>
        <v>#DIV/0!</v>
      </c>
      <c r="O412" s="61" t="str">
        <f t="shared" si="21"/>
        <v>חיפה כרמל</v>
      </c>
      <c r="P412" s="61" t="str">
        <f t="shared" si="22"/>
        <v>חיפה נווה שאנן</v>
      </c>
    </row>
    <row r="413" spans="1:16" x14ac:dyDescent="0.3">
      <c r="A413" s="61">
        <v>16</v>
      </c>
      <c r="B413" s="61">
        <v>18</v>
      </c>
      <c r="C413" s="60"/>
      <c r="G413" s="62"/>
      <c r="I413" s="86" t="e">
        <f t="shared" si="20"/>
        <v>#DIV/0!</v>
      </c>
      <c r="J413" s="87" t="e">
        <f t="shared" si="20"/>
        <v>#DIV/0!</v>
      </c>
      <c r="K413" s="87" t="e">
        <f t="shared" si="20"/>
        <v>#DIV/0!</v>
      </c>
      <c r="L413" s="87" t="e">
        <f t="shared" si="20"/>
        <v>#DIV/0!</v>
      </c>
      <c r="M413" s="88" t="e">
        <f t="shared" si="20"/>
        <v>#DIV/0!</v>
      </c>
      <c r="O413" s="61" t="str">
        <f t="shared" si="21"/>
        <v>חיפה כרמל</v>
      </c>
      <c r="P413" s="61" t="str">
        <f t="shared" si="22"/>
        <v>נשר</v>
      </c>
    </row>
    <row r="414" spans="1:16" x14ac:dyDescent="0.3">
      <c r="A414" s="61">
        <v>16</v>
      </c>
      <c r="B414" s="61">
        <v>19</v>
      </c>
      <c r="C414" s="60"/>
      <c r="G414" s="62"/>
      <c r="I414" s="86" t="e">
        <f t="shared" si="20"/>
        <v>#DIV/0!</v>
      </c>
      <c r="J414" s="87" t="e">
        <f t="shared" si="20"/>
        <v>#DIV/0!</v>
      </c>
      <c r="K414" s="87" t="e">
        <f t="shared" si="20"/>
        <v>#DIV/0!</v>
      </c>
      <c r="L414" s="87" t="e">
        <f t="shared" si="20"/>
        <v>#DIV/0!</v>
      </c>
      <c r="M414" s="88" t="e">
        <f t="shared" si="20"/>
        <v>#DIV/0!</v>
      </c>
      <c r="O414" s="61" t="str">
        <f t="shared" si="21"/>
        <v>חיפה כרמל</v>
      </c>
      <c r="P414" s="61" t="str">
        <f t="shared" si="22"/>
        <v>נצרת</v>
      </c>
    </row>
    <row r="415" spans="1:16" x14ac:dyDescent="0.3">
      <c r="A415" s="61">
        <v>16</v>
      </c>
      <c r="B415" s="61">
        <v>20</v>
      </c>
      <c r="C415" s="60"/>
      <c r="G415" s="62"/>
      <c r="I415" s="86" t="e">
        <f t="shared" si="20"/>
        <v>#DIV/0!</v>
      </c>
      <c r="J415" s="87" t="e">
        <f t="shared" si="20"/>
        <v>#DIV/0!</v>
      </c>
      <c r="K415" s="87" t="e">
        <f t="shared" si="20"/>
        <v>#DIV/0!</v>
      </c>
      <c r="L415" s="87" t="e">
        <f t="shared" si="20"/>
        <v>#DIV/0!</v>
      </c>
      <c r="M415" s="88" t="e">
        <f t="shared" si="20"/>
        <v>#DIV/0!</v>
      </c>
      <c r="O415" s="61" t="str">
        <f t="shared" si="21"/>
        <v>חיפה כרמל</v>
      </c>
      <c r="P415" s="61" t="str">
        <f t="shared" si="22"/>
        <v>נצרת-עילית</v>
      </c>
    </row>
    <row r="416" spans="1:16" x14ac:dyDescent="0.3">
      <c r="A416" s="61">
        <v>16</v>
      </c>
      <c r="B416" s="61">
        <v>21</v>
      </c>
      <c r="C416" s="60"/>
      <c r="G416" s="62"/>
      <c r="I416" s="86" t="e">
        <f t="shared" si="20"/>
        <v>#DIV/0!</v>
      </c>
      <c r="J416" s="87" t="e">
        <f t="shared" si="20"/>
        <v>#DIV/0!</v>
      </c>
      <c r="K416" s="87" t="e">
        <f t="shared" si="20"/>
        <v>#DIV/0!</v>
      </c>
      <c r="L416" s="87" t="e">
        <f t="shared" si="20"/>
        <v>#DIV/0!</v>
      </c>
      <c r="M416" s="88" t="e">
        <f t="shared" si="20"/>
        <v>#DIV/0!</v>
      </c>
      <c r="O416" s="61" t="str">
        <f t="shared" si="21"/>
        <v>חיפה כרמל</v>
      </c>
      <c r="P416" s="61" t="str">
        <f t="shared" si="22"/>
        <v>מגדל העמק</v>
      </c>
    </row>
    <row r="417" spans="1:16" x14ac:dyDescent="0.3">
      <c r="A417" s="61">
        <v>16</v>
      </c>
      <c r="B417" s="61">
        <v>22</v>
      </c>
      <c r="C417" s="60"/>
      <c r="G417" s="62"/>
      <c r="I417" s="86" t="e">
        <f t="shared" si="20"/>
        <v>#DIV/0!</v>
      </c>
      <c r="J417" s="87" t="e">
        <f t="shared" si="20"/>
        <v>#DIV/0!</v>
      </c>
      <c r="K417" s="87" t="e">
        <f t="shared" si="20"/>
        <v>#DIV/0!</v>
      </c>
      <c r="L417" s="87" t="e">
        <f t="shared" si="20"/>
        <v>#DIV/0!</v>
      </c>
      <c r="M417" s="88" t="e">
        <f t="shared" si="20"/>
        <v>#DIV/0!</v>
      </c>
      <c r="O417" s="61" t="str">
        <f t="shared" si="21"/>
        <v>חיפה כרמל</v>
      </c>
      <c r="P417" s="61" t="str">
        <f t="shared" si="22"/>
        <v>יוקנעם</v>
      </c>
    </row>
    <row r="418" spans="1:16" x14ac:dyDescent="0.3">
      <c r="A418" s="61">
        <v>16</v>
      </c>
      <c r="B418" s="61">
        <v>23</v>
      </c>
      <c r="C418" s="60"/>
      <c r="G418" s="62"/>
      <c r="I418" s="86" t="e">
        <f t="shared" si="20"/>
        <v>#DIV/0!</v>
      </c>
      <c r="J418" s="87" t="e">
        <f t="shared" si="20"/>
        <v>#DIV/0!</v>
      </c>
      <c r="K418" s="87" t="e">
        <f t="shared" si="20"/>
        <v>#DIV/0!</v>
      </c>
      <c r="L418" s="87" t="e">
        <f t="shared" si="20"/>
        <v>#DIV/0!</v>
      </c>
      <c r="M418" s="88" t="e">
        <f t="shared" si="20"/>
        <v>#DIV/0!</v>
      </c>
      <c r="O418" s="61" t="str">
        <f t="shared" si="21"/>
        <v>חיפה כרמל</v>
      </c>
      <c r="P418" s="61" t="str">
        <f t="shared" si="22"/>
        <v>דלית אל כרמל</v>
      </c>
    </row>
    <row r="419" spans="1:16" x14ac:dyDescent="0.3">
      <c r="A419" s="61">
        <v>16</v>
      </c>
      <c r="B419" s="61">
        <v>24</v>
      </c>
      <c r="C419" s="60"/>
      <c r="G419" s="62"/>
      <c r="I419" s="86" t="e">
        <f t="shared" si="20"/>
        <v>#DIV/0!</v>
      </c>
      <c r="J419" s="87" t="e">
        <f t="shared" si="20"/>
        <v>#DIV/0!</v>
      </c>
      <c r="K419" s="87" t="e">
        <f t="shared" si="20"/>
        <v>#DIV/0!</v>
      </c>
      <c r="L419" s="87" t="e">
        <f t="shared" si="20"/>
        <v>#DIV/0!</v>
      </c>
      <c r="M419" s="88" t="e">
        <f t="shared" si="20"/>
        <v>#DIV/0!</v>
      </c>
      <c r="O419" s="61" t="str">
        <f t="shared" si="21"/>
        <v>חיפה כרמל</v>
      </c>
      <c r="P419" s="61" t="str">
        <f t="shared" si="22"/>
        <v>חוף הכרמל</v>
      </c>
    </row>
    <row r="420" spans="1:16" x14ac:dyDescent="0.3">
      <c r="A420" s="61">
        <v>16</v>
      </c>
      <c r="B420" s="61">
        <v>25</v>
      </c>
      <c r="C420" s="60"/>
      <c r="G420" s="62"/>
      <c r="I420" s="86" t="e">
        <f t="shared" si="20"/>
        <v>#DIV/0!</v>
      </c>
      <c r="J420" s="87" t="e">
        <f t="shared" si="20"/>
        <v>#DIV/0!</v>
      </c>
      <c r="K420" s="87" t="e">
        <f t="shared" si="20"/>
        <v>#DIV/0!</v>
      </c>
      <c r="L420" s="87" t="e">
        <f t="shared" si="20"/>
        <v>#DIV/0!</v>
      </c>
      <c r="M420" s="88" t="e">
        <f t="shared" si="20"/>
        <v>#DIV/0!</v>
      </c>
      <c r="O420" s="61" t="str">
        <f t="shared" si="21"/>
        <v>חיפה כרמל</v>
      </c>
      <c r="P420" s="61" t="str">
        <f t="shared" si="22"/>
        <v>זכרון יעקב</v>
      </c>
    </row>
    <row r="421" spans="1:16" x14ac:dyDescent="0.3">
      <c r="A421" s="61">
        <v>16</v>
      </c>
      <c r="B421" s="61">
        <v>30</v>
      </c>
      <c r="C421" s="60"/>
      <c r="G421" s="62"/>
      <c r="I421" s="86" t="e">
        <f t="shared" si="20"/>
        <v>#DIV/0!</v>
      </c>
      <c r="J421" s="87" t="e">
        <f t="shared" si="20"/>
        <v>#DIV/0!</v>
      </c>
      <c r="K421" s="87" t="e">
        <f t="shared" si="20"/>
        <v>#DIV/0!</v>
      </c>
      <c r="L421" s="87" t="e">
        <f t="shared" si="20"/>
        <v>#DIV/0!</v>
      </c>
      <c r="M421" s="88" t="e">
        <f t="shared" si="20"/>
        <v>#DIV/0!</v>
      </c>
      <c r="O421" s="61" t="str">
        <f t="shared" si="21"/>
        <v>חיפה כרמל</v>
      </c>
      <c r="P421" s="61" t="str">
        <f t="shared" si="22"/>
        <v>סכנין</v>
      </c>
    </row>
    <row r="422" spans="1:16" x14ac:dyDescent="0.3">
      <c r="A422" s="61">
        <v>17</v>
      </c>
      <c r="B422" s="61">
        <v>1</v>
      </c>
      <c r="C422" s="60"/>
      <c r="G422" s="62"/>
      <c r="I422" s="86" t="e">
        <f t="shared" si="20"/>
        <v>#DIV/0!</v>
      </c>
      <c r="J422" s="87" t="e">
        <f t="shared" si="20"/>
        <v>#DIV/0!</v>
      </c>
      <c r="K422" s="87" t="e">
        <f t="shared" si="20"/>
        <v>#DIV/0!</v>
      </c>
      <c r="L422" s="87" t="e">
        <f t="shared" si="20"/>
        <v>#DIV/0!</v>
      </c>
      <c r="M422" s="88" t="e">
        <f t="shared" si="20"/>
        <v>#DIV/0!</v>
      </c>
      <c r="O422" s="61" t="str">
        <f t="shared" si="21"/>
        <v>חיפה נווה שאנן</v>
      </c>
      <c r="P422" s="61" t="str">
        <f t="shared" si="22"/>
        <v>נהריה</v>
      </c>
    </row>
    <row r="423" spans="1:16" x14ac:dyDescent="0.3">
      <c r="A423" s="61">
        <v>17</v>
      </c>
      <c r="B423" s="61">
        <v>2</v>
      </c>
      <c r="C423" s="60"/>
      <c r="G423" s="62"/>
      <c r="I423" s="86" t="e">
        <f t="shared" si="20"/>
        <v>#DIV/0!</v>
      </c>
      <c r="J423" s="87" t="e">
        <f t="shared" si="20"/>
        <v>#DIV/0!</v>
      </c>
      <c r="K423" s="87" t="e">
        <f t="shared" si="20"/>
        <v>#DIV/0!</v>
      </c>
      <c r="L423" s="87" t="e">
        <f t="shared" si="20"/>
        <v>#DIV/0!</v>
      </c>
      <c r="M423" s="88" t="e">
        <f t="shared" si="20"/>
        <v>#DIV/0!</v>
      </c>
      <c r="O423" s="61" t="str">
        <f t="shared" si="21"/>
        <v>חיפה נווה שאנן</v>
      </c>
      <c r="P423" s="61" t="str">
        <f t="shared" si="22"/>
        <v>עכו</v>
      </c>
    </row>
    <row r="424" spans="1:16" x14ac:dyDescent="0.3">
      <c r="A424" s="61">
        <v>17</v>
      </c>
      <c r="B424" s="61">
        <v>3</v>
      </c>
      <c r="C424" s="60"/>
      <c r="G424" s="62"/>
      <c r="I424" s="86" t="e">
        <f t="shared" si="20"/>
        <v>#DIV/0!</v>
      </c>
      <c r="J424" s="87" t="e">
        <f t="shared" si="20"/>
        <v>#DIV/0!</v>
      </c>
      <c r="K424" s="87" t="e">
        <f t="shared" si="20"/>
        <v>#DIV/0!</v>
      </c>
      <c r="L424" s="87" t="e">
        <f t="shared" si="20"/>
        <v>#DIV/0!</v>
      </c>
      <c r="M424" s="88" t="e">
        <f t="shared" si="20"/>
        <v>#DIV/0!</v>
      </c>
      <c r="O424" s="61" t="str">
        <f t="shared" si="21"/>
        <v>חיפה נווה שאנן</v>
      </c>
      <c r="P424" s="61" t="str">
        <f t="shared" si="22"/>
        <v>כרמיאל</v>
      </c>
    </row>
    <row r="425" spans="1:16" x14ac:dyDescent="0.3">
      <c r="A425" s="61">
        <v>17</v>
      </c>
      <c r="B425" s="61">
        <v>4</v>
      </c>
      <c r="C425" s="60"/>
      <c r="G425" s="62"/>
      <c r="I425" s="86" t="e">
        <f t="shared" si="20"/>
        <v>#DIV/0!</v>
      </c>
      <c r="J425" s="87" t="e">
        <f t="shared" si="20"/>
        <v>#DIV/0!</v>
      </c>
      <c r="K425" s="87" t="e">
        <f t="shared" si="20"/>
        <v>#DIV/0!</v>
      </c>
      <c r="L425" s="87" t="e">
        <f t="shared" si="20"/>
        <v>#DIV/0!</v>
      </c>
      <c r="M425" s="88" t="e">
        <f t="shared" si="20"/>
        <v>#DIV/0!</v>
      </c>
      <c r="O425" s="61" t="str">
        <f t="shared" si="21"/>
        <v>חיפה נווה שאנן</v>
      </c>
      <c r="P425" s="61" t="str">
        <f t="shared" si="22"/>
        <v>שפרעם</v>
      </c>
    </row>
    <row r="426" spans="1:16" x14ac:dyDescent="0.3">
      <c r="A426" s="61">
        <v>17</v>
      </c>
      <c r="B426" s="61">
        <v>5</v>
      </c>
      <c r="C426" s="60"/>
      <c r="G426" s="62"/>
      <c r="I426" s="86" t="e">
        <f t="shared" si="20"/>
        <v>#DIV/0!</v>
      </c>
      <c r="J426" s="87" t="e">
        <f t="shared" si="20"/>
        <v>#DIV/0!</v>
      </c>
      <c r="K426" s="87" t="e">
        <f t="shared" si="20"/>
        <v>#DIV/0!</v>
      </c>
      <c r="L426" s="87" t="e">
        <f t="shared" si="20"/>
        <v>#DIV/0!</v>
      </c>
      <c r="M426" s="88" t="e">
        <f t="shared" si="20"/>
        <v>#DIV/0!</v>
      </c>
      <c r="O426" s="61" t="str">
        <f t="shared" si="21"/>
        <v>חיפה נווה שאנן</v>
      </c>
      <c r="P426" s="61" t="str">
        <f t="shared" si="22"/>
        <v>קרית ים</v>
      </c>
    </row>
    <row r="427" spans="1:16" x14ac:dyDescent="0.3">
      <c r="A427" s="61">
        <v>17</v>
      </c>
      <c r="B427" s="61">
        <v>6</v>
      </c>
      <c r="C427" s="60"/>
      <c r="G427" s="62"/>
      <c r="I427" s="86" t="e">
        <f t="shared" ref="I427:M477" si="23">C427/SUM($C427:$G427)</f>
        <v>#DIV/0!</v>
      </c>
      <c r="J427" s="87" t="e">
        <f t="shared" si="23"/>
        <v>#DIV/0!</v>
      </c>
      <c r="K427" s="87" t="e">
        <f t="shared" si="23"/>
        <v>#DIV/0!</v>
      </c>
      <c r="L427" s="87" t="e">
        <f t="shared" si="23"/>
        <v>#DIV/0!</v>
      </c>
      <c r="M427" s="88" t="e">
        <f t="shared" si="23"/>
        <v>#DIV/0!</v>
      </c>
      <c r="O427" s="61" t="str">
        <f t="shared" si="21"/>
        <v>חיפה נווה שאנן</v>
      </c>
      <c r="P427" s="61" t="str">
        <f t="shared" si="22"/>
        <v>קרית מוצקין</v>
      </c>
    </row>
    <row r="428" spans="1:16" x14ac:dyDescent="0.3">
      <c r="A428" s="61">
        <v>17</v>
      </c>
      <c r="B428" s="61">
        <v>7</v>
      </c>
      <c r="C428" s="60"/>
      <c r="G428" s="62"/>
      <c r="I428" s="86" t="e">
        <f t="shared" si="23"/>
        <v>#DIV/0!</v>
      </c>
      <c r="J428" s="87" t="e">
        <f t="shared" si="23"/>
        <v>#DIV/0!</v>
      </c>
      <c r="K428" s="87" t="e">
        <f t="shared" si="23"/>
        <v>#DIV/0!</v>
      </c>
      <c r="L428" s="87" t="e">
        <f t="shared" si="23"/>
        <v>#DIV/0!</v>
      </c>
      <c r="M428" s="88" t="e">
        <f t="shared" si="23"/>
        <v>#DIV/0!</v>
      </c>
      <c r="O428" s="61" t="str">
        <f t="shared" si="21"/>
        <v>חיפה נווה שאנן</v>
      </c>
      <c r="P428" s="61" t="str">
        <f t="shared" si="22"/>
        <v>קרית ביאליק</v>
      </c>
    </row>
    <row r="429" spans="1:16" x14ac:dyDescent="0.3">
      <c r="A429" s="61">
        <v>17</v>
      </c>
      <c r="B429" s="61">
        <v>8</v>
      </c>
      <c r="C429" s="60"/>
      <c r="G429" s="62"/>
      <c r="I429" s="86" t="e">
        <f t="shared" si="23"/>
        <v>#DIV/0!</v>
      </c>
      <c r="J429" s="87" t="e">
        <f t="shared" si="23"/>
        <v>#DIV/0!</v>
      </c>
      <c r="K429" s="87" t="e">
        <f t="shared" si="23"/>
        <v>#DIV/0!</v>
      </c>
      <c r="L429" s="87" t="e">
        <f t="shared" si="23"/>
        <v>#DIV/0!</v>
      </c>
      <c r="M429" s="88" t="e">
        <f t="shared" si="23"/>
        <v>#DIV/0!</v>
      </c>
      <c r="O429" s="61" t="str">
        <f t="shared" si="21"/>
        <v>חיפה נווה שאנן</v>
      </c>
      <c r="P429" s="61" t="str">
        <f t="shared" si="22"/>
        <v>קרית חיים</v>
      </c>
    </row>
    <row r="430" spans="1:16" x14ac:dyDescent="0.3">
      <c r="A430" s="61">
        <v>17</v>
      </c>
      <c r="B430" s="61">
        <v>9</v>
      </c>
      <c r="C430" s="60"/>
      <c r="G430" s="62"/>
      <c r="I430" s="86" t="e">
        <f t="shared" si="23"/>
        <v>#DIV/0!</v>
      </c>
      <c r="J430" s="87" t="e">
        <f t="shared" si="23"/>
        <v>#DIV/0!</v>
      </c>
      <c r="K430" s="87" t="e">
        <f t="shared" si="23"/>
        <v>#DIV/0!</v>
      </c>
      <c r="L430" s="87" t="e">
        <f t="shared" si="23"/>
        <v>#DIV/0!</v>
      </c>
      <c r="M430" s="88" t="e">
        <f t="shared" si="23"/>
        <v>#DIV/0!</v>
      </c>
      <c r="O430" s="61" t="str">
        <f t="shared" si="21"/>
        <v>חיפה נווה שאנן</v>
      </c>
      <c r="P430" s="61" t="str">
        <f t="shared" si="22"/>
        <v>קרית אתא</v>
      </c>
    </row>
    <row r="431" spans="1:16" x14ac:dyDescent="0.3">
      <c r="A431" s="61">
        <v>17</v>
      </c>
      <c r="B431" s="61">
        <v>10</v>
      </c>
      <c r="C431" s="60"/>
      <c r="G431" s="62"/>
      <c r="I431" s="86" t="e">
        <f t="shared" si="23"/>
        <v>#DIV/0!</v>
      </c>
      <c r="J431" s="87" t="e">
        <f t="shared" si="23"/>
        <v>#DIV/0!</v>
      </c>
      <c r="K431" s="87" t="e">
        <f t="shared" si="23"/>
        <v>#DIV/0!</v>
      </c>
      <c r="L431" s="87" t="e">
        <f t="shared" si="23"/>
        <v>#DIV/0!</v>
      </c>
      <c r="M431" s="88" t="e">
        <f t="shared" si="23"/>
        <v>#DIV/0!</v>
      </c>
      <c r="O431" s="61" t="str">
        <f t="shared" si="21"/>
        <v>חיפה נווה שאנן</v>
      </c>
      <c r="P431" s="61" t="str">
        <f t="shared" si="22"/>
        <v>כפר מנדא</v>
      </c>
    </row>
    <row r="432" spans="1:16" x14ac:dyDescent="0.3">
      <c r="A432" s="61">
        <v>17</v>
      </c>
      <c r="B432" s="61">
        <v>11</v>
      </c>
      <c r="C432" s="60"/>
      <c r="G432" s="62"/>
      <c r="I432" s="86" t="e">
        <f t="shared" si="23"/>
        <v>#DIV/0!</v>
      </c>
      <c r="J432" s="87" t="e">
        <f t="shared" si="23"/>
        <v>#DIV/0!</v>
      </c>
      <c r="K432" s="87" t="e">
        <f t="shared" si="23"/>
        <v>#DIV/0!</v>
      </c>
      <c r="L432" s="87" t="e">
        <f t="shared" si="23"/>
        <v>#DIV/0!</v>
      </c>
      <c r="M432" s="88" t="e">
        <f t="shared" si="23"/>
        <v>#DIV/0!</v>
      </c>
      <c r="O432" s="61" t="str">
        <f t="shared" si="21"/>
        <v>חיפה נווה שאנן</v>
      </c>
      <c r="P432" s="61" t="str">
        <f t="shared" si="22"/>
        <v>זבולון</v>
      </c>
    </row>
    <row r="433" spans="1:16" x14ac:dyDescent="0.3">
      <c r="A433" s="61">
        <v>17</v>
      </c>
      <c r="B433" s="61">
        <v>12</v>
      </c>
      <c r="C433" s="60"/>
      <c r="G433" s="62"/>
      <c r="I433" s="86" t="e">
        <f t="shared" si="23"/>
        <v>#DIV/0!</v>
      </c>
      <c r="J433" s="87" t="e">
        <f t="shared" si="23"/>
        <v>#DIV/0!</v>
      </c>
      <c r="K433" s="87" t="e">
        <f t="shared" si="23"/>
        <v>#DIV/0!</v>
      </c>
      <c r="L433" s="87" t="e">
        <f t="shared" si="23"/>
        <v>#DIV/0!</v>
      </c>
      <c r="M433" s="88" t="e">
        <f t="shared" si="23"/>
        <v>#DIV/0!</v>
      </c>
      <c r="O433" s="61" t="str">
        <f t="shared" si="21"/>
        <v>חיפה נווה שאנן</v>
      </c>
      <c r="P433" s="61" t="str">
        <f t="shared" si="22"/>
        <v>חיפה מפרץ</v>
      </c>
    </row>
    <row r="434" spans="1:16" x14ac:dyDescent="0.3">
      <c r="A434" s="61">
        <v>17</v>
      </c>
      <c r="B434" s="61">
        <v>13</v>
      </c>
      <c r="C434" s="60"/>
      <c r="G434" s="62"/>
      <c r="I434" s="86" t="e">
        <f t="shared" si="23"/>
        <v>#DIV/0!</v>
      </c>
      <c r="J434" s="87" t="e">
        <f t="shared" si="23"/>
        <v>#DIV/0!</v>
      </c>
      <c r="K434" s="87" t="e">
        <f t="shared" si="23"/>
        <v>#DIV/0!</v>
      </c>
      <c r="L434" s="87" t="e">
        <f t="shared" si="23"/>
        <v>#DIV/0!</v>
      </c>
      <c r="M434" s="88" t="e">
        <f t="shared" si="23"/>
        <v>#DIV/0!</v>
      </c>
      <c r="O434" s="61" t="str">
        <f t="shared" si="21"/>
        <v>חיפה נווה שאנן</v>
      </c>
      <c r="P434" s="61" t="str">
        <f t="shared" si="22"/>
        <v>חיפה עיר תחתית</v>
      </c>
    </row>
    <row r="435" spans="1:16" x14ac:dyDescent="0.3">
      <c r="A435" s="61">
        <v>17</v>
      </c>
      <c r="B435" s="61">
        <v>14</v>
      </c>
      <c r="C435" s="60"/>
      <c r="G435" s="62"/>
      <c r="I435" s="86" t="e">
        <f t="shared" si="23"/>
        <v>#DIV/0!</v>
      </c>
      <c r="J435" s="87" t="e">
        <f t="shared" si="23"/>
        <v>#DIV/0!</v>
      </c>
      <c r="K435" s="87" t="e">
        <f t="shared" si="23"/>
        <v>#DIV/0!</v>
      </c>
      <c r="L435" s="87" t="e">
        <f t="shared" si="23"/>
        <v>#DIV/0!</v>
      </c>
      <c r="M435" s="88" t="e">
        <f t="shared" si="23"/>
        <v>#DIV/0!</v>
      </c>
      <c r="O435" s="61" t="str">
        <f t="shared" si="21"/>
        <v>חיפה נווה שאנן</v>
      </c>
      <c r="P435" s="61" t="str">
        <f t="shared" si="22"/>
        <v>חיפה הדר-כרמל</v>
      </c>
    </row>
    <row r="436" spans="1:16" x14ac:dyDescent="0.3">
      <c r="A436" s="61">
        <v>17</v>
      </c>
      <c r="B436" s="61">
        <v>15</v>
      </c>
      <c r="C436" s="60"/>
      <c r="G436" s="62"/>
      <c r="I436" s="86" t="e">
        <f t="shared" si="23"/>
        <v>#DIV/0!</v>
      </c>
      <c r="J436" s="87" t="e">
        <f t="shared" si="23"/>
        <v>#DIV/0!</v>
      </c>
      <c r="K436" s="87" t="e">
        <f t="shared" si="23"/>
        <v>#DIV/0!</v>
      </c>
      <c r="L436" s="87" t="e">
        <f t="shared" si="23"/>
        <v>#DIV/0!</v>
      </c>
      <c r="M436" s="88" t="e">
        <f t="shared" si="23"/>
        <v>#DIV/0!</v>
      </c>
      <c r="O436" s="61" t="str">
        <f t="shared" si="21"/>
        <v>חיפה נווה שאנן</v>
      </c>
      <c r="P436" s="61" t="str">
        <f t="shared" si="22"/>
        <v>חיפה מערב</v>
      </c>
    </row>
    <row r="437" spans="1:16" x14ac:dyDescent="0.3">
      <c r="A437" s="61">
        <v>17</v>
      </c>
      <c r="B437" s="61">
        <v>16</v>
      </c>
      <c r="C437" s="60"/>
      <c r="G437" s="62"/>
      <c r="I437" s="86" t="e">
        <f t="shared" si="23"/>
        <v>#DIV/0!</v>
      </c>
      <c r="J437" s="87" t="e">
        <f t="shared" si="23"/>
        <v>#DIV/0!</v>
      </c>
      <c r="K437" s="87" t="e">
        <f t="shared" si="23"/>
        <v>#DIV/0!</v>
      </c>
      <c r="L437" s="87" t="e">
        <f t="shared" si="23"/>
        <v>#DIV/0!</v>
      </c>
      <c r="M437" s="88" t="e">
        <f t="shared" si="23"/>
        <v>#DIV/0!</v>
      </c>
      <c r="O437" s="61" t="str">
        <f t="shared" si="21"/>
        <v>חיפה נווה שאנן</v>
      </c>
      <c r="P437" s="61" t="str">
        <f t="shared" si="22"/>
        <v>חיפה כרמל</v>
      </c>
    </row>
    <row r="438" spans="1:16" x14ac:dyDescent="0.3">
      <c r="A438" s="61">
        <v>17</v>
      </c>
      <c r="B438" s="61">
        <v>17</v>
      </c>
      <c r="C438" s="60"/>
      <c r="G438" s="62"/>
      <c r="I438" s="86" t="e">
        <f t="shared" si="23"/>
        <v>#DIV/0!</v>
      </c>
      <c r="J438" s="87" t="e">
        <f t="shared" si="23"/>
        <v>#DIV/0!</v>
      </c>
      <c r="K438" s="87" t="e">
        <f t="shared" si="23"/>
        <v>#DIV/0!</v>
      </c>
      <c r="L438" s="87" t="e">
        <f t="shared" si="23"/>
        <v>#DIV/0!</v>
      </c>
      <c r="M438" s="88" t="e">
        <f t="shared" si="23"/>
        <v>#DIV/0!</v>
      </c>
      <c r="O438" s="61" t="str">
        <f t="shared" si="21"/>
        <v>חיפה נווה שאנן</v>
      </c>
      <c r="P438" s="61" t="str">
        <f t="shared" si="22"/>
        <v>חיפה נווה שאנן</v>
      </c>
    </row>
    <row r="439" spans="1:16" x14ac:dyDescent="0.3">
      <c r="A439" s="61">
        <v>17</v>
      </c>
      <c r="B439" s="61">
        <v>18</v>
      </c>
      <c r="C439" s="60"/>
      <c r="G439" s="62"/>
      <c r="I439" s="86" t="e">
        <f t="shared" si="23"/>
        <v>#DIV/0!</v>
      </c>
      <c r="J439" s="87" t="e">
        <f t="shared" si="23"/>
        <v>#DIV/0!</v>
      </c>
      <c r="K439" s="87" t="e">
        <f t="shared" si="23"/>
        <v>#DIV/0!</v>
      </c>
      <c r="L439" s="87" t="e">
        <f t="shared" si="23"/>
        <v>#DIV/0!</v>
      </c>
      <c r="M439" s="88" t="e">
        <f t="shared" si="23"/>
        <v>#DIV/0!</v>
      </c>
      <c r="O439" s="61" t="str">
        <f t="shared" si="21"/>
        <v>חיפה נווה שאנן</v>
      </c>
      <c r="P439" s="61" t="str">
        <f t="shared" si="22"/>
        <v>נשר</v>
      </c>
    </row>
    <row r="440" spans="1:16" x14ac:dyDescent="0.3">
      <c r="A440" s="61">
        <v>17</v>
      </c>
      <c r="B440" s="61">
        <v>19</v>
      </c>
      <c r="C440" s="60"/>
      <c r="G440" s="62"/>
      <c r="I440" s="86" t="e">
        <f t="shared" si="23"/>
        <v>#DIV/0!</v>
      </c>
      <c r="J440" s="87" t="e">
        <f t="shared" si="23"/>
        <v>#DIV/0!</v>
      </c>
      <c r="K440" s="87" t="e">
        <f t="shared" si="23"/>
        <v>#DIV/0!</v>
      </c>
      <c r="L440" s="87" t="e">
        <f t="shared" si="23"/>
        <v>#DIV/0!</v>
      </c>
      <c r="M440" s="88" t="e">
        <f t="shared" si="23"/>
        <v>#DIV/0!</v>
      </c>
      <c r="O440" s="61" t="str">
        <f t="shared" si="21"/>
        <v>חיפה נווה שאנן</v>
      </c>
      <c r="P440" s="61" t="str">
        <f t="shared" si="22"/>
        <v>נצרת</v>
      </c>
    </row>
    <row r="441" spans="1:16" x14ac:dyDescent="0.3">
      <c r="A441" s="61">
        <v>17</v>
      </c>
      <c r="B441" s="61">
        <v>20</v>
      </c>
      <c r="C441" s="60"/>
      <c r="G441" s="62"/>
      <c r="I441" s="86" t="e">
        <f t="shared" si="23"/>
        <v>#DIV/0!</v>
      </c>
      <c r="J441" s="87" t="e">
        <f t="shared" si="23"/>
        <v>#DIV/0!</v>
      </c>
      <c r="K441" s="87" t="e">
        <f t="shared" si="23"/>
        <v>#DIV/0!</v>
      </c>
      <c r="L441" s="87" t="e">
        <f t="shared" si="23"/>
        <v>#DIV/0!</v>
      </c>
      <c r="M441" s="88" t="e">
        <f t="shared" si="23"/>
        <v>#DIV/0!</v>
      </c>
      <c r="O441" s="61" t="str">
        <f t="shared" si="21"/>
        <v>חיפה נווה שאנן</v>
      </c>
      <c r="P441" s="61" t="str">
        <f t="shared" si="22"/>
        <v>נצרת-עילית</v>
      </c>
    </row>
    <row r="442" spans="1:16" x14ac:dyDescent="0.3">
      <c r="A442" s="61">
        <v>17</v>
      </c>
      <c r="B442" s="61">
        <v>21</v>
      </c>
      <c r="C442" s="60"/>
      <c r="G442" s="62"/>
      <c r="I442" s="86" t="e">
        <f t="shared" si="23"/>
        <v>#DIV/0!</v>
      </c>
      <c r="J442" s="87" t="e">
        <f t="shared" si="23"/>
        <v>#DIV/0!</v>
      </c>
      <c r="K442" s="87" t="e">
        <f t="shared" si="23"/>
        <v>#DIV/0!</v>
      </c>
      <c r="L442" s="87" t="e">
        <f t="shared" si="23"/>
        <v>#DIV/0!</v>
      </c>
      <c r="M442" s="88" t="e">
        <f t="shared" si="23"/>
        <v>#DIV/0!</v>
      </c>
      <c r="O442" s="61" t="str">
        <f t="shared" si="21"/>
        <v>חיפה נווה שאנן</v>
      </c>
      <c r="P442" s="61" t="str">
        <f t="shared" si="22"/>
        <v>מגדל העמק</v>
      </c>
    </row>
    <row r="443" spans="1:16" x14ac:dyDescent="0.3">
      <c r="A443" s="61">
        <v>17</v>
      </c>
      <c r="B443" s="61">
        <v>22</v>
      </c>
      <c r="C443" s="60"/>
      <c r="G443" s="62"/>
      <c r="I443" s="86" t="e">
        <f t="shared" si="23"/>
        <v>#DIV/0!</v>
      </c>
      <c r="J443" s="87" t="e">
        <f t="shared" si="23"/>
        <v>#DIV/0!</v>
      </c>
      <c r="K443" s="87" t="e">
        <f t="shared" si="23"/>
        <v>#DIV/0!</v>
      </c>
      <c r="L443" s="87" t="e">
        <f t="shared" si="23"/>
        <v>#DIV/0!</v>
      </c>
      <c r="M443" s="88" t="e">
        <f t="shared" si="23"/>
        <v>#DIV/0!</v>
      </c>
      <c r="O443" s="61" t="str">
        <f t="shared" si="21"/>
        <v>חיפה נווה שאנן</v>
      </c>
      <c r="P443" s="61" t="str">
        <f t="shared" si="22"/>
        <v>יוקנעם</v>
      </c>
    </row>
    <row r="444" spans="1:16" x14ac:dyDescent="0.3">
      <c r="A444" s="61">
        <v>17</v>
      </c>
      <c r="B444" s="61">
        <v>23</v>
      </c>
      <c r="C444" s="60"/>
      <c r="G444" s="62"/>
      <c r="I444" s="86" t="e">
        <f t="shared" si="23"/>
        <v>#DIV/0!</v>
      </c>
      <c r="J444" s="87" t="e">
        <f t="shared" si="23"/>
        <v>#DIV/0!</v>
      </c>
      <c r="K444" s="87" t="e">
        <f t="shared" si="23"/>
        <v>#DIV/0!</v>
      </c>
      <c r="L444" s="87" t="e">
        <f t="shared" si="23"/>
        <v>#DIV/0!</v>
      </c>
      <c r="M444" s="88" t="e">
        <f t="shared" si="23"/>
        <v>#DIV/0!</v>
      </c>
      <c r="O444" s="61" t="str">
        <f t="shared" si="21"/>
        <v>חיפה נווה שאנן</v>
      </c>
      <c r="P444" s="61" t="str">
        <f t="shared" si="22"/>
        <v>דלית אל כרמל</v>
      </c>
    </row>
    <row r="445" spans="1:16" x14ac:dyDescent="0.3">
      <c r="A445" s="61">
        <v>17</v>
      </c>
      <c r="B445" s="61">
        <v>24</v>
      </c>
      <c r="C445" s="60"/>
      <c r="G445" s="62"/>
      <c r="I445" s="86" t="e">
        <f t="shared" si="23"/>
        <v>#DIV/0!</v>
      </c>
      <c r="J445" s="87" t="e">
        <f t="shared" si="23"/>
        <v>#DIV/0!</v>
      </c>
      <c r="K445" s="87" t="e">
        <f t="shared" si="23"/>
        <v>#DIV/0!</v>
      </c>
      <c r="L445" s="87" t="e">
        <f t="shared" si="23"/>
        <v>#DIV/0!</v>
      </c>
      <c r="M445" s="88" t="e">
        <f t="shared" si="23"/>
        <v>#DIV/0!</v>
      </c>
      <c r="O445" s="61" t="str">
        <f t="shared" si="21"/>
        <v>חיפה נווה שאנן</v>
      </c>
      <c r="P445" s="61" t="str">
        <f t="shared" si="22"/>
        <v>חוף הכרמל</v>
      </c>
    </row>
    <row r="446" spans="1:16" x14ac:dyDescent="0.3">
      <c r="A446" s="61">
        <v>17</v>
      </c>
      <c r="B446" s="61">
        <v>25</v>
      </c>
      <c r="C446" s="60"/>
      <c r="G446" s="62"/>
      <c r="I446" s="86" t="e">
        <f t="shared" si="23"/>
        <v>#DIV/0!</v>
      </c>
      <c r="J446" s="87" t="e">
        <f t="shared" si="23"/>
        <v>#DIV/0!</v>
      </c>
      <c r="K446" s="87" t="e">
        <f t="shared" si="23"/>
        <v>#DIV/0!</v>
      </c>
      <c r="L446" s="87" t="e">
        <f t="shared" si="23"/>
        <v>#DIV/0!</v>
      </c>
      <c r="M446" s="88" t="e">
        <f t="shared" si="23"/>
        <v>#DIV/0!</v>
      </c>
      <c r="O446" s="61" t="str">
        <f t="shared" si="21"/>
        <v>חיפה נווה שאנן</v>
      </c>
      <c r="P446" s="61" t="str">
        <f t="shared" si="22"/>
        <v>זכרון יעקב</v>
      </c>
    </row>
    <row r="447" spans="1:16" x14ac:dyDescent="0.3">
      <c r="A447" s="61">
        <v>17</v>
      </c>
      <c r="B447" s="61">
        <v>30</v>
      </c>
      <c r="C447" s="60"/>
      <c r="G447" s="62"/>
      <c r="I447" s="86" t="e">
        <f t="shared" si="23"/>
        <v>#DIV/0!</v>
      </c>
      <c r="J447" s="87" t="e">
        <f t="shared" si="23"/>
        <v>#DIV/0!</v>
      </c>
      <c r="K447" s="87" t="e">
        <f t="shared" si="23"/>
        <v>#DIV/0!</v>
      </c>
      <c r="L447" s="87" t="e">
        <f t="shared" si="23"/>
        <v>#DIV/0!</v>
      </c>
      <c r="M447" s="88" t="e">
        <f t="shared" si="23"/>
        <v>#DIV/0!</v>
      </c>
      <c r="O447" s="61" t="str">
        <f t="shared" si="21"/>
        <v>חיפה נווה שאנן</v>
      </c>
      <c r="P447" s="61" t="str">
        <f t="shared" si="22"/>
        <v>סכנין</v>
      </c>
    </row>
    <row r="448" spans="1:16" x14ac:dyDescent="0.3">
      <c r="A448" s="61">
        <v>18</v>
      </c>
      <c r="B448" s="61">
        <v>1</v>
      </c>
      <c r="C448" s="60"/>
      <c r="G448" s="62"/>
      <c r="I448" s="86" t="e">
        <f t="shared" si="23"/>
        <v>#DIV/0!</v>
      </c>
      <c r="J448" s="87" t="e">
        <f t="shared" si="23"/>
        <v>#DIV/0!</v>
      </c>
      <c r="K448" s="87" t="e">
        <f t="shared" si="23"/>
        <v>#DIV/0!</v>
      </c>
      <c r="L448" s="87" t="e">
        <f t="shared" si="23"/>
        <v>#DIV/0!</v>
      </c>
      <c r="M448" s="88" t="e">
        <f t="shared" si="23"/>
        <v>#DIV/0!</v>
      </c>
      <c r="O448" s="61" t="str">
        <f t="shared" si="21"/>
        <v>נשר</v>
      </c>
      <c r="P448" s="61" t="str">
        <f t="shared" si="22"/>
        <v>נהריה</v>
      </c>
    </row>
    <row r="449" spans="1:16" x14ac:dyDescent="0.3">
      <c r="A449" s="61">
        <v>18</v>
      </c>
      <c r="B449" s="61">
        <v>2</v>
      </c>
      <c r="C449" s="60"/>
      <c r="G449" s="62"/>
      <c r="I449" s="86" t="e">
        <f t="shared" si="23"/>
        <v>#DIV/0!</v>
      </c>
      <c r="J449" s="87" t="e">
        <f t="shared" si="23"/>
        <v>#DIV/0!</v>
      </c>
      <c r="K449" s="87" t="e">
        <f t="shared" si="23"/>
        <v>#DIV/0!</v>
      </c>
      <c r="L449" s="87" t="e">
        <f t="shared" si="23"/>
        <v>#DIV/0!</v>
      </c>
      <c r="M449" s="88" t="e">
        <f t="shared" si="23"/>
        <v>#DIV/0!</v>
      </c>
      <c r="O449" s="61" t="str">
        <f t="shared" si="21"/>
        <v>נשר</v>
      </c>
      <c r="P449" s="61" t="str">
        <f t="shared" si="22"/>
        <v>עכו</v>
      </c>
    </row>
    <row r="450" spans="1:16" x14ac:dyDescent="0.3">
      <c r="A450" s="61">
        <v>18</v>
      </c>
      <c r="B450" s="61">
        <v>3</v>
      </c>
      <c r="C450" s="60"/>
      <c r="G450" s="62"/>
      <c r="I450" s="86" t="e">
        <f t="shared" si="23"/>
        <v>#DIV/0!</v>
      </c>
      <c r="J450" s="87" t="e">
        <f t="shared" si="23"/>
        <v>#DIV/0!</v>
      </c>
      <c r="K450" s="87" t="e">
        <f t="shared" si="23"/>
        <v>#DIV/0!</v>
      </c>
      <c r="L450" s="87" t="e">
        <f t="shared" si="23"/>
        <v>#DIV/0!</v>
      </c>
      <c r="M450" s="88" t="e">
        <f t="shared" si="23"/>
        <v>#DIV/0!</v>
      </c>
      <c r="O450" s="61" t="str">
        <f t="shared" si="21"/>
        <v>נשר</v>
      </c>
      <c r="P450" s="61" t="str">
        <f t="shared" si="22"/>
        <v>כרמיאל</v>
      </c>
    </row>
    <row r="451" spans="1:16" x14ac:dyDescent="0.3">
      <c r="A451" s="61">
        <v>18</v>
      </c>
      <c r="B451" s="61">
        <v>4</v>
      </c>
      <c r="C451" s="60"/>
      <c r="G451" s="62"/>
      <c r="I451" s="86" t="e">
        <f t="shared" si="23"/>
        <v>#DIV/0!</v>
      </c>
      <c r="J451" s="87" t="e">
        <f t="shared" si="23"/>
        <v>#DIV/0!</v>
      </c>
      <c r="K451" s="87" t="e">
        <f t="shared" si="23"/>
        <v>#DIV/0!</v>
      </c>
      <c r="L451" s="87" t="e">
        <f t="shared" si="23"/>
        <v>#DIV/0!</v>
      </c>
      <c r="M451" s="88" t="e">
        <f t="shared" si="23"/>
        <v>#DIV/0!</v>
      </c>
      <c r="O451" s="61" t="str">
        <f t="shared" si="21"/>
        <v>נשר</v>
      </c>
      <c r="P451" s="61" t="str">
        <f t="shared" si="22"/>
        <v>שפרעם</v>
      </c>
    </row>
    <row r="452" spans="1:16" x14ac:dyDescent="0.3">
      <c r="A452" s="61">
        <v>18</v>
      </c>
      <c r="B452" s="61">
        <v>5</v>
      </c>
      <c r="C452" s="60"/>
      <c r="G452" s="62"/>
      <c r="I452" s="86" t="e">
        <f t="shared" si="23"/>
        <v>#DIV/0!</v>
      </c>
      <c r="J452" s="87" t="e">
        <f t="shared" si="23"/>
        <v>#DIV/0!</v>
      </c>
      <c r="K452" s="87" t="e">
        <f t="shared" si="23"/>
        <v>#DIV/0!</v>
      </c>
      <c r="L452" s="87" t="e">
        <f t="shared" si="23"/>
        <v>#DIV/0!</v>
      </c>
      <c r="M452" s="88" t="e">
        <f t="shared" si="23"/>
        <v>#DIV/0!</v>
      </c>
      <c r="O452" s="61" t="str">
        <f t="shared" si="21"/>
        <v>נשר</v>
      </c>
      <c r="P452" s="61" t="str">
        <f t="shared" si="22"/>
        <v>קרית ים</v>
      </c>
    </row>
    <row r="453" spans="1:16" x14ac:dyDescent="0.3">
      <c r="A453" s="61">
        <v>18</v>
      </c>
      <c r="B453" s="61">
        <v>6</v>
      </c>
      <c r="C453" s="60"/>
      <c r="G453" s="62"/>
      <c r="I453" s="86" t="e">
        <f t="shared" si="23"/>
        <v>#DIV/0!</v>
      </c>
      <c r="J453" s="87" t="e">
        <f t="shared" si="23"/>
        <v>#DIV/0!</v>
      </c>
      <c r="K453" s="87" t="e">
        <f t="shared" si="23"/>
        <v>#DIV/0!</v>
      </c>
      <c r="L453" s="87" t="e">
        <f t="shared" si="23"/>
        <v>#DIV/0!</v>
      </c>
      <c r="M453" s="88" t="e">
        <f t="shared" si="23"/>
        <v>#DIV/0!</v>
      </c>
      <c r="O453" s="61" t="str">
        <f t="shared" si="21"/>
        <v>נשר</v>
      </c>
      <c r="P453" s="61" t="str">
        <f t="shared" si="22"/>
        <v>קרית מוצקין</v>
      </c>
    </row>
    <row r="454" spans="1:16" x14ac:dyDescent="0.3">
      <c r="A454" s="61">
        <v>18</v>
      </c>
      <c r="B454" s="61">
        <v>7</v>
      </c>
      <c r="C454" s="60"/>
      <c r="G454" s="62"/>
      <c r="I454" s="86" t="e">
        <f t="shared" si="23"/>
        <v>#DIV/0!</v>
      </c>
      <c r="J454" s="87" t="e">
        <f t="shared" si="23"/>
        <v>#DIV/0!</v>
      </c>
      <c r="K454" s="87" t="e">
        <f t="shared" si="23"/>
        <v>#DIV/0!</v>
      </c>
      <c r="L454" s="87" t="e">
        <f t="shared" si="23"/>
        <v>#DIV/0!</v>
      </c>
      <c r="M454" s="88" t="e">
        <f t="shared" si="23"/>
        <v>#DIV/0!</v>
      </c>
      <c r="O454" s="61" t="str">
        <f t="shared" ref="O454:O517" si="24">VLOOKUP(A454,$S$6:$T$31,2,0)</f>
        <v>נשר</v>
      </c>
      <c r="P454" s="61" t="str">
        <f t="shared" ref="P454:P517" si="25">VLOOKUP(B454,$S$6:$T$31,2,0)</f>
        <v>קרית ביאליק</v>
      </c>
    </row>
    <row r="455" spans="1:16" x14ac:dyDescent="0.3">
      <c r="A455" s="61">
        <v>18</v>
      </c>
      <c r="B455" s="61">
        <v>8</v>
      </c>
      <c r="C455" s="60"/>
      <c r="G455" s="62"/>
      <c r="I455" s="86" t="e">
        <f t="shared" si="23"/>
        <v>#DIV/0!</v>
      </c>
      <c r="J455" s="87" t="e">
        <f t="shared" si="23"/>
        <v>#DIV/0!</v>
      </c>
      <c r="K455" s="87" t="e">
        <f t="shared" si="23"/>
        <v>#DIV/0!</v>
      </c>
      <c r="L455" s="87" t="e">
        <f t="shared" si="23"/>
        <v>#DIV/0!</v>
      </c>
      <c r="M455" s="88" t="e">
        <f t="shared" si="23"/>
        <v>#DIV/0!</v>
      </c>
      <c r="O455" s="61" t="str">
        <f t="shared" si="24"/>
        <v>נשר</v>
      </c>
      <c r="P455" s="61" t="str">
        <f t="shared" si="25"/>
        <v>קרית חיים</v>
      </c>
    </row>
    <row r="456" spans="1:16" x14ac:dyDescent="0.3">
      <c r="A456" s="61">
        <v>18</v>
      </c>
      <c r="B456" s="61">
        <v>9</v>
      </c>
      <c r="C456" s="60"/>
      <c r="G456" s="62"/>
      <c r="I456" s="86" t="e">
        <f t="shared" si="23"/>
        <v>#DIV/0!</v>
      </c>
      <c r="J456" s="87" t="e">
        <f t="shared" si="23"/>
        <v>#DIV/0!</v>
      </c>
      <c r="K456" s="87" t="e">
        <f t="shared" si="23"/>
        <v>#DIV/0!</v>
      </c>
      <c r="L456" s="87" t="e">
        <f t="shared" si="23"/>
        <v>#DIV/0!</v>
      </c>
      <c r="M456" s="88" t="e">
        <f t="shared" si="23"/>
        <v>#DIV/0!</v>
      </c>
      <c r="O456" s="61" t="str">
        <f t="shared" si="24"/>
        <v>נשר</v>
      </c>
      <c r="P456" s="61" t="str">
        <f t="shared" si="25"/>
        <v>קרית אתא</v>
      </c>
    </row>
    <row r="457" spans="1:16" x14ac:dyDescent="0.3">
      <c r="A457" s="61">
        <v>18</v>
      </c>
      <c r="B457" s="61">
        <v>10</v>
      </c>
      <c r="C457" s="60"/>
      <c r="G457" s="62"/>
      <c r="I457" s="86" t="e">
        <f t="shared" si="23"/>
        <v>#DIV/0!</v>
      </c>
      <c r="J457" s="87" t="e">
        <f t="shared" si="23"/>
        <v>#DIV/0!</v>
      </c>
      <c r="K457" s="87" t="e">
        <f t="shared" si="23"/>
        <v>#DIV/0!</v>
      </c>
      <c r="L457" s="87" t="e">
        <f t="shared" si="23"/>
        <v>#DIV/0!</v>
      </c>
      <c r="M457" s="88" t="e">
        <f t="shared" si="23"/>
        <v>#DIV/0!</v>
      </c>
      <c r="O457" s="61" t="str">
        <f t="shared" si="24"/>
        <v>נשר</v>
      </c>
      <c r="P457" s="61" t="str">
        <f t="shared" si="25"/>
        <v>כפר מנדא</v>
      </c>
    </row>
    <row r="458" spans="1:16" x14ac:dyDescent="0.3">
      <c r="A458" s="61">
        <v>18</v>
      </c>
      <c r="B458" s="61">
        <v>11</v>
      </c>
      <c r="C458" s="60"/>
      <c r="G458" s="62"/>
      <c r="I458" s="86" t="e">
        <f t="shared" si="23"/>
        <v>#DIV/0!</v>
      </c>
      <c r="J458" s="87" t="e">
        <f t="shared" si="23"/>
        <v>#DIV/0!</v>
      </c>
      <c r="K458" s="87" t="e">
        <f t="shared" si="23"/>
        <v>#DIV/0!</v>
      </c>
      <c r="L458" s="87" t="e">
        <f t="shared" si="23"/>
        <v>#DIV/0!</v>
      </c>
      <c r="M458" s="88" t="e">
        <f t="shared" si="23"/>
        <v>#DIV/0!</v>
      </c>
      <c r="O458" s="61" t="str">
        <f t="shared" si="24"/>
        <v>נשר</v>
      </c>
      <c r="P458" s="61" t="str">
        <f t="shared" si="25"/>
        <v>זבולון</v>
      </c>
    </row>
    <row r="459" spans="1:16" x14ac:dyDescent="0.3">
      <c r="A459" s="61">
        <v>18</v>
      </c>
      <c r="B459" s="61">
        <v>12</v>
      </c>
      <c r="C459" s="60"/>
      <c r="G459" s="62"/>
      <c r="I459" s="86" t="e">
        <f t="shared" si="23"/>
        <v>#DIV/0!</v>
      </c>
      <c r="J459" s="87" t="e">
        <f t="shared" si="23"/>
        <v>#DIV/0!</v>
      </c>
      <c r="K459" s="87" t="e">
        <f t="shared" si="23"/>
        <v>#DIV/0!</v>
      </c>
      <c r="L459" s="87" t="e">
        <f t="shared" si="23"/>
        <v>#DIV/0!</v>
      </c>
      <c r="M459" s="88" t="e">
        <f t="shared" si="23"/>
        <v>#DIV/0!</v>
      </c>
      <c r="O459" s="61" t="str">
        <f t="shared" si="24"/>
        <v>נשר</v>
      </c>
      <c r="P459" s="61" t="str">
        <f t="shared" si="25"/>
        <v>חיפה מפרץ</v>
      </c>
    </row>
    <row r="460" spans="1:16" x14ac:dyDescent="0.3">
      <c r="A460" s="61">
        <v>18</v>
      </c>
      <c r="B460" s="61">
        <v>13</v>
      </c>
      <c r="C460" s="60"/>
      <c r="G460" s="62"/>
      <c r="I460" s="86" t="e">
        <f t="shared" si="23"/>
        <v>#DIV/0!</v>
      </c>
      <c r="J460" s="87" t="e">
        <f t="shared" si="23"/>
        <v>#DIV/0!</v>
      </c>
      <c r="K460" s="87" t="e">
        <f t="shared" si="23"/>
        <v>#DIV/0!</v>
      </c>
      <c r="L460" s="87" t="e">
        <f t="shared" si="23"/>
        <v>#DIV/0!</v>
      </c>
      <c r="M460" s="88" t="e">
        <f t="shared" si="23"/>
        <v>#DIV/0!</v>
      </c>
      <c r="O460" s="61" t="str">
        <f t="shared" si="24"/>
        <v>נשר</v>
      </c>
      <c r="P460" s="61" t="str">
        <f t="shared" si="25"/>
        <v>חיפה עיר תחתית</v>
      </c>
    </row>
    <row r="461" spans="1:16" x14ac:dyDescent="0.3">
      <c r="A461" s="61">
        <v>18</v>
      </c>
      <c r="B461" s="61">
        <v>14</v>
      </c>
      <c r="C461" s="60"/>
      <c r="G461" s="62"/>
      <c r="I461" s="86" t="e">
        <f t="shared" si="23"/>
        <v>#DIV/0!</v>
      </c>
      <c r="J461" s="87" t="e">
        <f t="shared" si="23"/>
        <v>#DIV/0!</v>
      </c>
      <c r="K461" s="87" t="e">
        <f t="shared" si="23"/>
        <v>#DIV/0!</v>
      </c>
      <c r="L461" s="87" t="e">
        <f t="shared" si="23"/>
        <v>#DIV/0!</v>
      </c>
      <c r="M461" s="88" t="e">
        <f t="shared" si="23"/>
        <v>#DIV/0!</v>
      </c>
      <c r="O461" s="61" t="str">
        <f t="shared" si="24"/>
        <v>נשר</v>
      </c>
      <c r="P461" s="61" t="str">
        <f t="shared" si="25"/>
        <v>חיפה הדר-כרמל</v>
      </c>
    </row>
    <row r="462" spans="1:16" x14ac:dyDescent="0.3">
      <c r="A462" s="61">
        <v>18</v>
      </c>
      <c r="B462" s="61">
        <v>15</v>
      </c>
      <c r="C462" s="60"/>
      <c r="G462" s="62"/>
      <c r="I462" s="86" t="e">
        <f t="shared" si="23"/>
        <v>#DIV/0!</v>
      </c>
      <c r="J462" s="87" t="e">
        <f t="shared" si="23"/>
        <v>#DIV/0!</v>
      </c>
      <c r="K462" s="87" t="e">
        <f t="shared" si="23"/>
        <v>#DIV/0!</v>
      </c>
      <c r="L462" s="87" t="e">
        <f t="shared" si="23"/>
        <v>#DIV/0!</v>
      </c>
      <c r="M462" s="88" t="e">
        <f t="shared" si="23"/>
        <v>#DIV/0!</v>
      </c>
      <c r="O462" s="61" t="str">
        <f t="shared" si="24"/>
        <v>נשר</v>
      </c>
      <c r="P462" s="61" t="str">
        <f t="shared" si="25"/>
        <v>חיפה מערב</v>
      </c>
    </row>
    <row r="463" spans="1:16" x14ac:dyDescent="0.3">
      <c r="A463" s="61">
        <v>18</v>
      </c>
      <c r="B463" s="61">
        <v>16</v>
      </c>
      <c r="C463" s="60"/>
      <c r="G463" s="62"/>
      <c r="I463" s="86" t="e">
        <f t="shared" si="23"/>
        <v>#DIV/0!</v>
      </c>
      <c r="J463" s="87" t="e">
        <f t="shared" si="23"/>
        <v>#DIV/0!</v>
      </c>
      <c r="K463" s="87" t="e">
        <f t="shared" si="23"/>
        <v>#DIV/0!</v>
      </c>
      <c r="L463" s="87" t="e">
        <f t="shared" si="23"/>
        <v>#DIV/0!</v>
      </c>
      <c r="M463" s="88" t="e">
        <f t="shared" si="23"/>
        <v>#DIV/0!</v>
      </c>
      <c r="O463" s="61" t="str">
        <f t="shared" si="24"/>
        <v>נשר</v>
      </c>
      <c r="P463" s="61" t="str">
        <f t="shared" si="25"/>
        <v>חיפה כרמל</v>
      </c>
    </row>
    <row r="464" spans="1:16" x14ac:dyDescent="0.3">
      <c r="A464" s="61">
        <v>18</v>
      </c>
      <c r="B464" s="61">
        <v>17</v>
      </c>
      <c r="C464" s="60"/>
      <c r="G464" s="62"/>
      <c r="I464" s="86" t="e">
        <f t="shared" si="23"/>
        <v>#DIV/0!</v>
      </c>
      <c r="J464" s="87" t="e">
        <f t="shared" si="23"/>
        <v>#DIV/0!</v>
      </c>
      <c r="K464" s="87" t="e">
        <f t="shared" si="23"/>
        <v>#DIV/0!</v>
      </c>
      <c r="L464" s="87" t="e">
        <f t="shared" si="23"/>
        <v>#DIV/0!</v>
      </c>
      <c r="M464" s="88" t="e">
        <f t="shared" si="23"/>
        <v>#DIV/0!</v>
      </c>
      <c r="O464" s="61" t="str">
        <f t="shared" si="24"/>
        <v>נשר</v>
      </c>
      <c r="P464" s="61" t="str">
        <f t="shared" si="25"/>
        <v>חיפה נווה שאנן</v>
      </c>
    </row>
    <row r="465" spans="1:16" x14ac:dyDescent="0.3">
      <c r="A465" s="61">
        <v>18</v>
      </c>
      <c r="B465" s="61">
        <v>18</v>
      </c>
      <c r="C465" s="60"/>
      <c r="G465" s="62"/>
      <c r="I465" s="86" t="e">
        <f t="shared" si="23"/>
        <v>#DIV/0!</v>
      </c>
      <c r="J465" s="87" t="e">
        <f t="shared" si="23"/>
        <v>#DIV/0!</v>
      </c>
      <c r="K465" s="87" t="e">
        <f t="shared" si="23"/>
        <v>#DIV/0!</v>
      </c>
      <c r="L465" s="87" t="e">
        <f t="shared" si="23"/>
        <v>#DIV/0!</v>
      </c>
      <c r="M465" s="88" t="e">
        <f t="shared" si="23"/>
        <v>#DIV/0!</v>
      </c>
      <c r="O465" s="61" t="str">
        <f t="shared" si="24"/>
        <v>נשר</v>
      </c>
      <c r="P465" s="61" t="str">
        <f t="shared" si="25"/>
        <v>נשר</v>
      </c>
    </row>
    <row r="466" spans="1:16" x14ac:dyDescent="0.3">
      <c r="A466" s="61">
        <v>18</v>
      </c>
      <c r="B466" s="61">
        <v>19</v>
      </c>
      <c r="C466" s="60"/>
      <c r="G466" s="62"/>
      <c r="I466" s="86" t="e">
        <f t="shared" si="23"/>
        <v>#DIV/0!</v>
      </c>
      <c r="J466" s="87" t="e">
        <f t="shared" si="23"/>
        <v>#DIV/0!</v>
      </c>
      <c r="K466" s="87" t="e">
        <f t="shared" si="23"/>
        <v>#DIV/0!</v>
      </c>
      <c r="L466" s="87" t="e">
        <f t="shared" si="23"/>
        <v>#DIV/0!</v>
      </c>
      <c r="M466" s="88" t="e">
        <f t="shared" si="23"/>
        <v>#DIV/0!</v>
      </c>
      <c r="O466" s="61" t="str">
        <f t="shared" si="24"/>
        <v>נשר</v>
      </c>
      <c r="P466" s="61" t="str">
        <f t="shared" si="25"/>
        <v>נצרת</v>
      </c>
    </row>
    <row r="467" spans="1:16" x14ac:dyDescent="0.3">
      <c r="A467" s="61">
        <v>18</v>
      </c>
      <c r="B467" s="61">
        <v>20</v>
      </c>
      <c r="C467" s="60"/>
      <c r="G467" s="62"/>
      <c r="I467" s="86" t="e">
        <f t="shared" si="23"/>
        <v>#DIV/0!</v>
      </c>
      <c r="J467" s="87" t="e">
        <f t="shared" si="23"/>
        <v>#DIV/0!</v>
      </c>
      <c r="K467" s="87" t="e">
        <f t="shared" si="23"/>
        <v>#DIV/0!</v>
      </c>
      <c r="L467" s="87" t="e">
        <f t="shared" si="23"/>
        <v>#DIV/0!</v>
      </c>
      <c r="M467" s="88" t="e">
        <f t="shared" si="23"/>
        <v>#DIV/0!</v>
      </c>
      <c r="O467" s="61" t="str">
        <f t="shared" si="24"/>
        <v>נשר</v>
      </c>
      <c r="P467" s="61" t="str">
        <f t="shared" si="25"/>
        <v>נצרת-עילית</v>
      </c>
    </row>
    <row r="468" spans="1:16" x14ac:dyDescent="0.3">
      <c r="A468" s="61">
        <v>18</v>
      </c>
      <c r="B468" s="61">
        <v>21</v>
      </c>
      <c r="C468" s="60"/>
      <c r="G468" s="62"/>
      <c r="I468" s="86" t="e">
        <f t="shared" si="23"/>
        <v>#DIV/0!</v>
      </c>
      <c r="J468" s="87" t="e">
        <f t="shared" si="23"/>
        <v>#DIV/0!</v>
      </c>
      <c r="K468" s="87" t="e">
        <f t="shared" si="23"/>
        <v>#DIV/0!</v>
      </c>
      <c r="L468" s="87" t="e">
        <f t="shared" si="23"/>
        <v>#DIV/0!</v>
      </c>
      <c r="M468" s="88" t="e">
        <f t="shared" si="23"/>
        <v>#DIV/0!</v>
      </c>
      <c r="O468" s="61" t="str">
        <f t="shared" si="24"/>
        <v>נשר</v>
      </c>
      <c r="P468" s="61" t="str">
        <f t="shared" si="25"/>
        <v>מגדל העמק</v>
      </c>
    </row>
    <row r="469" spans="1:16" x14ac:dyDescent="0.3">
      <c r="A469" s="61">
        <v>18</v>
      </c>
      <c r="B469" s="61">
        <v>22</v>
      </c>
      <c r="C469" s="60"/>
      <c r="G469" s="62"/>
      <c r="I469" s="86" t="e">
        <f t="shared" si="23"/>
        <v>#DIV/0!</v>
      </c>
      <c r="J469" s="87" t="e">
        <f t="shared" si="23"/>
        <v>#DIV/0!</v>
      </c>
      <c r="K469" s="87" t="e">
        <f t="shared" si="23"/>
        <v>#DIV/0!</v>
      </c>
      <c r="L469" s="87" t="e">
        <f t="shared" si="23"/>
        <v>#DIV/0!</v>
      </c>
      <c r="M469" s="88" t="e">
        <f t="shared" si="23"/>
        <v>#DIV/0!</v>
      </c>
      <c r="O469" s="61" t="str">
        <f t="shared" si="24"/>
        <v>נשר</v>
      </c>
      <c r="P469" s="61" t="str">
        <f t="shared" si="25"/>
        <v>יוקנעם</v>
      </c>
    </row>
    <row r="470" spans="1:16" x14ac:dyDescent="0.3">
      <c r="A470" s="61">
        <v>18</v>
      </c>
      <c r="B470" s="61">
        <v>23</v>
      </c>
      <c r="C470" s="60"/>
      <c r="G470" s="62"/>
      <c r="I470" s="86" t="e">
        <f t="shared" si="23"/>
        <v>#DIV/0!</v>
      </c>
      <c r="J470" s="87" t="e">
        <f t="shared" si="23"/>
        <v>#DIV/0!</v>
      </c>
      <c r="K470" s="87" t="e">
        <f t="shared" si="23"/>
        <v>#DIV/0!</v>
      </c>
      <c r="L470" s="87" t="e">
        <f t="shared" si="23"/>
        <v>#DIV/0!</v>
      </c>
      <c r="M470" s="88" t="e">
        <f t="shared" si="23"/>
        <v>#DIV/0!</v>
      </c>
      <c r="O470" s="61" t="str">
        <f t="shared" si="24"/>
        <v>נשר</v>
      </c>
      <c r="P470" s="61" t="str">
        <f t="shared" si="25"/>
        <v>דלית אל כרמל</v>
      </c>
    </row>
    <row r="471" spans="1:16" x14ac:dyDescent="0.3">
      <c r="A471" s="61">
        <v>18</v>
      </c>
      <c r="B471" s="61">
        <v>24</v>
      </c>
      <c r="C471" s="60"/>
      <c r="G471" s="62"/>
      <c r="I471" s="86" t="e">
        <f t="shared" si="23"/>
        <v>#DIV/0!</v>
      </c>
      <c r="J471" s="87" t="e">
        <f t="shared" si="23"/>
        <v>#DIV/0!</v>
      </c>
      <c r="K471" s="87" t="e">
        <f t="shared" si="23"/>
        <v>#DIV/0!</v>
      </c>
      <c r="L471" s="87" t="e">
        <f t="shared" si="23"/>
        <v>#DIV/0!</v>
      </c>
      <c r="M471" s="88" t="e">
        <f t="shared" si="23"/>
        <v>#DIV/0!</v>
      </c>
      <c r="O471" s="61" t="str">
        <f t="shared" si="24"/>
        <v>נשר</v>
      </c>
      <c r="P471" s="61" t="str">
        <f t="shared" si="25"/>
        <v>חוף הכרמל</v>
      </c>
    </row>
    <row r="472" spans="1:16" x14ac:dyDescent="0.3">
      <c r="A472" s="61">
        <v>18</v>
      </c>
      <c r="B472" s="61">
        <v>25</v>
      </c>
      <c r="C472" s="60"/>
      <c r="G472" s="62"/>
      <c r="I472" s="86" t="e">
        <f t="shared" si="23"/>
        <v>#DIV/0!</v>
      </c>
      <c r="J472" s="87" t="e">
        <f t="shared" si="23"/>
        <v>#DIV/0!</v>
      </c>
      <c r="K472" s="87" t="e">
        <f t="shared" si="23"/>
        <v>#DIV/0!</v>
      </c>
      <c r="L472" s="87" t="e">
        <f t="shared" si="23"/>
        <v>#DIV/0!</v>
      </c>
      <c r="M472" s="88" t="e">
        <f t="shared" si="23"/>
        <v>#DIV/0!</v>
      </c>
      <c r="O472" s="61" t="str">
        <f t="shared" si="24"/>
        <v>נשר</v>
      </c>
      <c r="P472" s="61" t="str">
        <f t="shared" si="25"/>
        <v>זכרון יעקב</v>
      </c>
    </row>
    <row r="473" spans="1:16" x14ac:dyDescent="0.3">
      <c r="A473" s="61">
        <v>18</v>
      </c>
      <c r="B473" s="61">
        <v>30</v>
      </c>
      <c r="C473" s="60"/>
      <c r="G473" s="62"/>
      <c r="I473" s="86" t="e">
        <f t="shared" si="23"/>
        <v>#DIV/0!</v>
      </c>
      <c r="J473" s="87" t="e">
        <f t="shared" si="23"/>
        <v>#DIV/0!</v>
      </c>
      <c r="K473" s="87" t="e">
        <f t="shared" si="23"/>
        <v>#DIV/0!</v>
      </c>
      <c r="L473" s="87" t="e">
        <f t="shared" si="23"/>
        <v>#DIV/0!</v>
      </c>
      <c r="M473" s="88" t="e">
        <f t="shared" si="23"/>
        <v>#DIV/0!</v>
      </c>
      <c r="O473" s="61" t="str">
        <f t="shared" si="24"/>
        <v>נשר</v>
      </c>
      <c r="P473" s="61" t="str">
        <f t="shared" si="25"/>
        <v>סכנין</v>
      </c>
    </row>
    <row r="474" spans="1:16" x14ac:dyDescent="0.3">
      <c r="A474" s="61">
        <v>19</v>
      </c>
      <c r="B474" s="61">
        <v>1</v>
      </c>
      <c r="C474" s="60"/>
      <c r="G474" s="62"/>
      <c r="I474" s="86" t="e">
        <f t="shared" si="23"/>
        <v>#DIV/0!</v>
      </c>
      <c r="J474" s="87" t="e">
        <f t="shared" si="23"/>
        <v>#DIV/0!</v>
      </c>
      <c r="K474" s="87" t="e">
        <f t="shared" si="23"/>
        <v>#DIV/0!</v>
      </c>
      <c r="L474" s="87" t="e">
        <f t="shared" si="23"/>
        <v>#DIV/0!</v>
      </c>
      <c r="M474" s="88" t="e">
        <f t="shared" si="23"/>
        <v>#DIV/0!</v>
      </c>
      <c r="O474" s="61" t="str">
        <f t="shared" si="24"/>
        <v>נצרת</v>
      </c>
      <c r="P474" s="61" t="str">
        <f t="shared" si="25"/>
        <v>נהריה</v>
      </c>
    </row>
    <row r="475" spans="1:16" x14ac:dyDescent="0.3">
      <c r="A475" s="61">
        <v>19</v>
      </c>
      <c r="B475" s="61">
        <v>2</v>
      </c>
      <c r="C475" s="60"/>
      <c r="G475" s="62"/>
      <c r="I475" s="86" t="e">
        <f t="shared" si="23"/>
        <v>#DIV/0!</v>
      </c>
      <c r="J475" s="87" t="e">
        <f t="shared" si="23"/>
        <v>#DIV/0!</v>
      </c>
      <c r="K475" s="87" t="e">
        <f t="shared" si="23"/>
        <v>#DIV/0!</v>
      </c>
      <c r="L475" s="87" t="e">
        <f t="shared" si="23"/>
        <v>#DIV/0!</v>
      </c>
      <c r="M475" s="88" t="e">
        <f t="shared" si="23"/>
        <v>#DIV/0!</v>
      </c>
      <c r="O475" s="61" t="str">
        <f t="shared" si="24"/>
        <v>נצרת</v>
      </c>
      <c r="P475" s="61" t="str">
        <f t="shared" si="25"/>
        <v>עכו</v>
      </c>
    </row>
    <row r="476" spans="1:16" x14ac:dyDescent="0.3">
      <c r="A476" s="61">
        <v>19</v>
      </c>
      <c r="B476" s="61">
        <v>3</v>
      </c>
      <c r="C476" s="60"/>
      <c r="G476" s="62"/>
      <c r="I476" s="86" t="e">
        <f t="shared" si="23"/>
        <v>#DIV/0!</v>
      </c>
      <c r="J476" s="87" t="e">
        <f t="shared" si="23"/>
        <v>#DIV/0!</v>
      </c>
      <c r="K476" s="87" t="e">
        <f t="shared" si="23"/>
        <v>#DIV/0!</v>
      </c>
      <c r="L476" s="87" t="e">
        <f t="shared" si="23"/>
        <v>#DIV/0!</v>
      </c>
      <c r="M476" s="88" t="e">
        <f t="shared" si="23"/>
        <v>#DIV/0!</v>
      </c>
      <c r="O476" s="61" t="str">
        <f t="shared" si="24"/>
        <v>נצרת</v>
      </c>
      <c r="P476" s="61" t="str">
        <f t="shared" si="25"/>
        <v>כרמיאל</v>
      </c>
    </row>
    <row r="477" spans="1:16" x14ac:dyDescent="0.3">
      <c r="A477" s="61">
        <v>19</v>
      </c>
      <c r="B477" s="61">
        <v>4</v>
      </c>
      <c r="C477" s="60"/>
      <c r="G477" s="62"/>
      <c r="I477" s="86" t="e">
        <f t="shared" si="23"/>
        <v>#DIV/0!</v>
      </c>
      <c r="J477" s="87" t="e">
        <f t="shared" si="23"/>
        <v>#DIV/0!</v>
      </c>
      <c r="K477" s="87" t="e">
        <f t="shared" si="23"/>
        <v>#DIV/0!</v>
      </c>
      <c r="L477" s="87" t="e">
        <f t="shared" si="23"/>
        <v>#DIV/0!</v>
      </c>
      <c r="M477" s="88" t="e">
        <f t="shared" si="23"/>
        <v>#DIV/0!</v>
      </c>
      <c r="O477" s="61" t="str">
        <f t="shared" si="24"/>
        <v>נצרת</v>
      </c>
      <c r="P477" s="61" t="str">
        <f t="shared" si="25"/>
        <v>שפרעם</v>
      </c>
    </row>
    <row r="478" spans="1:16" x14ac:dyDescent="0.3">
      <c r="A478" s="61">
        <v>19</v>
      </c>
      <c r="B478" s="61">
        <v>5</v>
      </c>
      <c r="C478" s="60"/>
      <c r="G478" s="62"/>
      <c r="I478" s="86" t="e">
        <f t="shared" ref="I478:M528" si="26">C478/SUM($C478:$G478)</f>
        <v>#DIV/0!</v>
      </c>
      <c r="J478" s="87" t="e">
        <f t="shared" si="26"/>
        <v>#DIV/0!</v>
      </c>
      <c r="K478" s="87" t="e">
        <f t="shared" si="26"/>
        <v>#DIV/0!</v>
      </c>
      <c r="L478" s="87" t="e">
        <f t="shared" si="26"/>
        <v>#DIV/0!</v>
      </c>
      <c r="M478" s="88" t="e">
        <f t="shared" si="26"/>
        <v>#DIV/0!</v>
      </c>
      <c r="O478" s="61" t="str">
        <f t="shared" si="24"/>
        <v>נצרת</v>
      </c>
      <c r="P478" s="61" t="str">
        <f t="shared" si="25"/>
        <v>קרית ים</v>
      </c>
    </row>
    <row r="479" spans="1:16" x14ac:dyDescent="0.3">
      <c r="A479" s="61">
        <v>19</v>
      </c>
      <c r="B479" s="61">
        <v>6</v>
      </c>
      <c r="C479" s="60"/>
      <c r="G479" s="62"/>
      <c r="I479" s="86" t="e">
        <f t="shared" si="26"/>
        <v>#DIV/0!</v>
      </c>
      <c r="J479" s="87" t="e">
        <f t="shared" si="26"/>
        <v>#DIV/0!</v>
      </c>
      <c r="K479" s="87" t="e">
        <f t="shared" si="26"/>
        <v>#DIV/0!</v>
      </c>
      <c r="L479" s="87" t="e">
        <f t="shared" si="26"/>
        <v>#DIV/0!</v>
      </c>
      <c r="M479" s="88" t="e">
        <f t="shared" si="26"/>
        <v>#DIV/0!</v>
      </c>
      <c r="O479" s="61" t="str">
        <f t="shared" si="24"/>
        <v>נצרת</v>
      </c>
      <c r="P479" s="61" t="str">
        <f t="shared" si="25"/>
        <v>קרית מוצקין</v>
      </c>
    </row>
    <row r="480" spans="1:16" x14ac:dyDescent="0.3">
      <c r="A480" s="61">
        <v>19</v>
      </c>
      <c r="B480" s="61">
        <v>7</v>
      </c>
      <c r="C480" s="60"/>
      <c r="G480" s="62"/>
      <c r="I480" s="86" t="e">
        <f t="shared" si="26"/>
        <v>#DIV/0!</v>
      </c>
      <c r="J480" s="87" t="e">
        <f t="shared" si="26"/>
        <v>#DIV/0!</v>
      </c>
      <c r="K480" s="87" t="e">
        <f t="shared" si="26"/>
        <v>#DIV/0!</v>
      </c>
      <c r="L480" s="87" t="e">
        <f t="shared" si="26"/>
        <v>#DIV/0!</v>
      </c>
      <c r="M480" s="88" t="e">
        <f t="shared" si="26"/>
        <v>#DIV/0!</v>
      </c>
      <c r="O480" s="61" t="str">
        <f t="shared" si="24"/>
        <v>נצרת</v>
      </c>
      <c r="P480" s="61" t="str">
        <f t="shared" si="25"/>
        <v>קרית ביאליק</v>
      </c>
    </row>
    <row r="481" spans="1:16" x14ac:dyDescent="0.3">
      <c r="A481" s="61">
        <v>19</v>
      </c>
      <c r="B481" s="61">
        <v>8</v>
      </c>
      <c r="C481" s="60"/>
      <c r="G481" s="62"/>
      <c r="I481" s="86" t="e">
        <f t="shared" si="26"/>
        <v>#DIV/0!</v>
      </c>
      <c r="J481" s="87" t="e">
        <f t="shared" si="26"/>
        <v>#DIV/0!</v>
      </c>
      <c r="K481" s="87" t="e">
        <f t="shared" si="26"/>
        <v>#DIV/0!</v>
      </c>
      <c r="L481" s="87" t="e">
        <f t="shared" si="26"/>
        <v>#DIV/0!</v>
      </c>
      <c r="M481" s="88" t="e">
        <f t="shared" si="26"/>
        <v>#DIV/0!</v>
      </c>
      <c r="O481" s="61" t="str">
        <f t="shared" si="24"/>
        <v>נצרת</v>
      </c>
      <c r="P481" s="61" t="str">
        <f t="shared" si="25"/>
        <v>קרית חיים</v>
      </c>
    </row>
    <row r="482" spans="1:16" x14ac:dyDescent="0.3">
      <c r="A482" s="61">
        <v>19</v>
      </c>
      <c r="B482" s="61">
        <v>9</v>
      </c>
      <c r="C482" s="60"/>
      <c r="G482" s="62"/>
      <c r="I482" s="86" t="e">
        <f t="shared" si="26"/>
        <v>#DIV/0!</v>
      </c>
      <c r="J482" s="87" t="e">
        <f t="shared" si="26"/>
        <v>#DIV/0!</v>
      </c>
      <c r="K482" s="87" t="e">
        <f t="shared" si="26"/>
        <v>#DIV/0!</v>
      </c>
      <c r="L482" s="87" t="e">
        <f t="shared" si="26"/>
        <v>#DIV/0!</v>
      </c>
      <c r="M482" s="88" t="e">
        <f t="shared" si="26"/>
        <v>#DIV/0!</v>
      </c>
      <c r="O482" s="61" t="str">
        <f t="shared" si="24"/>
        <v>נצרת</v>
      </c>
      <c r="P482" s="61" t="str">
        <f t="shared" si="25"/>
        <v>קרית אתא</v>
      </c>
    </row>
    <row r="483" spans="1:16" x14ac:dyDescent="0.3">
      <c r="A483" s="61">
        <v>19</v>
      </c>
      <c r="B483" s="61">
        <v>10</v>
      </c>
      <c r="C483" s="60"/>
      <c r="G483" s="62"/>
      <c r="I483" s="86" t="e">
        <f t="shared" si="26"/>
        <v>#DIV/0!</v>
      </c>
      <c r="J483" s="87" t="e">
        <f t="shared" si="26"/>
        <v>#DIV/0!</v>
      </c>
      <c r="K483" s="87" t="e">
        <f t="shared" si="26"/>
        <v>#DIV/0!</v>
      </c>
      <c r="L483" s="87" t="e">
        <f t="shared" si="26"/>
        <v>#DIV/0!</v>
      </c>
      <c r="M483" s="88" t="e">
        <f t="shared" si="26"/>
        <v>#DIV/0!</v>
      </c>
      <c r="O483" s="61" t="str">
        <f t="shared" si="24"/>
        <v>נצרת</v>
      </c>
      <c r="P483" s="61" t="str">
        <f t="shared" si="25"/>
        <v>כפר מנדא</v>
      </c>
    </row>
    <row r="484" spans="1:16" x14ac:dyDescent="0.3">
      <c r="A484" s="61">
        <v>19</v>
      </c>
      <c r="B484" s="61">
        <v>11</v>
      </c>
      <c r="C484" s="60"/>
      <c r="G484" s="62"/>
      <c r="I484" s="86" t="e">
        <f t="shared" si="26"/>
        <v>#DIV/0!</v>
      </c>
      <c r="J484" s="87" t="e">
        <f t="shared" si="26"/>
        <v>#DIV/0!</v>
      </c>
      <c r="K484" s="87" t="e">
        <f t="shared" si="26"/>
        <v>#DIV/0!</v>
      </c>
      <c r="L484" s="87" t="e">
        <f t="shared" si="26"/>
        <v>#DIV/0!</v>
      </c>
      <c r="M484" s="88" t="e">
        <f t="shared" si="26"/>
        <v>#DIV/0!</v>
      </c>
      <c r="O484" s="61" t="str">
        <f t="shared" si="24"/>
        <v>נצרת</v>
      </c>
      <c r="P484" s="61" t="str">
        <f t="shared" si="25"/>
        <v>זבולון</v>
      </c>
    </row>
    <row r="485" spans="1:16" x14ac:dyDescent="0.3">
      <c r="A485" s="61">
        <v>19</v>
      </c>
      <c r="B485" s="61">
        <v>12</v>
      </c>
      <c r="C485" s="60"/>
      <c r="G485" s="62"/>
      <c r="I485" s="86" t="e">
        <f t="shared" si="26"/>
        <v>#DIV/0!</v>
      </c>
      <c r="J485" s="87" t="e">
        <f t="shared" si="26"/>
        <v>#DIV/0!</v>
      </c>
      <c r="K485" s="87" t="e">
        <f t="shared" si="26"/>
        <v>#DIV/0!</v>
      </c>
      <c r="L485" s="87" t="e">
        <f t="shared" si="26"/>
        <v>#DIV/0!</v>
      </c>
      <c r="M485" s="88" t="e">
        <f t="shared" si="26"/>
        <v>#DIV/0!</v>
      </c>
      <c r="O485" s="61" t="str">
        <f t="shared" si="24"/>
        <v>נצרת</v>
      </c>
      <c r="P485" s="61" t="str">
        <f t="shared" si="25"/>
        <v>חיפה מפרץ</v>
      </c>
    </row>
    <row r="486" spans="1:16" x14ac:dyDescent="0.3">
      <c r="A486" s="61">
        <v>19</v>
      </c>
      <c r="B486" s="61">
        <v>13</v>
      </c>
      <c r="C486" s="60"/>
      <c r="G486" s="62"/>
      <c r="I486" s="86" t="e">
        <f t="shared" si="26"/>
        <v>#DIV/0!</v>
      </c>
      <c r="J486" s="87" t="e">
        <f t="shared" si="26"/>
        <v>#DIV/0!</v>
      </c>
      <c r="K486" s="87" t="e">
        <f t="shared" si="26"/>
        <v>#DIV/0!</v>
      </c>
      <c r="L486" s="87" t="e">
        <f t="shared" si="26"/>
        <v>#DIV/0!</v>
      </c>
      <c r="M486" s="88" t="e">
        <f t="shared" si="26"/>
        <v>#DIV/0!</v>
      </c>
      <c r="O486" s="61" t="str">
        <f t="shared" si="24"/>
        <v>נצרת</v>
      </c>
      <c r="P486" s="61" t="str">
        <f t="shared" si="25"/>
        <v>חיפה עיר תחתית</v>
      </c>
    </row>
    <row r="487" spans="1:16" x14ac:dyDescent="0.3">
      <c r="A487" s="61">
        <v>19</v>
      </c>
      <c r="B487" s="61">
        <v>14</v>
      </c>
      <c r="C487" s="60"/>
      <c r="G487" s="62"/>
      <c r="I487" s="86" t="e">
        <f t="shared" si="26"/>
        <v>#DIV/0!</v>
      </c>
      <c r="J487" s="87" t="e">
        <f t="shared" si="26"/>
        <v>#DIV/0!</v>
      </c>
      <c r="K487" s="87" t="e">
        <f t="shared" si="26"/>
        <v>#DIV/0!</v>
      </c>
      <c r="L487" s="87" t="e">
        <f t="shared" si="26"/>
        <v>#DIV/0!</v>
      </c>
      <c r="M487" s="88" t="e">
        <f t="shared" si="26"/>
        <v>#DIV/0!</v>
      </c>
      <c r="O487" s="61" t="str">
        <f t="shared" si="24"/>
        <v>נצרת</v>
      </c>
      <c r="P487" s="61" t="str">
        <f t="shared" si="25"/>
        <v>חיפה הדר-כרמל</v>
      </c>
    </row>
    <row r="488" spans="1:16" x14ac:dyDescent="0.3">
      <c r="A488" s="61">
        <v>19</v>
      </c>
      <c r="B488" s="61">
        <v>15</v>
      </c>
      <c r="C488" s="60"/>
      <c r="G488" s="62"/>
      <c r="I488" s="86" t="e">
        <f t="shared" si="26"/>
        <v>#DIV/0!</v>
      </c>
      <c r="J488" s="87" t="e">
        <f t="shared" si="26"/>
        <v>#DIV/0!</v>
      </c>
      <c r="K488" s="87" t="e">
        <f t="shared" si="26"/>
        <v>#DIV/0!</v>
      </c>
      <c r="L488" s="87" t="e">
        <f t="shared" si="26"/>
        <v>#DIV/0!</v>
      </c>
      <c r="M488" s="88" t="e">
        <f t="shared" si="26"/>
        <v>#DIV/0!</v>
      </c>
      <c r="O488" s="61" t="str">
        <f t="shared" si="24"/>
        <v>נצרת</v>
      </c>
      <c r="P488" s="61" t="str">
        <f t="shared" si="25"/>
        <v>חיפה מערב</v>
      </c>
    </row>
    <row r="489" spans="1:16" x14ac:dyDescent="0.3">
      <c r="A489" s="61">
        <v>19</v>
      </c>
      <c r="B489" s="61">
        <v>16</v>
      </c>
      <c r="C489" s="60"/>
      <c r="G489" s="62"/>
      <c r="I489" s="86" t="e">
        <f t="shared" si="26"/>
        <v>#DIV/0!</v>
      </c>
      <c r="J489" s="87" t="e">
        <f t="shared" si="26"/>
        <v>#DIV/0!</v>
      </c>
      <c r="K489" s="87" t="e">
        <f t="shared" si="26"/>
        <v>#DIV/0!</v>
      </c>
      <c r="L489" s="87" t="e">
        <f t="shared" si="26"/>
        <v>#DIV/0!</v>
      </c>
      <c r="M489" s="88" t="e">
        <f t="shared" si="26"/>
        <v>#DIV/0!</v>
      </c>
      <c r="O489" s="61" t="str">
        <f t="shared" si="24"/>
        <v>נצרת</v>
      </c>
      <c r="P489" s="61" t="str">
        <f t="shared" si="25"/>
        <v>חיפה כרמל</v>
      </c>
    </row>
    <row r="490" spans="1:16" x14ac:dyDescent="0.3">
      <c r="A490" s="61">
        <v>19</v>
      </c>
      <c r="B490" s="61">
        <v>17</v>
      </c>
      <c r="C490" s="60"/>
      <c r="G490" s="62"/>
      <c r="I490" s="86" t="e">
        <f t="shared" si="26"/>
        <v>#DIV/0!</v>
      </c>
      <c r="J490" s="87" t="e">
        <f t="shared" si="26"/>
        <v>#DIV/0!</v>
      </c>
      <c r="K490" s="87" t="e">
        <f t="shared" si="26"/>
        <v>#DIV/0!</v>
      </c>
      <c r="L490" s="87" t="e">
        <f t="shared" si="26"/>
        <v>#DIV/0!</v>
      </c>
      <c r="M490" s="88" t="e">
        <f t="shared" si="26"/>
        <v>#DIV/0!</v>
      </c>
      <c r="O490" s="61" t="str">
        <f t="shared" si="24"/>
        <v>נצרת</v>
      </c>
      <c r="P490" s="61" t="str">
        <f t="shared" si="25"/>
        <v>חיפה נווה שאנן</v>
      </c>
    </row>
    <row r="491" spans="1:16" x14ac:dyDescent="0.3">
      <c r="A491" s="61">
        <v>19</v>
      </c>
      <c r="B491" s="61">
        <v>18</v>
      </c>
      <c r="C491" s="60"/>
      <c r="G491" s="62"/>
      <c r="I491" s="86" t="e">
        <f t="shared" si="26"/>
        <v>#DIV/0!</v>
      </c>
      <c r="J491" s="87" t="e">
        <f t="shared" si="26"/>
        <v>#DIV/0!</v>
      </c>
      <c r="K491" s="87" t="e">
        <f t="shared" si="26"/>
        <v>#DIV/0!</v>
      </c>
      <c r="L491" s="87" t="e">
        <f t="shared" si="26"/>
        <v>#DIV/0!</v>
      </c>
      <c r="M491" s="88" t="e">
        <f t="shared" si="26"/>
        <v>#DIV/0!</v>
      </c>
      <c r="O491" s="61" t="str">
        <f t="shared" si="24"/>
        <v>נצרת</v>
      </c>
      <c r="P491" s="61" t="str">
        <f t="shared" si="25"/>
        <v>נשר</v>
      </c>
    </row>
    <row r="492" spans="1:16" x14ac:dyDescent="0.3">
      <c r="A492" s="61">
        <v>19</v>
      </c>
      <c r="B492" s="61">
        <v>19</v>
      </c>
      <c r="C492" s="60"/>
      <c r="G492" s="62"/>
      <c r="I492" s="86" t="e">
        <f t="shared" si="26"/>
        <v>#DIV/0!</v>
      </c>
      <c r="J492" s="87" t="e">
        <f t="shared" si="26"/>
        <v>#DIV/0!</v>
      </c>
      <c r="K492" s="87" t="e">
        <f t="shared" si="26"/>
        <v>#DIV/0!</v>
      </c>
      <c r="L492" s="87" t="e">
        <f t="shared" si="26"/>
        <v>#DIV/0!</v>
      </c>
      <c r="M492" s="88" t="e">
        <f t="shared" si="26"/>
        <v>#DIV/0!</v>
      </c>
      <c r="O492" s="61" t="str">
        <f t="shared" si="24"/>
        <v>נצרת</v>
      </c>
      <c r="P492" s="61" t="str">
        <f t="shared" si="25"/>
        <v>נצרת</v>
      </c>
    </row>
    <row r="493" spans="1:16" x14ac:dyDescent="0.3">
      <c r="A493" s="61">
        <v>19</v>
      </c>
      <c r="B493" s="61">
        <v>20</v>
      </c>
      <c r="C493" s="60"/>
      <c r="G493" s="62"/>
      <c r="I493" s="86" t="e">
        <f t="shared" si="26"/>
        <v>#DIV/0!</v>
      </c>
      <c r="J493" s="87" t="e">
        <f t="shared" si="26"/>
        <v>#DIV/0!</v>
      </c>
      <c r="K493" s="87" t="e">
        <f t="shared" si="26"/>
        <v>#DIV/0!</v>
      </c>
      <c r="L493" s="87" t="e">
        <f t="shared" si="26"/>
        <v>#DIV/0!</v>
      </c>
      <c r="M493" s="88" t="e">
        <f t="shared" si="26"/>
        <v>#DIV/0!</v>
      </c>
      <c r="O493" s="61" t="str">
        <f t="shared" si="24"/>
        <v>נצרת</v>
      </c>
      <c r="P493" s="61" t="str">
        <f t="shared" si="25"/>
        <v>נצרת-עילית</v>
      </c>
    </row>
    <row r="494" spans="1:16" x14ac:dyDescent="0.3">
      <c r="A494" s="61">
        <v>19</v>
      </c>
      <c r="B494" s="61">
        <v>21</v>
      </c>
      <c r="C494" s="60"/>
      <c r="G494" s="62"/>
      <c r="I494" s="86" t="e">
        <f t="shared" si="26"/>
        <v>#DIV/0!</v>
      </c>
      <c r="J494" s="87" t="e">
        <f t="shared" si="26"/>
        <v>#DIV/0!</v>
      </c>
      <c r="K494" s="87" t="e">
        <f t="shared" si="26"/>
        <v>#DIV/0!</v>
      </c>
      <c r="L494" s="87" t="e">
        <f t="shared" si="26"/>
        <v>#DIV/0!</v>
      </c>
      <c r="M494" s="88" t="e">
        <f t="shared" si="26"/>
        <v>#DIV/0!</v>
      </c>
      <c r="O494" s="61" t="str">
        <f t="shared" si="24"/>
        <v>נצרת</v>
      </c>
      <c r="P494" s="61" t="str">
        <f t="shared" si="25"/>
        <v>מגדל העמק</v>
      </c>
    </row>
    <row r="495" spans="1:16" x14ac:dyDescent="0.3">
      <c r="A495" s="61">
        <v>19</v>
      </c>
      <c r="B495" s="61">
        <v>22</v>
      </c>
      <c r="C495" s="60"/>
      <c r="G495" s="62"/>
      <c r="I495" s="86" t="e">
        <f t="shared" si="26"/>
        <v>#DIV/0!</v>
      </c>
      <c r="J495" s="87" t="e">
        <f t="shared" si="26"/>
        <v>#DIV/0!</v>
      </c>
      <c r="K495" s="87" t="e">
        <f t="shared" si="26"/>
        <v>#DIV/0!</v>
      </c>
      <c r="L495" s="87" t="e">
        <f t="shared" si="26"/>
        <v>#DIV/0!</v>
      </c>
      <c r="M495" s="88" t="e">
        <f t="shared" si="26"/>
        <v>#DIV/0!</v>
      </c>
      <c r="O495" s="61" t="str">
        <f t="shared" si="24"/>
        <v>נצרת</v>
      </c>
      <c r="P495" s="61" t="str">
        <f t="shared" si="25"/>
        <v>יוקנעם</v>
      </c>
    </row>
    <row r="496" spans="1:16" x14ac:dyDescent="0.3">
      <c r="A496" s="61">
        <v>19</v>
      </c>
      <c r="B496" s="61">
        <v>23</v>
      </c>
      <c r="C496" s="60"/>
      <c r="G496" s="62"/>
      <c r="I496" s="86" t="e">
        <f t="shared" si="26"/>
        <v>#DIV/0!</v>
      </c>
      <c r="J496" s="87" t="e">
        <f t="shared" si="26"/>
        <v>#DIV/0!</v>
      </c>
      <c r="K496" s="87" t="e">
        <f t="shared" si="26"/>
        <v>#DIV/0!</v>
      </c>
      <c r="L496" s="87" t="e">
        <f t="shared" si="26"/>
        <v>#DIV/0!</v>
      </c>
      <c r="M496" s="88" t="e">
        <f t="shared" si="26"/>
        <v>#DIV/0!</v>
      </c>
      <c r="O496" s="61" t="str">
        <f t="shared" si="24"/>
        <v>נצרת</v>
      </c>
      <c r="P496" s="61" t="str">
        <f t="shared" si="25"/>
        <v>דלית אל כרמל</v>
      </c>
    </row>
    <row r="497" spans="1:16" x14ac:dyDescent="0.3">
      <c r="A497" s="61">
        <v>19</v>
      </c>
      <c r="B497" s="61">
        <v>24</v>
      </c>
      <c r="C497" s="60"/>
      <c r="G497" s="62"/>
      <c r="I497" s="86" t="e">
        <f t="shared" si="26"/>
        <v>#DIV/0!</v>
      </c>
      <c r="J497" s="87" t="e">
        <f t="shared" si="26"/>
        <v>#DIV/0!</v>
      </c>
      <c r="K497" s="87" t="e">
        <f t="shared" si="26"/>
        <v>#DIV/0!</v>
      </c>
      <c r="L497" s="87" t="e">
        <f t="shared" si="26"/>
        <v>#DIV/0!</v>
      </c>
      <c r="M497" s="88" t="e">
        <f t="shared" si="26"/>
        <v>#DIV/0!</v>
      </c>
      <c r="O497" s="61" t="str">
        <f t="shared" si="24"/>
        <v>נצרת</v>
      </c>
      <c r="P497" s="61" t="str">
        <f t="shared" si="25"/>
        <v>חוף הכרמל</v>
      </c>
    </row>
    <row r="498" spans="1:16" x14ac:dyDescent="0.3">
      <c r="A498" s="61">
        <v>19</v>
      </c>
      <c r="B498" s="61">
        <v>25</v>
      </c>
      <c r="C498" s="60"/>
      <c r="G498" s="62"/>
      <c r="I498" s="86" t="e">
        <f t="shared" si="26"/>
        <v>#DIV/0!</v>
      </c>
      <c r="J498" s="87" t="e">
        <f t="shared" si="26"/>
        <v>#DIV/0!</v>
      </c>
      <c r="K498" s="87" t="e">
        <f t="shared" si="26"/>
        <v>#DIV/0!</v>
      </c>
      <c r="L498" s="87" t="e">
        <f t="shared" si="26"/>
        <v>#DIV/0!</v>
      </c>
      <c r="M498" s="88" t="e">
        <f t="shared" si="26"/>
        <v>#DIV/0!</v>
      </c>
      <c r="O498" s="61" t="str">
        <f t="shared" si="24"/>
        <v>נצרת</v>
      </c>
      <c r="P498" s="61" t="str">
        <f t="shared" si="25"/>
        <v>זכרון יעקב</v>
      </c>
    </row>
    <row r="499" spans="1:16" x14ac:dyDescent="0.3">
      <c r="A499" s="61">
        <v>19</v>
      </c>
      <c r="B499" s="61">
        <v>30</v>
      </c>
      <c r="C499" s="60"/>
      <c r="G499" s="62"/>
      <c r="I499" s="86" t="e">
        <f t="shared" si="26"/>
        <v>#DIV/0!</v>
      </c>
      <c r="J499" s="87" t="e">
        <f t="shared" si="26"/>
        <v>#DIV/0!</v>
      </c>
      <c r="K499" s="87" t="e">
        <f t="shared" si="26"/>
        <v>#DIV/0!</v>
      </c>
      <c r="L499" s="87" t="e">
        <f t="shared" si="26"/>
        <v>#DIV/0!</v>
      </c>
      <c r="M499" s="88" t="e">
        <f t="shared" si="26"/>
        <v>#DIV/0!</v>
      </c>
      <c r="O499" s="61" t="str">
        <f t="shared" si="24"/>
        <v>נצרת</v>
      </c>
      <c r="P499" s="61" t="str">
        <f t="shared" si="25"/>
        <v>סכנין</v>
      </c>
    </row>
    <row r="500" spans="1:16" x14ac:dyDescent="0.3">
      <c r="A500" s="61">
        <v>20</v>
      </c>
      <c r="B500" s="61">
        <v>1</v>
      </c>
      <c r="C500" s="60"/>
      <c r="G500" s="62"/>
      <c r="I500" s="86" t="e">
        <f t="shared" si="26"/>
        <v>#DIV/0!</v>
      </c>
      <c r="J500" s="87" t="e">
        <f t="shared" si="26"/>
        <v>#DIV/0!</v>
      </c>
      <c r="K500" s="87" t="e">
        <f t="shared" si="26"/>
        <v>#DIV/0!</v>
      </c>
      <c r="L500" s="87" t="e">
        <f t="shared" si="26"/>
        <v>#DIV/0!</v>
      </c>
      <c r="M500" s="88" t="e">
        <f t="shared" si="26"/>
        <v>#DIV/0!</v>
      </c>
      <c r="O500" s="61" t="str">
        <f t="shared" si="24"/>
        <v>נצרת-עילית</v>
      </c>
      <c r="P500" s="61" t="str">
        <f t="shared" si="25"/>
        <v>נהריה</v>
      </c>
    </row>
    <row r="501" spans="1:16" x14ac:dyDescent="0.3">
      <c r="A501" s="61">
        <v>20</v>
      </c>
      <c r="B501" s="61">
        <v>2</v>
      </c>
      <c r="C501" s="60"/>
      <c r="G501" s="62"/>
      <c r="I501" s="86" t="e">
        <f t="shared" si="26"/>
        <v>#DIV/0!</v>
      </c>
      <c r="J501" s="87" t="e">
        <f t="shared" si="26"/>
        <v>#DIV/0!</v>
      </c>
      <c r="K501" s="87" t="e">
        <f t="shared" si="26"/>
        <v>#DIV/0!</v>
      </c>
      <c r="L501" s="87" t="e">
        <f t="shared" si="26"/>
        <v>#DIV/0!</v>
      </c>
      <c r="M501" s="88" t="e">
        <f t="shared" si="26"/>
        <v>#DIV/0!</v>
      </c>
      <c r="O501" s="61" t="str">
        <f t="shared" si="24"/>
        <v>נצרת-עילית</v>
      </c>
      <c r="P501" s="61" t="str">
        <f t="shared" si="25"/>
        <v>עכו</v>
      </c>
    </row>
    <row r="502" spans="1:16" x14ac:dyDescent="0.3">
      <c r="A502" s="61">
        <v>20</v>
      </c>
      <c r="B502" s="61">
        <v>3</v>
      </c>
      <c r="C502" s="60"/>
      <c r="G502" s="62"/>
      <c r="I502" s="86" t="e">
        <f t="shared" si="26"/>
        <v>#DIV/0!</v>
      </c>
      <c r="J502" s="87" t="e">
        <f t="shared" si="26"/>
        <v>#DIV/0!</v>
      </c>
      <c r="K502" s="87" t="e">
        <f t="shared" si="26"/>
        <v>#DIV/0!</v>
      </c>
      <c r="L502" s="87" t="e">
        <f t="shared" si="26"/>
        <v>#DIV/0!</v>
      </c>
      <c r="M502" s="88" t="e">
        <f t="shared" si="26"/>
        <v>#DIV/0!</v>
      </c>
      <c r="O502" s="61" t="str">
        <f t="shared" si="24"/>
        <v>נצרת-עילית</v>
      </c>
      <c r="P502" s="61" t="str">
        <f t="shared" si="25"/>
        <v>כרמיאל</v>
      </c>
    </row>
    <row r="503" spans="1:16" x14ac:dyDescent="0.3">
      <c r="A503" s="61">
        <v>20</v>
      </c>
      <c r="B503" s="61">
        <v>4</v>
      </c>
      <c r="C503" s="60"/>
      <c r="G503" s="62"/>
      <c r="I503" s="86" t="e">
        <f t="shared" si="26"/>
        <v>#DIV/0!</v>
      </c>
      <c r="J503" s="87" t="e">
        <f t="shared" si="26"/>
        <v>#DIV/0!</v>
      </c>
      <c r="K503" s="87" t="e">
        <f t="shared" si="26"/>
        <v>#DIV/0!</v>
      </c>
      <c r="L503" s="87" t="e">
        <f t="shared" si="26"/>
        <v>#DIV/0!</v>
      </c>
      <c r="M503" s="88" t="e">
        <f t="shared" si="26"/>
        <v>#DIV/0!</v>
      </c>
      <c r="O503" s="61" t="str">
        <f t="shared" si="24"/>
        <v>נצרת-עילית</v>
      </c>
      <c r="P503" s="61" t="str">
        <f t="shared" si="25"/>
        <v>שפרעם</v>
      </c>
    </row>
    <row r="504" spans="1:16" x14ac:dyDescent="0.3">
      <c r="A504" s="61">
        <v>20</v>
      </c>
      <c r="B504" s="61">
        <v>5</v>
      </c>
      <c r="C504" s="60"/>
      <c r="G504" s="62"/>
      <c r="I504" s="86" t="e">
        <f t="shared" si="26"/>
        <v>#DIV/0!</v>
      </c>
      <c r="J504" s="87" t="e">
        <f t="shared" si="26"/>
        <v>#DIV/0!</v>
      </c>
      <c r="K504" s="87" t="e">
        <f t="shared" si="26"/>
        <v>#DIV/0!</v>
      </c>
      <c r="L504" s="87" t="e">
        <f t="shared" si="26"/>
        <v>#DIV/0!</v>
      </c>
      <c r="M504" s="88" t="e">
        <f t="shared" si="26"/>
        <v>#DIV/0!</v>
      </c>
      <c r="O504" s="61" t="str">
        <f t="shared" si="24"/>
        <v>נצרת-עילית</v>
      </c>
      <c r="P504" s="61" t="str">
        <f t="shared" si="25"/>
        <v>קרית ים</v>
      </c>
    </row>
    <row r="505" spans="1:16" x14ac:dyDescent="0.3">
      <c r="A505" s="61">
        <v>20</v>
      </c>
      <c r="B505" s="61">
        <v>6</v>
      </c>
      <c r="C505" s="60"/>
      <c r="G505" s="62"/>
      <c r="I505" s="86" t="e">
        <f t="shared" si="26"/>
        <v>#DIV/0!</v>
      </c>
      <c r="J505" s="87" t="e">
        <f t="shared" si="26"/>
        <v>#DIV/0!</v>
      </c>
      <c r="K505" s="87" t="e">
        <f t="shared" si="26"/>
        <v>#DIV/0!</v>
      </c>
      <c r="L505" s="87" t="e">
        <f t="shared" si="26"/>
        <v>#DIV/0!</v>
      </c>
      <c r="M505" s="88" t="e">
        <f t="shared" si="26"/>
        <v>#DIV/0!</v>
      </c>
      <c r="O505" s="61" t="str">
        <f t="shared" si="24"/>
        <v>נצרת-עילית</v>
      </c>
      <c r="P505" s="61" t="str">
        <f t="shared" si="25"/>
        <v>קרית מוצקין</v>
      </c>
    </row>
    <row r="506" spans="1:16" x14ac:dyDescent="0.3">
      <c r="A506" s="61">
        <v>20</v>
      </c>
      <c r="B506" s="61">
        <v>7</v>
      </c>
      <c r="C506" s="60"/>
      <c r="G506" s="62"/>
      <c r="I506" s="86" t="e">
        <f t="shared" si="26"/>
        <v>#DIV/0!</v>
      </c>
      <c r="J506" s="87" t="e">
        <f t="shared" si="26"/>
        <v>#DIV/0!</v>
      </c>
      <c r="K506" s="87" t="e">
        <f t="shared" si="26"/>
        <v>#DIV/0!</v>
      </c>
      <c r="L506" s="87" t="e">
        <f t="shared" si="26"/>
        <v>#DIV/0!</v>
      </c>
      <c r="M506" s="88" t="e">
        <f t="shared" si="26"/>
        <v>#DIV/0!</v>
      </c>
      <c r="O506" s="61" t="str">
        <f t="shared" si="24"/>
        <v>נצרת-עילית</v>
      </c>
      <c r="P506" s="61" t="str">
        <f t="shared" si="25"/>
        <v>קרית ביאליק</v>
      </c>
    </row>
    <row r="507" spans="1:16" x14ac:dyDescent="0.3">
      <c r="A507" s="61">
        <v>20</v>
      </c>
      <c r="B507" s="61">
        <v>8</v>
      </c>
      <c r="C507" s="60"/>
      <c r="G507" s="62"/>
      <c r="I507" s="86" t="e">
        <f t="shared" si="26"/>
        <v>#DIV/0!</v>
      </c>
      <c r="J507" s="87" t="e">
        <f t="shared" si="26"/>
        <v>#DIV/0!</v>
      </c>
      <c r="K507" s="87" t="e">
        <f t="shared" si="26"/>
        <v>#DIV/0!</v>
      </c>
      <c r="L507" s="87" t="e">
        <f t="shared" si="26"/>
        <v>#DIV/0!</v>
      </c>
      <c r="M507" s="88" t="e">
        <f t="shared" si="26"/>
        <v>#DIV/0!</v>
      </c>
      <c r="O507" s="61" t="str">
        <f t="shared" si="24"/>
        <v>נצרת-עילית</v>
      </c>
      <c r="P507" s="61" t="str">
        <f t="shared" si="25"/>
        <v>קרית חיים</v>
      </c>
    </row>
    <row r="508" spans="1:16" x14ac:dyDescent="0.3">
      <c r="A508" s="61">
        <v>20</v>
      </c>
      <c r="B508" s="61">
        <v>9</v>
      </c>
      <c r="C508" s="60"/>
      <c r="G508" s="62"/>
      <c r="I508" s="86" t="e">
        <f t="shared" si="26"/>
        <v>#DIV/0!</v>
      </c>
      <c r="J508" s="87" t="e">
        <f t="shared" si="26"/>
        <v>#DIV/0!</v>
      </c>
      <c r="K508" s="87" t="e">
        <f t="shared" si="26"/>
        <v>#DIV/0!</v>
      </c>
      <c r="L508" s="87" t="e">
        <f t="shared" si="26"/>
        <v>#DIV/0!</v>
      </c>
      <c r="M508" s="88" t="e">
        <f t="shared" si="26"/>
        <v>#DIV/0!</v>
      </c>
      <c r="O508" s="61" t="str">
        <f t="shared" si="24"/>
        <v>נצרת-עילית</v>
      </c>
      <c r="P508" s="61" t="str">
        <f t="shared" si="25"/>
        <v>קרית אתא</v>
      </c>
    </row>
    <row r="509" spans="1:16" x14ac:dyDescent="0.3">
      <c r="A509" s="61">
        <v>20</v>
      </c>
      <c r="B509" s="61">
        <v>10</v>
      </c>
      <c r="C509" s="60"/>
      <c r="G509" s="62"/>
      <c r="I509" s="86" t="e">
        <f t="shared" si="26"/>
        <v>#DIV/0!</v>
      </c>
      <c r="J509" s="87" t="e">
        <f t="shared" si="26"/>
        <v>#DIV/0!</v>
      </c>
      <c r="K509" s="87" t="e">
        <f t="shared" si="26"/>
        <v>#DIV/0!</v>
      </c>
      <c r="L509" s="87" t="e">
        <f t="shared" si="26"/>
        <v>#DIV/0!</v>
      </c>
      <c r="M509" s="88" t="e">
        <f t="shared" si="26"/>
        <v>#DIV/0!</v>
      </c>
      <c r="O509" s="61" t="str">
        <f t="shared" si="24"/>
        <v>נצרת-עילית</v>
      </c>
      <c r="P509" s="61" t="str">
        <f t="shared" si="25"/>
        <v>כפר מנדא</v>
      </c>
    </row>
    <row r="510" spans="1:16" x14ac:dyDescent="0.3">
      <c r="A510" s="61">
        <v>20</v>
      </c>
      <c r="B510" s="61">
        <v>11</v>
      </c>
      <c r="C510" s="60"/>
      <c r="G510" s="62"/>
      <c r="I510" s="86" t="e">
        <f t="shared" si="26"/>
        <v>#DIV/0!</v>
      </c>
      <c r="J510" s="87" t="e">
        <f t="shared" si="26"/>
        <v>#DIV/0!</v>
      </c>
      <c r="K510" s="87" t="e">
        <f t="shared" si="26"/>
        <v>#DIV/0!</v>
      </c>
      <c r="L510" s="87" t="e">
        <f t="shared" si="26"/>
        <v>#DIV/0!</v>
      </c>
      <c r="M510" s="88" t="e">
        <f t="shared" si="26"/>
        <v>#DIV/0!</v>
      </c>
      <c r="O510" s="61" t="str">
        <f t="shared" si="24"/>
        <v>נצרת-עילית</v>
      </c>
      <c r="P510" s="61" t="str">
        <f t="shared" si="25"/>
        <v>זבולון</v>
      </c>
    </row>
    <row r="511" spans="1:16" x14ac:dyDescent="0.3">
      <c r="A511" s="61">
        <v>20</v>
      </c>
      <c r="B511" s="61">
        <v>12</v>
      </c>
      <c r="C511" s="60"/>
      <c r="G511" s="62"/>
      <c r="I511" s="86" t="e">
        <f t="shared" si="26"/>
        <v>#DIV/0!</v>
      </c>
      <c r="J511" s="87" t="e">
        <f t="shared" si="26"/>
        <v>#DIV/0!</v>
      </c>
      <c r="K511" s="87" t="e">
        <f t="shared" si="26"/>
        <v>#DIV/0!</v>
      </c>
      <c r="L511" s="87" t="e">
        <f t="shared" si="26"/>
        <v>#DIV/0!</v>
      </c>
      <c r="M511" s="88" t="e">
        <f t="shared" si="26"/>
        <v>#DIV/0!</v>
      </c>
      <c r="O511" s="61" t="str">
        <f t="shared" si="24"/>
        <v>נצרת-עילית</v>
      </c>
      <c r="P511" s="61" t="str">
        <f t="shared" si="25"/>
        <v>חיפה מפרץ</v>
      </c>
    </row>
    <row r="512" spans="1:16" x14ac:dyDescent="0.3">
      <c r="A512" s="61">
        <v>20</v>
      </c>
      <c r="B512" s="61">
        <v>13</v>
      </c>
      <c r="C512" s="60"/>
      <c r="G512" s="62"/>
      <c r="I512" s="86" t="e">
        <f t="shared" si="26"/>
        <v>#DIV/0!</v>
      </c>
      <c r="J512" s="87" t="e">
        <f t="shared" si="26"/>
        <v>#DIV/0!</v>
      </c>
      <c r="K512" s="87" t="e">
        <f t="shared" si="26"/>
        <v>#DIV/0!</v>
      </c>
      <c r="L512" s="87" t="e">
        <f t="shared" si="26"/>
        <v>#DIV/0!</v>
      </c>
      <c r="M512" s="88" t="e">
        <f t="shared" si="26"/>
        <v>#DIV/0!</v>
      </c>
      <c r="O512" s="61" t="str">
        <f t="shared" si="24"/>
        <v>נצרת-עילית</v>
      </c>
      <c r="P512" s="61" t="str">
        <f t="shared" si="25"/>
        <v>חיפה עיר תחתית</v>
      </c>
    </row>
    <row r="513" spans="1:16" x14ac:dyDescent="0.3">
      <c r="A513" s="61">
        <v>20</v>
      </c>
      <c r="B513" s="61">
        <v>14</v>
      </c>
      <c r="C513" s="60"/>
      <c r="G513" s="62"/>
      <c r="I513" s="86" t="e">
        <f t="shared" si="26"/>
        <v>#DIV/0!</v>
      </c>
      <c r="J513" s="87" t="e">
        <f t="shared" si="26"/>
        <v>#DIV/0!</v>
      </c>
      <c r="K513" s="87" t="e">
        <f t="shared" si="26"/>
        <v>#DIV/0!</v>
      </c>
      <c r="L513" s="87" t="e">
        <f t="shared" si="26"/>
        <v>#DIV/0!</v>
      </c>
      <c r="M513" s="88" t="e">
        <f t="shared" si="26"/>
        <v>#DIV/0!</v>
      </c>
      <c r="O513" s="61" t="str">
        <f t="shared" si="24"/>
        <v>נצרת-עילית</v>
      </c>
      <c r="P513" s="61" t="str">
        <f t="shared" si="25"/>
        <v>חיפה הדר-כרמל</v>
      </c>
    </row>
    <row r="514" spans="1:16" x14ac:dyDescent="0.3">
      <c r="A514" s="61">
        <v>20</v>
      </c>
      <c r="B514" s="61">
        <v>15</v>
      </c>
      <c r="C514" s="60"/>
      <c r="G514" s="62"/>
      <c r="I514" s="86" t="e">
        <f t="shared" si="26"/>
        <v>#DIV/0!</v>
      </c>
      <c r="J514" s="87" t="e">
        <f t="shared" si="26"/>
        <v>#DIV/0!</v>
      </c>
      <c r="K514" s="87" t="e">
        <f t="shared" si="26"/>
        <v>#DIV/0!</v>
      </c>
      <c r="L514" s="87" t="e">
        <f t="shared" si="26"/>
        <v>#DIV/0!</v>
      </c>
      <c r="M514" s="88" t="e">
        <f t="shared" si="26"/>
        <v>#DIV/0!</v>
      </c>
      <c r="O514" s="61" t="str">
        <f t="shared" si="24"/>
        <v>נצרת-עילית</v>
      </c>
      <c r="P514" s="61" t="str">
        <f t="shared" si="25"/>
        <v>חיפה מערב</v>
      </c>
    </row>
    <row r="515" spans="1:16" x14ac:dyDescent="0.3">
      <c r="A515" s="61">
        <v>20</v>
      </c>
      <c r="B515" s="61">
        <v>16</v>
      </c>
      <c r="C515" s="60"/>
      <c r="G515" s="62"/>
      <c r="I515" s="86" t="e">
        <f t="shared" si="26"/>
        <v>#DIV/0!</v>
      </c>
      <c r="J515" s="87" t="e">
        <f t="shared" si="26"/>
        <v>#DIV/0!</v>
      </c>
      <c r="K515" s="87" t="e">
        <f t="shared" si="26"/>
        <v>#DIV/0!</v>
      </c>
      <c r="L515" s="87" t="e">
        <f t="shared" si="26"/>
        <v>#DIV/0!</v>
      </c>
      <c r="M515" s="88" t="e">
        <f t="shared" si="26"/>
        <v>#DIV/0!</v>
      </c>
      <c r="O515" s="61" t="str">
        <f t="shared" si="24"/>
        <v>נצרת-עילית</v>
      </c>
      <c r="P515" s="61" t="str">
        <f t="shared" si="25"/>
        <v>חיפה כרמל</v>
      </c>
    </row>
    <row r="516" spans="1:16" x14ac:dyDescent="0.3">
      <c r="A516" s="61">
        <v>20</v>
      </c>
      <c r="B516" s="61">
        <v>17</v>
      </c>
      <c r="C516" s="60"/>
      <c r="G516" s="62"/>
      <c r="I516" s="86" t="e">
        <f t="shared" si="26"/>
        <v>#DIV/0!</v>
      </c>
      <c r="J516" s="87" t="e">
        <f t="shared" si="26"/>
        <v>#DIV/0!</v>
      </c>
      <c r="K516" s="87" t="e">
        <f t="shared" si="26"/>
        <v>#DIV/0!</v>
      </c>
      <c r="L516" s="87" t="e">
        <f t="shared" si="26"/>
        <v>#DIV/0!</v>
      </c>
      <c r="M516" s="88" t="e">
        <f t="shared" si="26"/>
        <v>#DIV/0!</v>
      </c>
      <c r="O516" s="61" t="str">
        <f t="shared" si="24"/>
        <v>נצרת-עילית</v>
      </c>
      <c r="P516" s="61" t="str">
        <f t="shared" si="25"/>
        <v>חיפה נווה שאנן</v>
      </c>
    </row>
    <row r="517" spans="1:16" x14ac:dyDescent="0.3">
      <c r="A517" s="61">
        <v>20</v>
      </c>
      <c r="B517" s="61">
        <v>18</v>
      </c>
      <c r="C517" s="60"/>
      <c r="G517" s="62"/>
      <c r="I517" s="86" t="e">
        <f t="shared" si="26"/>
        <v>#DIV/0!</v>
      </c>
      <c r="J517" s="87" t="e">
        <f t="shared" si="26"/>
        <v>#DIV/0!</v>
      </c>
      <c r="K517" s="87" t="e">
        <f t="shared" si="26"/>
        <v>#DIV/0!</v>
      </c>
      <c r="L517" s="87" t="e">
        <f t="shared" si="26"/>
        <v>#DIV/0!</v>
      </c>
      <c r="M517" s="88" t="e">
        <f t="shared" si="26"/>
        <v>#DIV/0!</v>
      </c>
      <c r="O517" s="61" t="str">
        <f t="shared" si="24"/>
        <v>נצרת-עילית</v>
      </c>
      <c r="P517" s="61" t="str">
        <f t="shared" si="25"/>
        <v>נשר</v>
      </c>
    </row>
    <row r="518" spans="1:16" x14ac:dyDescent="0.3">
      <c r="A518" s="61">
        <v>20</v>
      </c>
      <c r="B518" s="61">
        <v>19</v>
      </c>
      <c r="C518" s="60"/>
      <c r="G518" s="62"/>
      <c r="I518" s="86" t="e">
        <f t="shared" si="26"/>
        <v>#DIV/0!</v>
      </c>
      <c r="J518" s="87" t="e">
        <f t="shared" si="26"/>
        <v>#DIV/0!</v>
      </c>
      <c r="K518" s="87" t="e">
        <f t="shared" si="26"/>
        <v>#DIV/0!</v>
      </c>
      <c r="L518" s="87" t="e">
        <f t="shared" si="26"/>
        <v>#DIV/0!</v>
      </c>
      <c r="M518" s="88" t="e">
        <f t="shared" si="26"/>
        <v>#DIV/0!</v>
      </c>
      <c r="O518" s="61" t="str">
        <f t="shared" ref="O518:O581" si="27">VLOOKUP(A518,$S$6:$T$31,2,0)</f>
        <v>נצרת-עילית</v>
      </c>
      <c r="P518" s="61" t="str">
        <f t="shared" ref="P518:P581" si="28">VLOOKUP(B518,$S$6:$T$31,2,0)</f>
        <v>נצרת</v>
      </c>
    </row>
    <row r="519" spans="1:16" x14ac:dyDescent="0.3">
      <c r="A519" s="61">
        <v>20</v>
      </c>
      <c r="B519" s="61">
        <v>20</v>
      </c>
      <c r="C519" s="60"/>
      <c r="G519" s="62"/>
      <c r="I519" s="86" t="e">
        <f t="shared" si="26"/>
        <v>#DIV/0!</v>
      </c>
      <c r="J519" s="87" t="e">
        <f t="shared" si="26"/>
        <v>#DIV/0!</v>
      </c>
      <c r="K519" s="87" t="e">
        <f t="shared" si="26"/>
        <v>#DIV/0!</v>
      </c>
      <c r="L519" s="87" t="e">
        <f t="shared" si="26"/>
        <v>#DIV/0!</v>
      </c>
      <c r="M519" s="88" t="e">
        <f t="shared" si="26"/>
        <v>#DIV/0!</v>
      </c>
      <c r="O519" s="61" t="str">
        <f t="shared" si="27"/>
        <v>נצרת-עילית</v>
      </c>
      <c r="P519" s="61" t="str">
        <f t="shared" si="28"/>
        <v>נצרת-עילית</v>
      </c>
    </row>
    <row r="520" spans="1:16" x14ac:dyDescent="0.3">
      <c r="A520" s="61">
        <v>20</v>
      </c>
      <c r="B520" s="61">
        <v>21</v>
      </c>
      <c r="C520" s="60"/>
      <c r="G520" s="62"/>
      <c r="I520" s="86" t="e">
        <f t="shared" si="26"/>
        <v>#DIV/0!</v>
      </c>
      <c r="J520" s="87" t="e">
        <f t="shared" si="26"/>
        <v>#DIV/0!</v>
      </c>
      <c r="K520" s="87" t="e">
        <f t="shared" si="26"/>
        <v>#DIV/0!</v>
      </c>
      <c r="L520" s="87" t="e">
        <f t="shared" si="26"/>
        <v>#DIV/0!</v>
      </c>
      <c r="M520" s="88" t="e">
        <f t="shared" si="26"/>
        <v>#DIV/0!</v>
      </c>
      <c r="O520" s="61" t="str">
        <f t="shared" si="27"/>
        <v>נצרת-עילית</v>
      </c>
      <c r="P520" s="61" t="str">
        <f t="shared" si="28"/>
        <v>מגדל העמק</v>
      </c>
    </row>
    <row r="521" spans="1:16" x14ac:dyDescent="0.3">
      <c r="A521" s="61">
        <v>20</v>
      </c>
      <c r="B521" s="61">
        <v>22</v>
      </c>
      <c r="C521" s="60"/>
      <c r="G521" s="62"/>
      <c r="I521" s="86" t="e">
        <f t="shared" si="26"/>
        <v>#DIV/0!</v>
      </c>
      <c r="J521" s="87" t="e">
        <f t="shared" si="26"/>
        <v>#DIV/0!</v>
      </c>
      <c r="K521" s="87" t="e">
        <f t="shared" si="26"/>
        <v>#DIV/0!</v>
      </c>
      <c r="L521" s="87" t="e">
        <f t="shared" si="26"/>
        <v>#DIV/0!</v>
      </c>
      <c r="M521" s="88" t="e">
        <f t="shared" si="26"/>
        <v>#DIV/0!</v>
      </c>
      <c r="O521" s="61" t="str">
        <f t="shared" si="27"/>
        <v>נצרת-עילית</v>
      </c>
      <c r="P521" s="61" t="str">
        <f t="shared" si="28"/>
        <v>יוקנעם</v>
      </c>
    </row>
    <row r="522" spans="1:16" x14ac:dyDescent="0.3">
      <c r="A522" s="61">
        <v>20</v>
      </c>
      <c r="B522" s="61">
        <v>23</v>
      </c>
      <c r="C522" s="60"/>
      <c r="G522" s="62"/>
      <c r="I522" s="86" t="e">
        <f t="shared" si="26"/>
        <v>#DIV/0!</v>
      </c>
      <c r="J522" s="87" t="e">
        <f t="shared" si="26"/>
        <v>#DIV/0!</v>
      </c>
      <c r="K522" s="87" t="e">
        <f t="shared" si="26"/>
        <v>#DIV/0!</v>
      </c>
      <c r="L522" s="87" t="e">
        <f t="shared" si="26"/>
        <v>#DIV/0!</v>
      </c>
      <c r="M522" s="88" t="e">
        <f t="shared" si="26"/>
        <v>#DIV/0!</v>
      </c>
      <c r="O522" s="61" t="str">
        <f t="shared" si="27"/>
        <v>נצרת-עילית</v>
      </c>
      <c r="P522" s="61" t="str">
        <f t="shared" si="28"/>
        <v>דלית אל כרמל</v>
      </c>
    </row>
    <row r="523" spans="1:16" x14ac:dyDescent="0.3">
      <c r="A523" s="61">
        <v>20</v>
      </c>
      <c r="B523" s="61">
        <v>24</v>
      </c>
      <c r="C523" s="60"/>
      <c r="G523" s="62"/>
      <c r="I523" s="86" t="e">
        <f t="shared" si="26"/>
        <v>#DIV/0!</v>
      </c>
      <c r="J523" s="87" t="e">
        <f t="shared" si="26"/>
        <v>#DIV/0!</v>
      </c>
      <c r="K523" s="87" t="e">
        <f t="shared" si="26"/>
        <v>#DIV/0!</v>
      </c>
      <c r="L523" s="87" t="e">
        <f t="shared" si="26"/>
        <v>#DIV/0!</v>
      </c>
      <c r="M523" s="88" t="e">
        <f t="shared" si="26"/>
        <v>#DIV/0!</v>
      </c>
      <c r="O523" s="61" t="str">
        <f t="shared" si="27"/>
        <v>נצרת-עילית</v>
      </c>
      <c r="P523" s="61" t="str">
        <f t="shared" si="28"/>
        <v>חוף הכרמל</v>
      </c>
    </row>
    <row r="524" spans="1:16" x14ac:dyDescent="0.3">
      <c r="A524" s="61">
        <v>20</v>
      </c>
      <c r="B524" s="61">
        <v>25</v>
      </c>
      <c r="C524" s="60"/>
      <c r="G524" s="62"/>
      <c r="I524" s="86" t="e">
        <f t="shared" si="26"/>
        <v>#DIV/0!</v>
      </c>
      <c r="J524" s="87" t="e">
        <f t="shared" si="26"/>
        <v>#DIV/0!</v>
      </c>
      <c r="K524" s="87" t="e">
        <f t="shared" si="26"/>
        <v>#DIV/0!</v>
      </c>
      <c r="L524" s="87" t="e">
        <f t="shared" si="26"/>
        <v>#DIV/0!</v>
      </c>
      <c r="M524" s="88" t="e">
        <f t="shared" si="26"/>
        <v>#DIV/0!</v>
      </c>
      <c r="O524" s="61" t="str">
        <f t="shared" si="27"/>
        <v>נצרת-עילית</v>
      </c>
      <c r="P524" s="61" t="str">
        <f t="shared" si="28"/>
        <v>זכרון יעקב</v>
      </c>
    </row>
    <row r="525" spans="1:16" x14ac:dyDescent="0.3">
      <c r="A525" s="61">
        <v>20</v>
      </c>
      <c r="B525" s="61">
        <v>30</v>
      </c>
      <c r="C525" s="60"/>
      <c r="G525" s="62"/>
      <c r="I525" s="86" t="e">
        <f t="shared" si="26"/>
        <v>#DIV/0!</v>
      </c>
      <c r="J525" s="87" t="e">
        <f t="shared" si="26"/>
        <v>#DIV/0!</v>
      </c>
      <c r="K525" s="87" t="e">
        <f t="shared" si="26"/>
        <v>#DIV/0!</v>
      </c>
      <c r="L525" s="87" t="e">
        <f t="shared" si="26"/>
        <v>#DIV/0!</v>
      </c>
      <c r="M525" s="88" t="e">
        <f t="shared" si="26"/>
        <v>#DIV/0!</v>
      </c>
      <c r="O525" s="61" t="str">
        <f t="shared" si="27"/>
        <v>נצרת-עילית</v>
      </c>
      <c r="P525" s="61" t="str">
        <f t="shared" si="28"/>
        <v>סכנין</v>
      </c>
    </row>
    <row r="526" spans="1:16" x14ac:dyDescent="0.3">
      <c r="A526" s="61">
        <v>21</v>
      </c>
      <c r="B526" s="61">
        <v>1</v>
      </c>
      <c r="C526" s="60"/>
      <c r="G526" s="62"/>
      <c r="I526" s="86" t="e">
        <f t="shared" si="26"/>
        <v>#DIV/0!</v>
      </c>
      <c r="J526" s="87" t="e">
        <f t="shared" si="26"/>
        <v>#DIV/0!</v>
      </c>
      <c r="K526" s="87" t="e">
        <f t="shared" si="26"/>
        <v>#DIV/0!</v>
      </c>
      <c r="L526" s="87" t="e">
        <f t="shared" si="26"/>
        <v>#DIV/0!</v>
      </c>
      <c r="M526" s="88" t="e">
        <f t="shared" si="26"/>
        <v>#DIV/0!</v>
      </c>
      <c r="O526" s="61" t="str">
        <f t="shared" si="27"/>
        <v>מגדל העמק</v>
      </c>
      <c r="P526" s="61" t="str">
        <f t="shared" si="28"/>
        <v>נהריה</v>
      </c>
    </row>
    <row r="527" spans="1:16" x14ac:dyDescent="0.3">
      <c r="A527" s="61">
        <v>21</v>
      </c>
      <c r="B527" s="61">
        <v>2</v>
      </c>
      <c r="C527" s="60"/>
      <c r="G527" s="62"/>
      <c r="I527" s="86" t="e">
        <f t="shared" si="26"/>
        <v>#DIV/0!</v>
      </c>
      <c r="J527" s="87" t="e">
        <f t="shared" si="26"/>
        <v>#DIV/0!</v>
      </c>
      <c r="K527" s="87" t="e">
        <f t="shared" si="26"/>
        <v>#DIV/0!</v>
      </c>
      <c r="L527" s="87" t="e">
        <f t="shared" si="26"/>
        <v>#DIV/0!</v>
      </c>
      <c r="M527" s="88" t="e">
        <f t="shared" si="26"/>
        <v>#DIV/0!</v>
      </c>
      <c r="O527" s="61" t="str">
        <f t="shared" si="27"/>
        <v>מגדל העמק</v>
      </c>
      <c r="P527" s="61" t="str">
        <f t="shared" si="28"/>
        <v>עכו</v>
      </c>
    </row>
    <row r="528" spans="1:16" x14ac:dyDescent="0.3">
      <c r="A528" s="61">
        <v>21</v>
      </c>
      <c r="B528" s="61">
        <v>3</v>
      </c>
      <c r="C528" s="60"/>
      <c r="G528" s="62"/>
      <c r="I528" s="86" t="e">
        <f t="shared" si="26"/>
        <v>#DIV/0!</v>
      </c>
      <c r="J528" s="87" t="e">
        <f t="shared" si="26"/>
        <v>#DIV/0!</v>
      </c>
      <c r="K528" s="87" t="e">
        <f t="shared" si="26"/>
        <v>#DIV/0!</v>
      </c>
      <c r="L528" s="87" t="e">
        <f t="shared" si="26"/>
        <v>#DIV/0!</v>
      </c>
      <c r="M528" s="88" t="e">
        <f t="shared" si="26"/>
        <v>#DIV/0!</v>
      </c>
      <c r="O528" s="61" t="str">
        <f t="shared" si="27"/>
        <v>מגדל העמק</v>
      </c>
      <c r="P528" s="61" t="str">
        <f t="shared" si="28"/>
        <v>כרמיאל</v>
      </c>
    </row>
    <row r="529" spans="1:16" x14ac:dyDescent="0.3">
      <c r="A529" s="61">
        <v>21</v>
      </c>
      <c r="B529" s="61">
        <v>4</v>
      </c>
      <c r="C529" s="60"/>
      <c r="G529" s="62"/>
      <c r="I529" s="86" t="e">
        <f t="shared" ref="I529:M579" si="29">C529/SUM($C529:$G529)</f>
        <v>#DIV/0!</v>
      </c>
      <c r="J529" s="87" t="e">
        <f t="shared" si="29"/>
        <v>#DIV/0!</v>
      </c>
      <c r="K529" s="87" t="e">
        <f t="shared" si="29"/>
        <v>#DIV/0!</v>
      </c>
      <c r="L529" s="87" t="e">
        <f t="shared" si="29"/>
        <v>#DIV/0!</v>
      </c>
      <c r="M529" s="88" t="e">
        <f t="shared" si="29"/>
        <v>#DIV/0!</v>
      </c>
      <c r="O529" s="61" t="str">
        <f t="shared" si="27"/>
        <v>מגדל העמק</v>
      </c>
      <c r="P529" s="61" t="str">
        <f t="shared" si="28"/>
        <v>שפרעם</v>
      </c>
    </row>
    <row r="530" spans="1:16" x14ac:dyDescent="0.3">
      <c r="A530" s="61">
        <v>21</v>
      </c>
      <c r="B530" s="61">
        <v>5</v>
      </c>
      <c r="C530" s="60"/>
      <c r="G530" s="62"/>
      <c r="I530" s="86" t="e">
        <f t="shared" si="29"/>
        <v>#DIV/0!</v>
      </c>
      <c r="J530" s="87" t="e">
        <f t="shared" si="29"/>
        <v>#DIV/0!</v>
      </c>
      <c r="K530" s="87" t="e">
        <f t="shared" si="29"/>
        <v>#DIV/0!</v>
      </c>
      <c r="L530" s="87" t="e">
        <f t="shared" si="29"/>
        <v>#DIV/0!</v>
      </c>
      <c r="M530" s="88" t="e">
        <f t="shared" si="29"/>
        <v>#DIV/0!</v>
      </c>
      <c r="O530" s="61" t="str">
        <f t="shared" si="27"/>
        <v>מגדל העמק</v>
      </c>
      <c r="P530" s="61" t="str">
        <f t="shared" si="28"/>
        <v>קרית ים</v>
      </c>
    </row>
    <row r="531" spans="1:16" x14ac:dyDescent="0.3">
      <c r="A531" s="61">
        <v>21</v>
      </c>
      <c r="B531" s="61">
        <v>6</v>
      </c>
      <c r="C531" s="60"/>
      <c r="G531" s="62"/>
      <c r="I531" s="86" t="e">
        <f t="shared" si="29"/>
        <v>#DIV/0!</v>
      </c>
      <c r="J531" s="87" t="e">
        <f t="shared" si="29"/>
        <v>#DIV/0!</v>
      </c>
      <c r="K531" s="87" t="e">
        <f t="shared" si="29"/>
        <v>#DIV/0!</v>
      </c>
      <c r="L531" s="87" t="e">
        <f t="shared" si="29"/>
        <v>#DIV/0!</v>
      </c>
      <c r="M531" s="88" t="e">
        <f t="shared" si="29"/>
        <v>#DIV/0!</v>
      </c>
      <c r="O531" s="61" t="str">
        <f t="shared" si="27"/>
        <v>מגדל העמק</v>
      </c>
      <c r="P531" s="61" t="str">
        <f t="shared" si="28"/>
        <v>קרית מוצקין</v>
      </c>
    </row>
    <row r="532" spans="1:16" x14ac:dyDescent="0.3">
      <c r="A532" s="61">
        <v>21</v>
      </c>
      <c r="B532" s="61">
        <v>7</v>
      </c>
      <c r="C532" s="60"/>
      <c r="G532" s="62"/>
      <c r="I532" s="86" t="e">
        <f t="shared" si="29"/>
        <v>#DIV/0!</v>
      </c>
      <c r="J532" s="87" t="e">
        <f t="shared" si="29"/>
        <v>#DIV/0!</v>
      </c>
      <c r="K532" s="87" t="e">
        <f t="shared" si="29"/>
        <v>#DIV/0!</v>
      </c>
      <c r="L532" s="87" t="e">
        <f t="shared" si="29"/>
        <v>#DIV/0!</v>
      </c>
      <c r="M532" s="88" t="e">
        <f t="shared" si="29"/>
        <v>#DIV/0!</v>
      </c>
      <c r="O532" s="61" t="str">
        <f t="shared" si="27"/>
        <v>מגדל העמק</v>
      </c>
      <c r="P532" s="61" t="str">
        <f t="shared" si="28"/>
        <v>קרית ביאליק</v>
      </c>
    </row>
    <row r="533" spans="1:16" x14ac:dyDescent="0.3">
      <c r="A533" s="61">
        <v>21</v>
      </c>
      <c r="B533" s="61">
        <v>8</v>
      </c>
      <c r="C533" s="60"/>
      <c r="G533" s="62"/>
      <c r="I533" s="86" t="e">
        <f t="shared" si="29"/>
        <v>#DIV/0!</v>
      </c>
      <c r="J533" s="87" t="e">
        <f t="shared" si="29"/>
        <v>#DIV/0!</v>
      </c>
      <c r="K533" s="87" t="e">
        <f t="shared" si="29"/>
        <v>#DIV/0!</v>
      </c>
      <c r="L533" s="87" t="e">
        <f t="shared" si="29"/>
        <v>#DIV/0!</v>
      </c>
      <c r="M533" s="88" t="e">
        <f t="shared" si="29"/>
        <v>#DIV/0!</v>
      </c>
      <c r="O533" s="61" t="str">
        <f t="shared" si="27"/>
        <v>מגדל העמק</v>
      </c>
      <c r="P533" s="61" t="str">
        <f t="shared" si="28"/>
        <v>קרית חיים</v>
      </c>
    </row>
    <row r="534" spans="1:16" x14ac:dyDescent="0.3">
      <c r="A534" s="61">
        <v>21</v>
      </c>
      <c r="B534" s="61">
        <v>9</v>
      </c>
      <c r="C534" s="60"/>
      <c r="G534" s="62"/>
      <c r="I534" s="86" t="e">
        <f t="shared" si="29"/>
        <v>#DIV/0!</v>
      </c>
      <c r="J534" s="87" t="e">
        <f t="shared" si="29"/>
        <v>#DIV/0!</v>
      </c>
      <c r="K534" s="87" t="e">
        <f t="shared" si="29"/>
        <v>#DIV/0!</v>
      </c>
      <c r="L534" s="87" t="e">
        <f t="shared" si="29"/>
        <v>#DIV/0!</v>
      </c>
      <c r="M534" s="88" t="e">
        <f t="shared" si="29"/>
        <v>#DIV/0!</v>
      </c>
      <c r="O534" s="61" t="str">
        <f t="shared" si="27"/>
        <v>מגדל העמק</v>
      </c>
      <c r="P534" s="61" t="str">
        <f t="shared" si="28"/>
        <v>קרית אתא</v>
      </c>
    </row>
    <row r="535" spans="1:16" x14ac:dyDescent="0.3">
      <c r="A535" s="61">
        <v>21</v>
      </c>
      <c r="B535" s="61">
        <v>10</v>
      </c>
      <c r="C535" s="60"/>
      <c r="G535" s="62"/>
      <c r="I535" s="86" t="e">
        <f t="shared" si="29"/>
        <v>#DIV/0!</v>
      </c>
      <c r="J535" s="87" t="e">
        <f t="shared" si="29"/>
        <v>#DIV/0!</v>
      </c>
      <c r="K535" s="87" t="e">
        <f t="shared" si="29"/>
        <v>#DIV/0!</v>
      </c>
      <c r="L535" s="87" t="e">
        <f t="shared" si="29"/>
        <v>#DIV/0!</v>
      </c>
      <c r="M535" s="88" t="e">
        <f t="shared" si="29"/>
        <v>#DIV/0!</v>
      </c>
      <c r="O535" s="61" t="str">
        <f t="shared" si="27"/>
        <v>מגדל העמק</v>
      </c>
      <c r="P535" s="61" t="str">
        <f t="shared" si="28"/>
        <v>כפר מנדא</v>
      </c>
    </row>
    <row r="536" spans="1:16" x14ac:dyDescent="0.3">
      <c r="A536" s="61">
        <v>21</v>
      </c>
      <c r="B536" s="61">
        <v>11</v>
      </c>
      <c r="C536" s="60"/>
      <c r="G536" s="62"/>
      <c r="I536" s="86" t="e">
        <f t="shared" si="29"/>
        <v>#DIV/0!</v>
      </c>
      <c r="J536" s="87" t="e">
        <f t="shared" si="29"/>
        <v>#DIV/0!</v>
      </c>
      <c r="K536" s="87" t="e">
        <f t="shared" si="29"/>
        <v>#DIV/0!</v>
      </c>
      <c r="L536" s="87" t="e">
        <f t="shared" si="29"/>
        <v>#DIV/0!</v>
      </c>
      <c r="M536" s="88" t="e">
        <f t="shared" si="29"/>
        <v>#DIV/0!</v>
      </c>
      <c r="O536" s="61" t="str">
        <f t="shared" si="27"/>
        <v>מגדל העמק</v>
      </c>
      <c r="P536" s="61" t="str">
        <f t="shared" si="28"/>
        <v>זבולון</v>
      </c>
    </row>
    <row r="537" spans="1:16" x14ac:dyDescent="0.3">
      <c r="A537" s="61">
        <v>21</v>
      </c>
      <c r="B537" s="61">
        <v>12</v>
      </c>
      <c r="C537" s="60"/>
      <c r="G537" s="62"/>
      <c r="I537" s="86" t="e">
        <f t="shared" si="29"/>
        <v>#DIV/0!</v>
      </c>
      <c r="J537" s="87" t="e">
        <f t="shared" si="29"/>
        <v>#DIV/0!</v>
      </c>
      <c r="K537" s="87" t="e">
        <f t="shared" si="29"/>
        <v>#DIV/0!</v>
      </c>
      <c r="L537" s="87" t="e">
        <f t="shared" si="29"/>
        <v>#DIV/0!</v>
      </c>
      <c r="M537" s="88" t="e">
        <f t="shared" si="29"/>
        <v>#DIV/0!</v>
      </c>
      <c r="O537" s="61" t="str">
        <f t="shared" si="27"/>
        <v>מגדל העמק</v>
      </c>
      <c r="P537" s="61" t="str">
        <f t="shared" si="28"/>
        <v>חיפה מפרץ</v>
      </c>
    </row>
    <row r="538" spans="1:16" x14ac:dyDescent="0.3">
      <c r="A538" s="61">
        <v>21</v>
      </c>
      <c r="B538" s="61">
        <v>13</v>
      </c>
      <c r="C538" s="60"/>
      <c r="G538" s="62"/>
      <c r="I538" s="86" t="e">
        <f t="shared" si="29"/>
        <v>#DIV/0!</v>
      </c>
      <c r="J538" s="87" t="e">
        <f t="shared" si="29"/>
        <v>#DIV/0!</v>
      </c>
      <c r="K538" s="87" t="e">
        <f t="shared" si="29"/>
        <v>#DIV/0!</v>
      </c>
      <c r="L538" s="87" t="e">
        <f t="shared" si="29"/>
        <v>#DIV/0!</v>
      </c>
      <c r="M538" s="88" t="e">
        <f t="shared" si="29"/>
        <v>#DIV/0!</v>
      </c>
      <c r="O538" s="61" t="str">
        <f t="shared" si="27"/>
        <v>מגדל העמק</v>
      </c>
      <c r="P538" s="61" t="str">
        <f t="shared" si="28"/>
        <v>חיפה עיר תחתית</v>
      </c>
    </row>
    <row r="539" spans="1:16" x14ac:dyDescent="0.3">
      <c r="A539" s="61">
        <v>21</v>
      </c>
      <c r="B539" s="61">
        <v>14</v>
      </c>
      <c r="C539" s="60"/>
      <c r="G539" s="62"/>
      <c r="I539" s="86" t="e">
        <f t="shared" si="29"/>
        <v>#DIV/0!</v>
      </c>
      <c r="J539" s="87" t="e">
        <f t="shared" si="29"/>
        <v>#DIV/0!</v>
      </c>
      <c r="K539" s="87" t="e">
        <f t="shared" si="29"/>
        <v>#DIV/0!</v>
      </c>
      <c r="L539" s="87" t="e">
        <f t="shared" si="29"/>
        <v>#DIV/0!</v>
      </c>
      <c r="M539" s="88" t="e">
        <f t="shared" si="29"/>
        <v>#DIV/0!</v>
      </c>
      <c r="O539" s="61" t="str">
        <f t="shared" si="27"/>
        <v>מגדל העמק</v>
      </c>
      <c r="P539" s="61" t="str">
        <f t="shared" si="28"/>
        <v>חיפה הדר-כרמל</v>
      </c>
    </row>
    <row r="540" spans="1:16" x14ac:dyDescent="0.3">
      <c r="A540" s="61">
        <v>21</v>
      </c>
      <c r="B540" s="61">
        <v>15</v>
      </c>
      <c r="C540" s="60"/>
      <c r="G540" s="62"/>
      <c r="I540" s="86" t="e">
        <f t="shared" si="29"/>
        <v>#DIV/0!</v>
      </c>
      <c r="J540" s="87" t="e">
        <f t="shared" si="29"/>
        <v>#DIV/0!</v>
      </c>
      <c r="K540" s="87" t="e">
        <f t="shared" si="29"/>
        <v>#DIV/0!</v>
      </c>
      <c r="L540" s="87" t="e">
        <f t="shared" si="29"/>
        <v>#DIV/0!</v>
      </c>
      <c r="M540" s="88" t="e">
        <f t="shared" si="29"/>
        <v>#DIV/0!</v>
      </c>
      <c r="O540" s="61" t="str">
        <f t="shared" si="27"/>
        <v>מגדל העמק</v>
      </c>
      <c r="P540" s="61" t="str">
        <f t="shared" si="28"/>
        <v>חיפה מערב</v>
      </c>
    </row>
    <row r="541" spans="1:16" x14ac:dyDescent="0.3">
      <c r="A541" s="61">
        <v>21</v>
      </c>
      <c r="B541" s="61">
        <v>16</v>
      </c>
      <c r="C541" s="60"/>
      <c r="G541" s="62"/>
      <c r="I541" s="86" t="e">
        <f t="shared" si="29"/>
        <v>#DIV/0!</v>
      </c>
      <c r="J541" s="87" t="e">
        <f t="shared" si="29"/>
        <v>#DIV/0!</v>
      </c>
      <c r="K541" s="87" t="e">
        <f t="shared" si="29"/>
        <v>#DIV/0!</v>
      </c>
      <c r="L541" s="87" t="e">
        <f t="shared" si="29"/>
        <v>#DIV/0!</v>
      </c>
      <c r="M541" s="88" t="e">
        <f t="shared" si="29"/>
        <v>#DIV/0!</v>
      </c>
      <c r="O541" s="61" t="str">
        <f t="shared" si="27"/>
        <v>מגדל העמק</v>
      </c>
      <c r="P541" s="61" t="str">
        <f t="shared" si="28"/>
        <v>חיפה כרמל</v>
      </c>
    </row>
    <row r="542" spans="1:16" x14ac:dyDescent="0.3">
      <c r="A542" s="61">
        <v>21</v>
      </c>
      <c r="B542" s="61">
        <v>17</v>
      </c>
      <c r="C542" s="60"/>
      <c r="G542" s="62"/>
      <c r="I542" s="86" t="e">
        <f t="shared" si="29"/>
        <v>#DIV/0!</v>
      </c>
      <c r="J542" s="87" t="e">
        <f t="shared" si="29"/>
        <v>#DIV/0!</v>
      </c>
      <c r="K542" s="87" t="e">
        <f t="shared" si="29"/>
        <v>#DIV/0!</v>
      </c>
      <c r="L542" s="87" t="e">
        <f t="shared" si="29"/>
        <v>#DIV/0!</v>
      </c>
      <c r="M542" s="88" t="e">
        <f t="shared" si="29"/>
        <v>#DIV/0!</v>
      </c>
      <c r="O542" s="61" t="str">
        <f t="shared" si="27"/>
        <v>מגדל העמק</v>
      </c>
      <c r="P542" s="61" t="str">
        <f t="shared" si="28"/>
        <v>חיפה נווה שאנן</v>
      </c>
    </row>
    <row r="543" spans="1:16" x14ac:dyDescent="0.3">
      <c r="A543" s="61">
        <v>21</v>
      </c>
      <c r="B543" s="61">
        <v>18</v>
      </c>
      <c r="C543" s="60"/>
      <c r="G543" s="62"/>
      <c r="I543" s="86" t="e">
        <f t="shared" si="29"/>
        <v>#DIV/0!</v>
      </c>
      <c r="J543" s="87" t="e">
        <f t="shared" si="29"/>
        <v>#DIV/0!</v>
      </c>
      <c r="K543" s="87" t="e">
        <f t="shared" si="29"/>
        <v>#DIV/0!</v>
      </c>
      <c r="L543" s="87" t="e">
        <f t="shared" si="29"/>
        <v>#DIV/0!</v>
      </c>
      <c r="M543" s="88" t="e">
        <f t="shared" si="29"/>
        <v>#DIV/0!</v>
      </c>
      <c r="O543" s="61" t="str">
        <f t="shared" si="27"/>
        <v>מגדל העמק</v>
      </c>
      <c r="P543" s="61" t="str">
        <f t="shared" si="28"/>
        <v>נשר</v>
      </c>
    </row>
    <row r="544" spans="1:16" x14ac:dyDescent="0.3">
      <c r="A544" s="61">
        <v>21</v>
      </c>
      <c r="B544" s="61">
        <v>19</v>
      </c>
      <c r="C544" s="60"/>
      <c r="G544" s="62"/>
      <c r="I544" s="86" t="e">
        <f t="shared" si="29"/>
        <v>#DIV/0!</v>
      </c>
      <c r="J544" s="87" t="e">
        <f t="shared" si="29"/>
        <v>#DIV/0!</v>
      </c>
      <c r="K544" s="87" t="e">
        <f t="shared" si="29"/>
        <v>#DIV/0!</v>
      </c>
      <c r="L544" s="87" t="e">
        <f t="shared" si="29"/>
        <v>#DIV/0!</v>
      </c>
      <c r="M544" s="88" t="e">
        <f t="shared" si="29"/>
        <v>#DIV/0!</v>
      </c>
      <c r="O544" s="61" t="str">
        <f t="shared" si="27"/>
        <v>מגדל העמק</v>
      </c>
      <c r="P544" s="61" t="str">
        <f t="shared" si="28"/>
        <v>נצרת</v>
      </c>
    </row>
    <row r="545" spans="1:16" x14ac:dyDescent="0.3">
      <c r="A545" s="61">
        <v>21</v>
      </c>
      <c r="B545" s="61">
        <v>20</v>
      </c>
      <c r="C545" s="60"/>
      <c r="G545" s="62"/>
      <c r="I545" s="86" t="e">
        <f t="shared" si="29"/>
        <v>#DIV/0!</v>
      </c>
      <c r="J545" s="87" t="e">
        <f t="shared" si="29"/>
        <v>#DIV/0!</v>
      </c>
      <c r="K545" s="87" t="e">
        <f t="shared" si="29"/>
        <v>#DIV/0!</v>
      </c>
      <c r="L545" s="87" t="e">
        <f t="shared" si="29"/>
        <v>#DIV/0!</v>
      </c>
      <c r="M545" s="88" t="e">
        <f t="shared" si="29"/>
        <v>#DIV/0!</v>
      </c>
      <c r="O545" s="61" t="str">
        <f t="shared" si="27"/>
        <v>מגדל העמק</v>
      </c>
      <c r="P545" s="61" t="str">
        <f t="shared" si="28"/>
        <v>נצרת-עילית</v>
      </c>
    </row>
    <row r="546" spans="1:16" x14ac:dyDescent="0.3">
      <c r="A546" s="61">
        <v>21</v>
      </c>
      <c r="B546" s="61">
        <v>21</v>
      </c>
      <c r="C546" s="60"/>
      <c r="G546" s="62"/>
      <c r="I546" s="86" t="e">
        <f t="shared" si="29"/>
        <v>#DIV/0!</v>
      </c>
      <c r="J546" s="87" t="e">
        <f t="shared" si="29"/>
        <v>#DIV/0!</v>
      </c>
      <c r="K546" s="87" t="e">
        <f t="shared" si="29"/>
        <v>#DIV/0!</v>
      </c>
      <c r="L546" s="87" t="e">
        <f t="shared" si="29"/>
        <v>#DIV/0!</v>
      </c>
      <c r="M546" s="88" t="e">
        <f t="shared" si="29"/>
        <v>#DIV/0!</v>
      </c>
      <c r="O546" s="61" t="str">
        <f t="shared" si="27"/>
        <v>מגדל העמק</v>
      </c>
      <c r="P546" s="61" t="str">
        <f t="shared" si="28"/>
        <v>מגדל העמק</v>
      </c>
    </row>
    <row r="547" spans="1:16" x14ac:dyDescent="0.3">
      <c r="A547" s="61">
        <v>21</v>
      </c>
      <c r="B547" s="61">
        <v>22</v>
      </c>
      <c r="C547" s="60"/>
      <c r="G547" s="62"/>
      <c r="I547" s="86" t="e">
        <f t="shared" si="29"/>
        <v>#DIV/0!</v>
      </c>
      <c r="J547" s="87" t="e">
        <f t="shared" si="29"/>
        <v>#DIV/0!</v>
      </c>
      <c r="K547" s="87" t="e">
        <f t="shared" si="29"/>
        <v>#DIV/0!</v>
      </c>
      <c r="L547" s="87" t="e">
        <f t="shared" si="29"/>
        <v>#DIV/0!</v>
      </c>
      <c r="M547" s="88" t="e">
        <f t="shared" si="29"/>
        <v>#DIV/0!</v>
      </c>
      <c r="O547" s="61" t="str">
        <f t="shared" si="27"/>
        <v>מגדל העמק</v>
      </c>
      <c r="P547" s="61" t="str">
        <f t="shared" si="28"/>
        <v>יוקנעם</v>
      </c>
    </row>
    <row r="548" spans="1:16" x14ac:dyDescent="0.3">
      <c r="A548" s="61">
        <v>21</v>
      </c>
      <c r="B548" s="61">
        <v>23</v>
      </c>
      <c r="C548" s="60"/>
      <c r="G548" s="62"/>
      <c r="I548" s="86" t="e">
        <f t="shared" si="29"/>
        <v>#DIV/0!</v>
      </c>
      <c r="J548" s="87" t="e">
        <f t="shared" si="29"/>
        <v>#DIV/0!</v>
      </c>
      <c r="K548" s="87" t="e">
        <f t="shared" si="29"/>
        <v>#DIV/0!</v>
      </c>
      <c r="L548" s="87" t="e">
        <f t="shared" si="29"/>
        <v>#DIV/0!</v>
      </c>
      <c r="M548" s="88" t="e">
        <f t="shared" si="29"/>
        <v>#DIV/0!</v>
      </c>
      <c r="O548" s="61" t="str">
        <f t="shared" si="27"/>
        <v>מגדל העמק</v>
      </c>
      <c r="P548" s="61" t="str">
        <f t="shared" si="28"/>
        <v>דלית אל כרמל</v>
      </c>
    </row>
    <row r="549" spans="1:16" x14ac:dyDescent="0.3">
      <c r="A549" s="61">
        <v>21</v>
      </c>
      <c r="B549" s="61">
        <v>24</v>
      </c>
      <c r="C549" s="60"/>
      <c r="G549" s="62"/>
      <c r="I549" s="86" t="e">
        <f t="shared" si="29"/>
        <v>#DIV/0!</v>
      </c>
      <c r="J549" s="87" t="e">
        <f t="shared" si="29"/>
        <v>#DIV/0!</v>
      </c>
      <c r="K549" s="87" t="e">
        <f t="shared" si="29"/>
        <v>#DIV/0!</v>
      </c>
      <c r="L549" s="87" t="e">
        <f t="shared" si="29"/>
        <v>#DIV/0!</v>
      </c>
      <c r="M549" s="88" t="e">
        <f t="shared" si="29"/>
        <v>#DIV/0!</v>
      </c>
      <c r="O549" s="61" t="str">
        <f t="shared" si="27"/>
        <v>מגדל העמק</v>
      </c>
      <c r="P549" s="61" t="str">
        <f t="shared" si="28"/>
        <v>חוף הכרמל</v>
      </c>
    </row>
    <row r="550" spans="1:16" x14ac:dyDescent="0.3">
      <c r="A550" s="61">
        <v>21</v>
      </c>
      <c r="B550" s="61">
        <v>25</v>
      </c>
      <c r="C550" s="60"/>
      <c r="G550" s="62"/>
      <c r="I550" s="86" t="e">
        <f t="shared" si="29"/>
        <v>#DIV/0!</v>
      </c>
      <c r="J550" s="87" t="e">
        <f t="shared" si="29"/>
        <v>#DIV/0!</v>
      </c>
      <c r="K550" s="87" t="e">
        <f t="shared" si="29"/>
        <v>#DIV/0!</v>
      </c>
      <c r="L550" s="87" t="e">
        <f t="shared" si="29"/>
        <v>#DIV/0!</v>
      </c>
      <c r="M550" s="88" t="e">
        <f t="shared" si="29"/>
        <v>#DIV/0!</v>
      </c>
      <c r="O550" s="61" t="str">
        <f t="shared" si="27"/>
        <v>מגדל העמק</v>
      </c>
      <c r="P550" s="61" t="str">
        <f t="shared" si="28"/>
        <v>זכרון יעקב</v>
      </c>
    </row>
    <row r="551" spans="1:16" x14ac:dyDescent="0.3">
      <c r="A551" s="61">
        <v>21</v>
      </c>
      <c r="B551" s="61">
        <v>30</v>
      </c>
      <c r="C551" s="60"/>
      <c r="G551" s="62"/>
      <c r="I551" s="86" t="e">
        <f t="shared" si="29"/>
        <v>#DIV/0!</v>
      </c>
      <c r="J551" s="87" t="e">
        <f t="shared" si="29"/>
        <v>#DIV/0!</v>
      </c>
      <c r="K551" s="87" t="e">
        <f t="shared" si="29"/>
        <v>#DIV/0!</v>
      </c>
      <c r="L551" s="87" t="e">
        <f t="shared" si="29"/>
        <v>#DIV/0!</v>
      </c>
      <c r="M551" s="88" t="e">
        <f t="shared" si="29"/>
        <v>#DIV/0!</v>
      </c>
      <c r="O551" s="61" t="str">
        <f t="shared" si="27"/>
        <v>מגדל העמק</v>
      </c>
      <c r="P551" s="61" t="str">
        <f t="shared" si="28"/>
        <v>סכנין</v>
      </c>
    </row>
    <row r="552" spans="1:16" x14ac:dyDescent="0.3">
      <c r="A552" s="61">
        <v>22</v>
      </c>
      <c r="B552" s="61">
        <v>1</v>
      </c>
      <c r="C552" s="60"/>
      <c r="G552" s="62"/>
      <c r="I552" s="86" t="e">
        <f t="shared" si="29"/>
        <v>#DIV/0!</v>
      </c>
      <c r="J552" s="87" t="e">
        <f t="shared" si="29"/>
        <v>#DIV/0!</v>
      </c>
      <c r="K552" s="87" t="e">
        <f t="shared" si="29"/>
        <v>#DIV/0!</v>
      </c>
      <c r="L552" s="87" t="e">
        <f t="shared" si="29"/>
        <v>#DIV/0!</v>
      </c>
      <c r="M552" s="88" t="e">
        <f t="shared" si="29"/>
        <v>#DIV/0!</v>
      </c>
      <c r="O552" s="61" t="str">
        <f t="shared" si="27"/>
        <v>יוקנעם</v>
      </c>
      <c r="P552" s="61" t="str">
        <f t="shared" si="28"/>
        <v>נהריה</v>
      </c>
    </row>
    <row r="553" spans="1:16" x14ac:dyDescent="0.3">
      <c r="A553" s="61">
        <v>22</v>
      </c>
      <c r="B553" s="61">
        <v>2</v>
      </c>
      <c r="C553" s="60"/>
      <c r="G553" s="62"/>
      <c r="I553" s="86" t="e">
        <f t="shared" si="29"/>
        <v>#DIV/0!</v>
      </c>
      <c r="J553" s="87" t="e">
        <f t="shared" si="29"/>
        <v>#DIV/0!</v>
      </c>
      <c r="K553" s="87" t="e">
        <f t="shared" si="29"/>
        <v>#DIV/0!</v>
      </c>
      <c r="L553" s="87" t="e">
        <f t="shared" si="29"/>
        <v>#DIV/0!</v>
      </c>
      <c r="M553" s="88" t="e">
        <f t="shared" si="29"/>
        <v>#DIV/0!</v>
      </c>
      <c r="O553" s="61" t="str">
        <f t="shared" si="27"/>
        <v>יוקנעם</v>
      </c>
      <c r="P553" s="61" t="str">
        <f t="shared" si="28"/>
        <v>עכו</v>
      </c>
    </row>
    <row r="554" spans="1:16" x14ac:dyDescent="0.3">
      <c r="A554" s="61">
        <v>22</v>
      </c>
      <c r="B554" s="61">
        <v>3</v>
      </c>
      <c r="C554" s="60"/>
      <c r="G554" s="62"/>
      <c r="I554" s="86" t="e">
        <f t="shared" si="29"/>
        <v>#DIV/0!</v>
      </c>
      <c r="J554" s="87" t="e">
        <f t="shared" si="29"/>
        <v>#DIV/0!</v>
      </c>
      <c r="K554" s="87" t="e">
        <f t="shared" si="29"/>
        <v>#DIV/0!</v>
      </c>
      <c r="L554" s="87" t="e">
        <f t="shared" si="29"/>
        <v>#DIV/0!</v>
      </c>
      <c r="M554" s="88" t="e">
        <f t="shared" si="29"/>
        <v>#DIV/0!</v>
      </c>
      <c r="O554" s="61" t="str">
        <f t="shared" si="27"/>
        <v>יוקנעם</v>
      </c>
      <c r="P554" s="61" t="str">
        <f t="shared" si="28"/>
        <v>כרמיאל</v>
      </c>
    </row>
    <row r="555" spans="1:16" x14ac:dyDescent="0.3">
      <c r="A555" s="61">
        <v>22</v>
      </c>
      <c r="B555" s="61">
        <v>4</v>
      </c>
      <c r="C555" s="60"/>
      <c r="G555" s="62"/>
      <c r="I555" s="86" t="e">
        <f t="shared" si="29"/>
        <v>#DIV/0!</v>
      </c>
      <c r="J555" s="87" t="e">
        <f t="shared" si="29"/>
        <v>#DIV/0!</v>
      </c>
      <c r="K555" s="87" t="e">
        <f t="shared" si="29"/>
        <v>#DIV/0!</v>
      </c>
      <c r="L555" s="87" t="e">
        <f t="shared" si="29"/>
        <v>#DIV/0!</v>
      </c>
      <c r="M555" s="88" t="e">
        <f t="shared" si="29"/>
        <v>#DIV/0!</v>
      </c>
      <c r="O555" s="61" t="str">
        <f t="shared" si="27"/>
        <v>יוקנעם</v>
      </c>
      <c r="P555" s="61" t="str">
        <f t="shared" si="28"/>
        <v>שפרעם</v>
      </c>
    </row>
    <row r="556" spans="1:16" x14ac:dyDescent="0.3">
      <c r="A556" s="61">
        <v>22</v>
      </c>
      <c r="B556" s="61">
        <v>5</v>
      </c>
      <c r="C556" s="60"/>
      <c r="G556" s="62"/>
      <c r="I556" s="86" t="e">
        <f t="shared" si="29"/>
        <v>#DIV/0!</v>
      </c>
      <c r="J556" s="87" t="e">
        <f t="shared" si="29"/>
        <v>#DIV/0!</v>
      </c>
      <c r="K556" s="87" t="e">
        <f t="shared" si="29"/>
        <v>#DIV/0!</v>
      </c>
      <c r="L556" s="87" t="e">
        <f t="shared" si="29"/>
        <v>#DIV/0!</v>
      </c>
      <c r="M556" s="88" t="e">
        <f t="shared" si="29"/>
        <v>#DIV/0!</v>
      </c>
      <c r="O556" s="61" t="str">
        <f t="shared" si="27"/>
        <v>יוקנעם</v>
      </c>
      <c r="P556" s="61" t="str">
        <f t="shared" si="28"/>
        <v>קרית ים</v>
      </c>
    </row>
    <row r="557" spans="1:16" x14ac:dyDescent="0.3">
      <c r="A557" s="61">
        <v>22</v>
      </c>
      <c r="B557" s="61">
        <v>6</v>
      </c>
      <c r="C557" s="60"/>
      <c r="G557" s="62"/>
      <c r="I557" s="86" t="e">
        <f t="shared" si="29"/>
        <v>#DIV/0!</v>
      </c>
      <c r="J557" s="87" t="e">
        <f t="shared" si="29"/>
        <v>#DIV/0!</v>
      </c>
      <c r="K557" s="87" t="e">
        <f t="shared" si="29"/>
        <v>#DIV/0!</v>
      </c>
      <c r="L557" s="87" t="e">
        <f t="shared" si="29"/>
        <v>#DIV/0!</v>
      </c>
      <c r="M557" s="88" t="e">
        <f t="shared" si="29"/>
        <v>#DIV/0!</v>
      </c>
      <c r="O557" s="61" t="str">
        <f t="shared" si="27"/>
        <v>יוקנעם</v>
      </c>
      <c r="P557" s="61" t="str">
        <f t="shared" si="28"/>
        <v>קרית מוצקין</v>
      </c>
    </row>
    <row r="558" spans="1:16" x14ac:dyDescent="0.3">
      <c r="A558" s="61">
        <v>22</v>
      </c>
      <c r="B558" s="61">
        <v>7</v>
      </c>
      <c r="C558" s="60"/>
      <c r="G558" s="62"/>
      <c r="I558" s="86" t="e">
        <f t="shared" si="29"/>
        <v>#DIV/0!</v>
      </c>
      <c r="J558" s="87" t="e">
        <f t="shared" si="29"/>
        <v>#DIV/0!</v>
      </c>
      <c r="K558" s="87" t="e">
        <f t="shared" si="29"/>
        <v>#DIV/0!</v>
      </c>
      <c r="L558" s="87" t="e">
        <f t="shared" si="29"/>
        <v>#DIV/0!</v>
      </c>
      <c r="M558" s="88" t="e">
        <f t="shared" si="29"/>
        <v>#DIV/0!</v>
      </c>
      <c r="O558" s="61" t="str">
        <f t="shared" si="27"/>
        <v>יוקנעם</v>
      </c>
      <c r="P558" s="61" t="str">
        <f t="shared" si="28"/>
        <v>קרית ביאליק</v>
      </c>
    </row>
    <row r="559" spans="1:16" x14ac:dyDescent="0.3">
      <c r="A559" s="61">
        <v>22</v>
      </c>
      <c r="B559" s="61">
        <v>8</v>
      </c>
      <c r="C559" s="60"/>
      <c r="G559" s="62"/>
      <c r="I559" s="86" t="e">
        <f t="shared" si="29"/>
        <v>#DIV/0!</v>
      </c>
      <c r="J559" s="87" t="e">
        <f t="shared" si="29"/>
        <v>#DIV/0!</v>
      </c>
      <c r="K559" s="87" t="e">
        <f t="shared" si="29"/>
        <v>#DIV/0!</v>
      </c>
      <c r="L559" s="87" t="e">
        <f t="shared" si="29"/>
        <v>#DIV/0!</v>
      </c>
      <c r="M559" s="88" t="e">
        <f t="shared" si="29"/>
        <v>#DIV/0!</v>
      </c>
      <c r="O559" s="61" t="str">
        <f t="shared" si="27"/>
        <v>יוקנעם</v>
      </c>
      <c r="P559" s="61" t="str">
        <f t="shared" si="28"/>
        <v>קרית חיים</v>
      </c>
    </row>
    <row r="560" spans="1:16" x14ac:dyDescent="0.3">
      <c r="A560" s="61">
        <v>22</v>
      </c>
      <c r="B560" s="61">
        <v>9</v>
      </c>
      <c r="C560" s="60"/>
      <c r="G560" s="62"/>
      <c r="I560" s="86" t="e">
        <f t="shared" si="29"/>
        <v>#DIV/0!</v>
      </c>
      <c r="J560" s="87" t="e">
        <f t="shared" si="29"/>
        <v>#DIV/0!</v>
      </c>
      <c r="K560" s="87" t="e">
        <f t="shared" si="29"/>
        <v>#DIV/0!</v>
      </c>
      <c r="L560" s="87" t="e">
        <f t="shared" si="29"/>
        <v>#DIV/0!</v>
      </c>
      <c r="M560" s="88" t="e">
        <f t="shared" si="29"/>
        <v>#DIV/0!</v>
      </c>
      <c r="O560" s="61" t="str">
        <f t="shared" si="27"/>
        <v>יוקנעם</v>
      </c>
      <c r="P560" s="61" t="str">
        <f t="shared" si="28"/>
        <v>קרית אתא</v>
      </c>
    </row>
    <row r="561" spans="1:16" x14ac:dyDescent="0.3">
      <c r="A561" s="61">
        <v>22</v>
      </c>
      <c r="B561" s="61">
        <v>10</v>
      </c>
      <c r="C561" s="60"/>
      <c r="G561" s="62"/>
      <c r="I561" s="86" t="e">
        <f t="shared" si="29"/>
        <v>#DIV/0!</v>
      </c>
      <c r="J561" s="87" t="e">
        <f t="shared" si="29"/>
        <v>#DIV/0!</v>
      </c>
      <c r="K561" s="87" t="e">
        <f t="shared" si="29"/>
        <v>#DIV/0!</v>
      </c>
      <c r="L561" s="87" t="e">
        <f t="shared" si="29"/>
        <v>#DIV/0!</v>
      </c>
      <c r="M561" s="88" t="e">
        <f t="shared" si="29"/>
        <v>#DIV/0!</v>
      </c>
      <c r="O561" s="61" t="str">
        <f t="shared" si="27"/>
        <v>יוקנעם</v>
      </c>
      <c r="P561" s="61" t="str">
        <f t="shared" si="28"/>
        <v>כפר מנדא</v>
      </c>
    </row>
    <row r="562" spans="1:16" x14ac:dyDescent="0.3">
      <c r="A562" s="61">
        <v>22</v>
      </c>
      <c r="B562" s="61">
        <v>11</v>
      </c>
      <c r="C562" s="60"/>
      <c r="G562" s="62"/>
      <c r="I562" s="86" t="e">
        <f t="shared" si="29"/>
        <v>#DIV/0!</v>
      </c>
      <c r="J562" s="87" t="e">
        <f t="shared" si="29"/>
        <v>#DIV/0!</v>
      </c>
      <c r="K562" s="87" t="e">
        <f t="shared" si="29"/>
        <v>#DIV/0!</v>
      </c>
      <c r="L562" s="87" t="e">
        <f t="shared" si="29"/>
        <v>#DIV/0!</v>
      </c>
      <c r="M562" s="88" t="e">
        <f t="shared" si="29"/>
        <v>#DIV/0!</v>
      </c>
      <c r="O562" s="61" t="str">
        <f t="shared" si="27"/>
        <v>יוקנעם</v>
      </c>
      <c r="P562" s="61" t="str">
        <f t="shared" si="28"/>
        <v>זבולון</v>
      </c>
    </row>
    <row r="563" spans="1:16" x14ac:dyDescent="0.3">
      <c r="A563" s="61">
        <v>22</v>
      </c>
      <c r="B563" s="61">
        <v>12</v>
      </c>
      <c r="C563" s="60"/>
      <c r="G563" s="62"/>
      <c r="I563" s="86" t="e">
        <f t="shared" si="29"/>
        <v>#DIV/0!</v>
      </c>
      <c r="J563" s="87" t="e">
        <f t="shared" si="29"/>
        <v>#DIV/0!</v>
      </c>
      <c r="K563" s="87" t="e">
        <f t="shared" si="29"/>
        <v>#DIV/0!</v>
      </c>
      <c r="L563" s="87" t="e">
        <f t="shared" si="29"/>
        <v>#DIV/0!</v>
      </c>
      <c r="M563" s="88" t="e">
        <f t="shared" si="29"/>
        <v>#DIV/0!</v>
      </c>
      <c r="O563" s="61" t="str">
        <f t="shared" si="27"/>
        <v>יוקנעם</v>
      </c>
      <c r="P563" s="61" t="str">
        <f t="shared" si="28"/>
        <v>חיפה מפרץ</v>
      </c>
    </row>
    <row r="564" spans="1:16" x14ac:dyDescent="0.3">
      <c r="A564" s="61">
        <v>22</v>
      </c>
      <c r="B564" s="61">
        <v>13</v>
      </c>
      <c r="C564" s="60"/>
      <c r="G564" s="62"/>
      <c r="I564" s="86" t="e">
        <f t="shared" si="29"/>
        <v>#DIV/0!</v>
      </c>
      <c r="J564" s="87" t="e">
        <f t="shared" si="29"/>
        <v>#DIV/0!</v>
      </c>
      <c r="K564" s="87" t="e">
        <f t="shared" si="29"/>
        <v>#DIV/0!</v>
      </c>
      <c r="L564" s="87" t="e">
        <f t="shared" si="29"/>
        <v>#DIV/0!</v>
      </c>
      <c r="M564" s="88" t="e">
        <f t="shared" si="29"/>
        <v>#DIV/0!</v>
      </c>
      <c r="O564" s="61" t="str">
        <f t="shared" si="27"/>
        <v>יוקנעם</v>
      </c>
      <c r="P564" s="61" t="str">
        <f t="shared" si="28"/>
        <v>חיפה עיר תחתית</v>
      </c>
    </row>
    <row r="565" spans="1:16" x14ac:dyDescent="0.3">
      <c r="A565" s="61">
        <v>22</v>
      </c>
      <c r="B565" s="61">
        <v>14</v>
      </c>
      <c r="C565" s="60"/>
      <c r="G565" s="62"/>
      <c r="I565" s="86" t="e">
        <f t="shared" si="29"/>
        <v>#DIV/0!</v>
      </c>
      <c r="J565" s="87" t="e">
        <f t="shared" si="29"/>
        <v>#DIV/0!</v>
      </c>
      <c r="K565" s="87" t="e">
        <f t="shared" si="29"/>
        <v>#DIV/0!</v>
      </c>
      <c r="L565" s="87" t="e">
        <f t="shared" si="29"/>
        <v>#DIV/0!</v>
      </c>
      <c r="M565" s="88" t="e">
        <f t="shared" si="29"/>
        <v>#DIV/0!</v>
      </c>
      <c r="O565" s="61" t="str">
        <f t="shared" si="27"/>
        <v>יוקנעם</v>
      </c>
      <c r="P565" s="61" t="str">
        <f t="shared" si="28"/>
        <v>חיפה הדר-כרמל</v>
      </c>
    </row>
    <row r="566" spans="1:16" x14ac:dyDescent="0.3">
      <c r="A566" s="61">
        <v>22</v>
      </c>
      <c r="B566" s="61">
        <v>15</v>
      </c>
      <c r="C566" s="60"/>
      <c r="G566" s="62"/>
      <c r="I566" s="86" t="e">
        <f t="shared" si="29"/>
        <v>#DIV/0!</v>
      </c>
      <c r="J566" s="87" t="e">
        <f t="shared" si="29"/>
        <v>#DIV/0!</v>
      </c>
      <c r="K566" s="87" t="e">
        <f t="shared" si="29"/>
        <v>#DIV/0!</v>
      </c>
      <c r="L566" s="87" t="e">
        <f t="shared" si="29"/>
        <v>#DIV/0!</v>
      </c>
      <c r="M566" s="88" t="e">
        <f t="shared" si="29"/>
        <v>#DIV/0!</v>
      </c>
      <c r="O566" s="61" t="str">
        <f t="shared" si="27"/>
        <v>יוקנעם</v>
      </c>
      <c r="P566" s="61" t="str">
        <f t="shared" si="28"/>
        <v>חיפה מערב</v>
      </c>
    </row>
    <row r="567" spans="1:16" x14ac:dyDescent="0.3">
      <c r="A567" s="61">
        <v>22</v>
      </c>
      <c r="B567" s="61">
        <v>16</v>
      </c>
      <c r="C567" s="60"/>
      <c r="G567" s="62"/>
      <c r="I567" s="86" t="e">
        <f t="shared" si="29"/>
        <v>#DIV/0!</v>
      </c>
      <c r="J567" s="87" t="e">
        <f t="shared" si="29"/>
        <v>#DIV/0!</v>
      </c>
      <c r="K567" s="87" t="e">
        <f t="shared" si="29"/>
        <v>#DIV/0!</v>
      </c>
      <c r="L567" s="87" t="e">
        <f t="shared" si="29"/>
        <v>#DIV/0!</v>
      </c>
      <c r="M567" s="88" t="e">
        <f t="shared" si="29"/>
        <v>#DIV/0!</v>
      </c>
      <c r="O567" s="61" t="str">
        <f t="shared" si="27"/>
        <v>יוקנעם</v>
      </c>
      <c r="P567" s="61" t="str">
        <f t="shared" si="28"/>
        <v>חיפה כרמל</v>
      </c>
    </row>
    <row r="568" spans="1:16" x14ac:dyDescent="0.3">
      <c r="A568" s="61">
        <v>22</v>
      </c>
      <c r="B568" s="61">
        <v>17</v>
      </c>
      <c r="C568" s="60"/>
      <c r="G568" s="62"/>
      <c r="I568" s="86" t="e">
        <f t="shared" si="29"/>
        <v>#DIV/0!</v>
      </c>
      <c r="J568" s="87" t="e">
        <f t="shared" si="29"/>
        <v>#DIV/0!</v>
      </c>
      <c r="K568" s="87" t="e">
        <f t="shared" si="29"/>
        <v>#DIV/0!</v>
      </c>
      <c r="L568" s="87" t="e">
        <f t="shared" si="29"/>
        <v>#DIV/0!</v>
      </c>
      <c r="M568" s="88" t="e">
        <f t="shared" si="29"/>
        <v>#DIV/0!</v>
      </c>
      <c r="O568" s="61" t="str">
        <f t="shared" si="27"/>
        <v>יוקנעם</v>
      </c>
      <c r="P568" s="61" t="str">
        <f t="shared" si="28"/>
        <v>חיפה נווה שאנן</v>
      </c>
    </row>
    <row r="569" spans="1:16" x14ac:dyDescent="0.3">
      <c r="A569" s="61">
        <v>22</v>
      </c>
      <c r="B569" s="61">
        <v>18</v>
      </c>
      <c r="C569" s="60"/>
      <c r="G569" s="62"/>
      <c r="I569" s="86" t="e">
        <f t="shared" si="29"/>
        <v>#DIV/0!</v>
      </c>
      <c r="J569" s="87" t="e">
        <f t="shared" si="29"/>
        <v>#DIV/0!</v>
      </c>
      <c r="K569" s="87" t="e">
        <f t="shared" si="29"/>
        <v>#DIV/0!</v>
      </c>
      <c r="L569" s="87" t="e">
        <f t="shared" si="29"/>
        <v>#DIV/0!</v>
      </c>
      <c r="M569" s="88" t="e">
        <f t="shared" si="29"/>
        <v>#DIV/0!</v>
      </c>
      <c r="O569" s="61" t="str">
        <f t="shared" si="27"/>
        <v>יוקנעם</v>
      </c>
      <c r="P569" s="61" t="str">
        <f t="shared" si="28"/>
        <v>נשר</v>
      </c>
    </row>
    <row r="570" spans="1:16" x14ac:dyDescent="0.3">
      <c r="A570" s="61">
        <v>22</v>
      </c>
      <c r="B570" s="61">
        <v>19</v>
      </c>
      <c r="C570" s="60"/>
      <c r="G570" s="62"/>
      <c r="I570" s="86" t="e">
        <f t="shared" si="29"/>
        <v>#DIV/0!</v>
      </c>
      <c r="J570" s="87" t="e">
        <f t="shared" si="29"/>
        <v>#DIV/0!</v>
      </c>
      <c r="K570" s="87" t="e">
        <f t="shared" si="29"/>
        <v>#DIV/0!</v>
      </c>
      <c r="L570" s="87" t="e">
        <f t="shared" si="29"/>
        <v>#DIV/0!</v>
      </c>
      <c r="M570" s="88" t="e">
        <f t="shared" si="29"/>
        <v>#DIV/0!</v>
      </c>
      <c r="O570" s="61" t="str">
        <f t="shared" si="27"/>
        <v>יוקנעם</v>
      </c>
      <c r="P570" s="61" t="str">
        <f t="shared" si="28"/>
        <v>נצרת</v>
      </c>
    </row>
    <row r="571" spans="1:16" x14ac:dyDescent="0.3">
      <c r="A571" s="61">
        <v>22</v>
      </c>
      <c r="B571" s="61">
        <v>20</v>
      </c>
      <c r="C571" s="60"/>
      <c r="G571" s="62"/>
      <c r="I571" s="86" t="e">
        <f t="shared" si="29"/>
        <v>#DIV/0!</v>
      </c>
      <c r="J571" s="87" t="e">
        <f t="shared" si="29"/>
        <v>#DIV/0!</v>
      </c>
      <c r="K571" s="87" t="e">
        <f t="shared" si="29"/>
        <v>#DIV/0!</v>
      </c>
      <c r="L571" s="87" t="e">
        <f t="shared" si="29"/>
        <v>#DIV/0!</v>
      </c>
      <c r="M571" s="88" t="e">
        <f t="shared" si="29"/>
        <v>#DIV/0!</v>
      </c>
      <c r="O571" s="61" t="str">
        <f t="shared" si="27"/>
        <v>יוקנעם</v>
      </c>
      <c r="P571" s="61" t="str">
        <f t="shared" si="28"/>
        <v>נצרת-עילית</v>
      </c>
    </row>
    <row r="572" spans="1:16" x14ac:dyDescent="0.3">
      <c r="A572" s="61">
        <v>22</v>
      </c>
      <c r="B572" s="61">
        <v>21</v>
      </c>
      <c r="C572" s="60"/>
      <c r="G572" s="62"/>
      <c r="I572" s="86" t="e">
        <f t="shared" si="29"/>
        <v>#DIV/0!</v>
      </c>
      <c r="J572" s="87" t="e">
        <f t="shared" si="29"/>
        <v>#DIV/0!</v>
      </c>
      <c r="K572" s="87" t="e">
        <f t="shared" si="29"/>
        <v>#DIV/0!</v>
      </c>
      <c r="L572" s="87" t="e">
        <f t="shared" si="29"/>
        <v>#DIV/0!</v>
      </c>
      <c r="M572" s="88" t="e">
        <f t="shared" si="29"/>
        <v>#DIV/0!</v>
      </c>
      <c r="O572" s="61" t="str">
        <f t="shared" si="27"/>
        <v>יוקנעם</v>
      </c>
      <c r="P572" s="61" t="str">
        <f t="shared" si="28"/>
        <v>מגדל העמק</v>
      </c>
    </row>
    <row r="573" spans="1:16" x14ac:dyDescent="0.3">
      <c r="A573" s="61">
        <v>22</v>
      </c>
      <c r="B573" s="61">
        <v>22</v>
      </c>
      <c r="C573" s="60"/>
      <c r="G573" s="62"/>
      <c r="I573" s="86" t="e">
        <f t="shared" si="29"/>
        <v>#DIV/0!</v>
      </c>
      <c r="J573" s="87" t="e">
        <f t="shared" si="29"/>
        <v>#DIV/0!</v>
      </c>
      <c r="K573" s="87" t="e">
        <f t="shared" si="29"/>
        <v>#DIV/0!</v>
      </c>
      <c r="L573" s="87" t="e">
        <f t="shared" si="29"/>
        <v>#DIV/0!</v>
      </c>
      <c r="M573" s="88" t="e">
        <f t="shared" si="29"/>
        <v>#DIV/0!</v>
      </c>
      <c r="O573" s="61" t="str">
        <f t="shared" si="27"/>
        <v>יוקנעם</v>
      </c>
      <c r="P573" s="61" t="str">
        <f t="shared" si="28"/>
        <v>יוקנעם</v>
      </c>
    </row>
    <row r="574" spans="1:16" x14ac:dyDescent="0.3">
      <c r="A574" s="61">
        <v>22</v>
      </c>
      <c r="B574" s="61">
        <v>23</v>
      </c>
      <c r="C574" s="60"/>
      <c r="G574" s="62"/>
      <c r="I574" s="86" t="e">
        <f t="shared" si="29"/>
        <v>#DIV/0!</v>
      </c>
      <c r="J574" s="87" t="e">
        <f t="shared" si="29"/>
        <v>#DIV/0!</v>
      </c>
      <c r="K574" s="87" t="e">
        <f t="shared" si="29"/>
        <v>#DIV/0!</v>
      </c>
      <c r="L574" s="87" t="e">
        <f t="shared" si="29"/>
        <v>#DIV/0!</v>
      </c>
      <c r="M574" s="88" t="e">
        <f t="shared" si="29"/>
        <v>#DIV/0!</v>
      </c>
      <c r="O574" s="61" t="str">
        <f t="shared" si="27"/>
        <v>יוקנעם</v>
      </c>
      <c r="P574" s="61" t="str">
        <f t="shared" si="28"/>
        <v>דלית אל כרמל</v>
      </c>
    </row>
    <row r="575" spans="1:16" x14ac:dyDescent="0.3">
      <c r="A575" s="61">
        <v>22</v>
      </c>
      <c r="B575" s="61">
        <v>24</v>
      </c>
      <c r="C575" s="60"/>
      <c r="G575" s="62"/>
      <c r="I575" s="86" t="e">
        <f t="shared" si="29"/>
        <v>#DIV/0!</v>
      </c>
      <c r="J575" s="87" t="e">
        <f t="shared" si="29"/>
        <v>#DIV/0!</v>
      </c>
      <c r="K575" s="87" t="e">
        <f t="shared" si="29"/>
        <v>#DIV/0!</v>
      </c>
      <c r="L575" s="87" t="e">
        <f t="shared" si="29"/>
        <v>#DIV/0!</v>
      </c>
      <c r="M575" s="88" t="e">
        <f t="shared" si="29"/>
        <v>#DIV/0!</v>
      </c>
      <c r="O575" s="61" t="str">
        <f t="shared" si="27"/>
        <v>יוקנעם</v>
      </c>
      <c r="P575" s="61" t="str">
        <f t="shared" si="28"/>
        <v>חוף הכרמל</v>
      </c>
    </row>
    <row r="576" spans="1:16" x14ac:dyDescent="0.3">
      <c r="A576" s="61">
        <v>22</v>
      </c>
      <c r="B576" s="61">
        <v>25</v>
      </c>
      <c r="C576" s="60"/>
      <c r="G576" s="62"/>
      <c r="I576" s="86" t="e">
        <f t="shared" si="29"/>
        <v>#DIV/0!</v>
      </c>
      <c r="J576" s="87" t="e">
        <f t="shared" si="29"/>
        <v>#DIV/0!</v>
      </c>
      <c r="K576" s="87" t="e">
        <f t="shared" si="29"/>
        <v>#DIV/0!</v>
      </c>
      <c r="L576" s="87" t="e">
        <f t="shared" si="29"/>
        <v>#DIV/0!</v>
      </c>
      <c r="M576" s="88" t="e">
        <f t="shared" si="29"/>
        <v>#DIV/0!</v>
      </c>
      <c r="O576" s="61" t="str">
        <f t="shared" si="27"/>
        <v>יוקנעם</v>
      </c>
      <c r="P576" s="61" t="str">
        <f t="shared" si="28"/>
        <v>זכרון יעקב</v>
      </c>
    </row>
    <row r="577" spans="1:16" x14ac:dyDescent="0.3">
      <c r="A577" s="61">
        <v>22</v>
      </c>
      <c r="B577" s="61">
        <v>30</v>
      </c>
      <c r="C577" s="60"/>
      <c r="G577" s="62"/>
      <c r="I577" s="86" t="e">
        <f t="shared" si="29"/>
        <v>#DIV/0!</v>
      </c>
      <c r="J577" s="87" t="e">
        <f t="shared" si="29"/>
        <v>#DIV/0!</v>
      </c>
      <c r="K577" s="87" t="e">
        <f t="shared" si="29"/>
        <v>#DIV/0!</v>
      </c>
      <c r="L577" s="87" t="e">
        <f t="shared" si="29"/>
        <v>#DIV/0!</v>
      </c>
      <c r="M577" s="88" t="e">
        <f t="shared" si="29"/>
        <v>#DIV/0!</v>
      </c>
      <c r="O577" s="61" t="str">
        <f t="shared" si="27"/>
        <v>יוקנעם</v>
      </c>
      <c r="P577" s="61" t="str">
        <f t="shared" si="28"/>
        <v>סכנין</v>
      </c>
    </row>
    <row r="578" spans="1:16" x14ac:dyDescent="0.3">
      <c r="A578" s="61">
        <v>23</v>
      </c>
      <c r="B578" s="61">
        <v>1</v>
      </c>
      <c r="C578" s="60"/>
      <c r="G578" s="62"/>
      <c r="I578" s="86" t="e">
        <f t="shared" si="29"/>
        <v>#DIV/0!</v>
      </c>
      <c r="J578" s="87" t="e">
        <f t="shared" si="29"/>
        <v>#DIV/0!</v>
      </c>
      <c r="K578" s="87" t="e">
        <f t="shared" si="29"/>
        <v>#DIV/0!</v>
      </c>
      <c r="L578" s="87" t="e">
        <f t="shared" si="29"/>
        <v>#DIV/0!</v>
      </c>
      <c r="M578" s="88" t="e">
        <f t="shared" si="29"/>
        <v>#DIV/0!</v>
      </c>
      <c r="O578" s="61" t="str">
        <f t="shared" si="27"/>
        <v>דלית אל כרמל</v>
      </c>
      <c r="P578" s="61" t="str">
        <f t="shared" si="28"/>
        <v>נהריה</v>
      </c>
    </row>
    <row r="579" spans="1:16" x14ac:dyDescent="0.3">
      <c r="A579" s="61">
        <v>23</v>
      </c>
      <c r="B579" s="61">
        <v>2</v>
      </c>
      <c r="C579" s="60"/>
      <c r="G579" s="62"/>
      <c r="I579" s="86" t="e">
        <f t="shared" si="29"/>
        <v>#DIV/0!</v>
      </c>
      <c r="J579" s="87" t="e">
        <f t="shared" si="29"/>
        <v>#DIV/0!</v>
      </c>
      <c r="K579" s="87" t="e">
        <f t="shared" si="29"/>
        <v>#DIV/0!</v>
      </c>
      <c r="L579" s="87" t="e">
        <f t="shared" si="29"/>
        <v>#DIV/0!</v>
      </c>
      <c r="M579" s="88" t="e">
        <f t="shared" si="29"/>
        <v>#DIV/0!</v>
      </c>
      <c r="O579" s="61" t="str">
        <f t="shared" si="27"/>
        <v>דלית אל כרמל</v>
      </c>
      <c r="P579" s="61" t="str">
        <f t="shared" si="28"/>
        <v>עכו</v>
      </c>
    </row>
    <row r="580" spans="1:16" x14ac:dyDescent="0.3">
      <c r="A580" s="61">
        <v>23</v>
      </c>
      <c r="B580" s="61">
        <v>3</v>
      </c>
      <c r="C580" s="60"/>
      <c r="G580" s="62"/>
      <c r="I580" s="86" t="e">
        <f t="shared" ref="I580:M630" si="30">C580/SUM($C580:$G580)</f>
        <v>#DIV/0!</v>
      </c>
      <c r="J580" s="87" t="e">
        <f t="shared" si="30"/>
        <v>#DIV/0!</v>
      </c>
      <c r="K580" s="87" t="e">
        <f t="shared" si="30"/>
        <v>#DIV/0!</v>
      </c>
      <c r="L580" s="87" t="e">
        <f t="shared" si="30"/>
        <v>#DIV/0!</v>
      </c>
      <c r="M580" s="88" t="e">
        <f t="shared" si="30"/>
        <v>#DIV/0!</v>
      </c>
      <c r="O580" s="61" t="str">
        <f t="shared" si="27"/>
        <v>דלית אל כרמל</v>
      </c>
      <c r="P580" s="61" t="str">
        <f t="shared" si="28"/>
        <v>כרמיאל</v>
      </c>
    </row>
    <row r="581" spans="1:16" x14ac:dyDescent="0.3">
      <c r="A581" s="61">
        <v>23</v>
      </c>
      <c r="B581" s="61">
        <v>4</v>
      </c>
      <c r="C581" s="60"/>
      <c r="G581" s="62"/>
      <c r="I581" s="86" t="e">
        <f t="shared" si="30"/>
        <v>#DIV/0!</v>
      </c>
      <c r="J581" s="87" t="e">
        <f t="shared" si="30"/>
        <v>#DIV/0!</v>
      </c>
      <c r="K581" s="87" t="e">
        <f t="shared" si="30"/>
        <v>#DIV/0!</v>
      </c>
      <c r="L581" s="87" t="e">
        <f t="shared" si="30"/>
        <v>#DIV/0!</v>
      </c>
      <c r="M581" s="88" t="e">
        <f t="shared" si="30"/>
        <v>#DIV/0!</v>
      </c>
      <c r="O581" s="61" t="str">
        <f t="shared" si="27"/>
        <v>דלית אל כרמל</v>
      </c>
      <c r="P581" s="61" t="str">
        <f t="shared" si="28"/>
        <v>שפרעם</v>
      </c>
    </row>
    <row r="582" spans="1:16" x14ac:dyDescent="0.3">
      <c r="A582" s="61">
        <v>23</v>
      </c>
      <c r="B582" s="61">
        <v>5</v>
      </c>
      <c r="C582" s="60"/>
      <c r="G582" s="62"/>
      <c r="I582" s="86" t="e">
        <f t="shared" si="30"/>
        <v>#DIV/0!</v>
      </c>
      <c r="J582" s="87" t="e">
        <f t="shared" si="30"/>
        <v>#DIV/0!</v>
      </c>
      <c r="K582" s="87" t="e">
        <f t="shared" si="30"/>
        <v>#DIV/0!</v>
      </c>
      <c r="L582" s="87" t="e">
        <f t="shared" si="30"/>
        <v>#DIV/0!</v>
      </c>
      <c r="M582" s="88" t="e">
        <f t="shared" si="30"/>
        <v>#DIV/0!</v>
      </c>
      <c r="O582" s="61" t="str">
        <f t="shared" ref="O582:O645" si="31">VLOOKUP(A582,$S$6:$T$31,2,0)</f>
        <v>דלית אל כרמל</v>
      </c>
      <c r="P582" s="61" t="str">
        <f t="shared" ref="P582:P645" si="32">VLOOKUP(B582,$S$6:$T$31,2,0)</f>
        <v>קרית ים</v>
      </c>
    </row>
    <row r="583" spans="1:16" x14ac:dyDescent="0.3">
      <c r="A583" s="61">
        <v>23</v>
      </c>
      <c r="B583" s="61">
        <v>6</v>
      </c>
      <c r="C583" s="60"/>
      <c r="G583" s="62"/>
      <c r="I583" s="86" t="e">
        <f t="shared" si="30"/>
        <v>#DIV/0!</v>
      </c>
      <c r="J583" s="87" t="e">
        <f t="shared" si="30"/>
        <v>#DIV/0!</v>
      </c>
      <c r="K583" s="87" t="e">
        <f t="shared" si="30"/>
        <v>#DIV/0!</v>
      </c>
      <c r="L583" s="87" t="e">
        <f t="shared" si="30"/>
        <v>#DIV/0!</v>
      </c>
      <c r="M583" s="88" t="e">
        <f t="shared" si="30"/>
        <v>#DIV/0!</v>
      </c>
      <c r="O583" s="61" t="str">
        <f t="shared" si="31"/>
        <v>דלית אל כרמל</v>
      </c>
      <c r="P583" s="61" t="str">
        <f t="shared" si="32"/>
        <v>קרית מוצקין</v>
      </c>
    </row>
    <row r="584" spans="1:16" x14ac:dyDescent="0.3">
      <c r="A584" s="61">
        <v>23</v>
      </c>
      <c r="B584" s="61">
        <v>7</v>
      </c>
      <c r="C584" s="60"/>
      <c r="G584" s="62"/>
      <c r="I584" s="86" t="e">
        <f t="shared" si="30"/>
        <v>#DIV/0!</v>
      </c>
      <c r="J584" s="87" t="e">
        <f t="shared" si="30"/>
        <v>#DIV/0!</v>
      </c>
      <c r="K584" s="87" t="e">
        <f t="shared" si="30"/>
        <v>#DIV/0!</v>
      </c>
      <c r="L584" s="87" t="e">
        <f t="shared" si="30"/>
        <v>#DIV/0!</v>
      </c>
      <c r="M584" s="88" t="e">
        <f t="shared" si="30"/>
        <v>#DIV/0!</v>
      </c>
      <c r="O584" s="61" t="str">
        <f t="shared" si="31"/>
        <v>דלית אל כרמל</v>
      </c>
      <c r="P584" s="61" t="str">
        <f t="shared" si="32"/>
        <v>קרית ביאליק</v>
      </c>
    </row>
    <row r="585" spans="1:16" x14ac:dyDescent="0.3">
      <c r="A585" s="61">
        <v>23</v>
      </c>
      <c r="B585" s="61">
        <v>8</v>
      </c>
      <c r="C585" s="60"/>
      <c r="G585" s="62"/>
      <c r="I585" s="86" t="e">
        <f t="shared" si="30"/>
        <v>#DIV/0!</v>
      </c>
      <c r="J585" s="87" t="e">
        <f t="shared" si="30"/>
        <v>#DIV/0!</v>
      </c>
      <c r="K585" s="87" t="e">
        <f t="shared" si="30"/>
        <v>#DIV/0!</v>
      </c>
      <c r="L585" s="87" t="e">
        <f t="shared" si="30"/>
        <v>#DIV/0!</v>
      </c>
      <c r="M585" s="88" t="e">
        <f t="shared" si="30"/>
        <v>#DIV/0!</v>
      </c>
      <c r="O585" s="61" t="str">
        <f t="shared" si="31"/>
        <v>דלית אל כרמל</v>
      </c>
      <c r="P585" s="61" t="str">
        <f t="shared" si="32"/>
        <v>קרית חיים</v>
      </c>
    </row>
    <row r="586" spans="1:16" x14ac:dyDescent="0.3">
      <c r="A586" s="61">
        <v>23</v>
      </c>
      <c r="B586" s="61">
        <v>9</v>
      </c>
      <c r="C586" s="60"/>
      <c r="G586" s="62"/>
      <c r="I586" s="86" t="e">
        <f t="shared" si="30"/>
        <v>#DIV/0!</v>
      </c>
      <c r="J586" s="87" t="e">
        <f t="shared" si="30"/>
        <v>#DIV/0!</v>
      </c>
      <c r="K586" s="87" t="e">
        <f t="shared" si="30"/>
        <v>#DIV/0!</v>
      </c>
      <c r="L586" s="87" t="e">
        <f t="shared" si="30"/>
        <v>#DIV/0!</v>
      </c>
      <c r="M586" s="88" t="e">
        <f t="shared" si="30"/>
        <v>#DIV/0!</v>
      </c>
      <c r="O586" s="61" t="str">
        <f t="shared" si="31"/>
        <v>דלית אל כרמל</v>
      </c>
      <c r="P586" s="61" t="str">
        <f t="shared" si="32"/>
        <v>קרית אתא</v>
      </c>
    </row>
    <row r="587" spans="1:16" x14ac:dyDescent="0.3">
      <c r="A587" s="61">
        <v>23</v>
      </c>
      <c r="B587" s="61">
        <v>10</v>
      </c>
      <c r="C587" s="60"/>
      <c r="G587" s="62"/>
      <c r="I587" s="86" t="e">
        <f t="shared" si="30"/>
        <v>#DIV/0!</v>
      </c>
      <c r="J587" s="87" t="e">
        <f t="shared" si="30"/>
        <v>#DIV/0!</v>
      </c>
      <c r="K587" s="87" t="e">
        <f t="shared" si="30"/>
        <v>#DIV/0!</v>
      </c>
      <c r="L587" s="87" t="e">
        <f t="shared" si="30"/>
        <v>#DIV/0!</v>
      </c>
      <c r="M587" s="88" t="e">
        <f t="shared" si="30"/>
        <v>#DIV/0!</v>
      </c>
      <c r="O587" s="61" t="str">
        <f t="shared" si="31"/>
        <v>דלית אל כרמל</v>
      </c>
      <c r="P587" s="61" t="str">
        <f t="shared" si="32"/>
        <v>כפר מנדא</v>
      </c>
    </row>
    <row r="588" spans="1:16" x14ac:dyDescent="0.3">
      <c r="A588" s="61">
        <v>23</v>
      </c>
      <c r="B588" s="61">
        <v>11</v>
      </c>
      <c r="C588" s="60"/>
      <c r="G588" s="62"/>
      <c r="I588" s="86" t="e">
        <f t="shared" si="30"/>
        <v>#DIV/0!</v>
      </c>
      <c r="J588" s="87" t="e">
        <f t="shared" si="30"/>
        <v>#DIV/0!</v>
      </c>
      <c r="K588" s="87" t="e">
        <f t="shared" si="30"/>
        <v>#DIV/0!</v>
      </c>
      <c r="L588" s="87" t="e">
        <f t="shared" si="30"/>
        <v>#DIV/0!</v>
      </c>
      <c r="M588" s="88" t="e">
        <f t="shared" si="30"/>
        <v>#DIV/0!</v>
      </c>
      <c r="O588" s="61" t="str">
        <f t="shared" si="31"/>
        <v>דלית אל כרמל</v>
      </c>
      <c r="P588" s="61" t="str">
        <f t="shared" si="32"/>
        <v>זבולון</v>
      </c>
    </row>
    <row r="589" spans="1:16" x14ac:dyDescent="0.3">
      <c r="A589" s="61">
        <v>23</v>
      </c>
      <c r="B589" s="61">
        <v>12</v>
      </c>
      <c r="C589" s="60"/>
      <c r="G589" s="62"/>
      <c r="I589" s="86" t="e">
        <f t="shared" si="30"/>
        <v>#DIV/0!</v>
      </c>
      <c r="J589" s="87" t="e">
        <f t="shared" si="30"/>
        <v>#DIV/0!</v>
      </c>
      <c r="K589" s="87" t="e">
        <f t="shared" si="30"/>
        <v>#DIV/0!</v>
      </c>
      <c r="L589" s="87" t="e">
        <f t="shared" si="30"/>
        <v>#DIV/0!</v>
      </c>
      <c r="M589" s="88" t="e">
        <f t="shared" si="30"/>
        <v>#DIV/0!</v>
      </c>
      <c r="O589" s="61" t="str">
        <f t="shared" si="31"/>
        <v>דלית אל כרמל</v>
      </c>
      <c r="P589" s="61" t="str">
        <f t="shared" si="32"/>
        <v>חיפה מפרץ</v>
      </c>
    </row>
    <row r="590" spans="1:16" x14ac:dyDescent="0.3">
      <c r="A590" s="61">
        <v>23</v>
      </c>
      <c r="B590" s="61">
        <v>13</v>
      </c>
      <c r="C590" s="60"/>
      <c r="G590" s="62"/>
      <c r="I590" s="86" t="e">
        <f t="shared" si="30"/>
        <v>#DIV/0!</v>
      </c>
      <c r="J590" s="87" t="e">
        <f t="shared" si="30"/>
        <v>#DIV/0!</v>
      </c>
      <c r="K590" s="87" t="e">
        <f t="shared" si="30"/>
        <v>#DIV/0!</v>
      </c>
      <c r="L590" s="87" t="e">
        <f t="shared" si="30"/>
        <v>#DIV/0!</v>
      </c>
      <c r="M590" s="88" t="e">
        <f t="shared" si="30"/>
        <v>#DIV/0!</v>
      </c>
      <c r="O590" s="61" t="str">
        <f t="shared" si="31"/>
        <v>דלית אל כרמל</v>
      </c>
      <c r="P590" s="61" t="str">
        <f t="shared" si="32"/>
        <v>חיפה עיר תחתית</v>
      </c>
    </row>
    <row r="591" spans="1:16" x14ac:dyDescent="0.3">
      <c r="A591" s="61">
        <v>23</v>
      </c>
      <c r="B591" s="61">
        <v>14</v>
      </c>
      <c r="C591" s="60"/>
      <c r="G591" s="62"/>
      <c r="I591" s="86" t="e">
        <f t="shared" si="30"/>
        <v>#DIV/0!</v>
      </c>
      <c r="J591" s="87" t="e">
        <f t="shared" si="30"/>
        <v>#DIV/0!</v>
      </c>
      <c r="K591" s="87" t="e">
        <f t="shared" si="30"/>
        <v>#DIV/0!</v>
      </c>
      <c r="L591" s="87" t="e">
        <f t="shared" si="30"/>
        <v>#DIV/0!</v>
      </c>
      <c r="M591" s="88" t="e">
        <f t="shared" si="30"/>
        <v>#DIV/0!</v>
      </c>
      <c r="O591" s="61" t="str">
        <f t="shared" si="31"/>
        <v>דלית אל כרמל</v>
      </c>
      <c r="P591" s="61" t="str">
        <f t="shared" si="32"/>
        <v>חיפה הדר-כרמל</v>
      </c>
    </row>
    <row r="592" spans="1:16" x14ac:dyDescent="0.3">
      <c r="A592" s="61">
        <v>23</v>
      </c>
      <c r="B592" s="61">
        <v>15</v>
      </c>
      <c r="C592" s="60"/>
      <c r="G592" s="62"/>
      <c r="I592" s="86" t="e">
        <f t="shared" si="30"/>
        <v>#DIV/0!</v>
      </c>
      <c r="J592" s="87" t="e">
        <f t="shared" si="30"/>
        <v>#DIV/0!</v>
      </c>
      <c r="K592" s="87" t="e">
        <f t="shared" si="30"/>
        <v>#DIV/0!</v>
      </c>
      <c r="L592" s="87" t="e">
        <f t="shared" si="30"/>
        <v>#DIV/0!</v>
      </c>
      <c r="M592" s="88" t="e">
        <f t="shared" si="30"/>
        <v>#DIV/0!</v>
      </c>
      <c r="O592" s="61" t="str">
        <f t="shared" si="31"/>
        <v>דלית אל כרמל</v>
      </c>
      <c r="P592" s="61" t="str">
        <f t="shared" si="32"/>
        <v>חיפה מערב</v>
      </c>
    </row>
    <row r="593" spans="1:16" x14ac:dyDescent="0.3">
      <c r="A593" s="61">
        <v>23</v>
      </c>
      <c r="B593" s="61">
        <v>16</v>
      </c>
      <c r="C593" s="60"/>
      <c r="G593" s="62"/>
      <c r="I593" s="86" t="e">
        <f t="shared" si="30"/>
        <v>#DIV/0!</v>
      </c>
      <c r="J593" s="87" t="e">
        <f t="shared" si="30"/>
        <v>#DIV/0!</v>
      </c>
      <c r="K593" s="87" t="e">
        <f t="shared" si="30"/>
        <v>#DIV/0!</v>
      </c>
      <c r="L593" s="87" t="e">
        <f t="shared" si="30"/>
        <v>#DIV/0!</v>
      </c>
      <c r="M593" s="88" t="e">
        <f t="shared" si="30"/>
        <v>#DIV/0!</v>
      </c>
      <c r="O593" s="61" t="str">
        <f t="shared" si="31"/>
        <v>דלית אל כרמל</v>
      </c>
      <c r="P593" s="61" t="str">
        <f t="shared" si="32"/>
        <v>חיפה כרמל</v>
      </c>
    </row>
    <row r="594" spans="1:16" x14ac:dyDescent="0.3">
      <c r="A594" s="61">
        <v>23</v>
      </c>
      <c r="B594" s="61">
        <v>17</v>
      </c>
      <c r="C594" s="60"/>
      <c r="G594" s="62"/>
      <c r="I594" s="86" t="e">
        <f t="shared" si="30"/>
        <v>#DIV/0!</v>
      </c>
      <c r="J594" s="87" t="e">
        <f t="shared" si="30"/>
        <v>#DIV/0!</v>
      </c>
      <c r="K594" s="87" t="e">
        <f t="shared" si="30"/>
        <v>#DIV/0!</v>
      </c>
      <c r="L594" s="87" t="e">
        <f t="shared" si="30"/>
        <v>#DIV/0!</v>
      </c>
      <c r="M594" s="88" t="e">
        <f t="shared" si="30"/>
        <v>#DIV/0!</v>
      </c>
      <c r="O594" s="61" t="str">
        <f t="shared" si="31"/>
        <v>דלית אל כרמל</v>
      </c>
      <c r="P594" s="61" t="str">
        <f t="shared" si="32"/>
        <v>חיפה נווה שאנן</v>
      </c>
    </row>
    <row r="595" spans="1:16" x14ac:dyDescent="0.3">
      <c r="A595" s="61">
        <v>23</v>
      </c>
      <c r="B595" s="61">
        <v>18</v>
      </c>
      <c r="C595" s="60"/>
      <c r="G595" s="62"/>
      <c r="I595" s="86" t="e">
        <f t="shared" si="30"/>
        <v>#DIV/0!</v>
      </c>
      <c r="J595" s="87" t="e">
        <f t="shared" si="30"/>
        <v>#DIV/0!</v>
      </c>
      <c r="K595" s="87" t="e">
        <f t="shared" si="30"/>
        <v>#DIV/0!</v>
      </c>
      <c r="L595" s="87" t="e">
        <f t="shared" si="30"/>
        <v>#DIV/0!</v>
      </c>
      <c r="M595" s="88" t="e">
        <f t="shared" si="30"/>
        <v>#DIV/0!</v>
      </c>
      <c r="O595" s="61" t="str">
        <f t="shared" si="31"/>
        <v>דלית אל כרמל</v>
      </c>
      <c r="P595" s="61" t="str">
        <f t="shared" si="32"/>
        <v>נשר</v>
      </c>
    </row>
    <row r="596" spans="1:16" x14ac:dyDescent="0.3">
      <c r="A596" s="61">
        <v>23</v>
      </c>
      <c r="B596" s="61">
        <v>19</v>
      </c>
      <c r="C596" s="60"/>
      <c r="G596" s="62"/>
      <c r="I596" s="86" t="e">
        <f t="shared" si="30"/>
        <v>#DIV/0!</v>
      </c>
      <c r="J596" s="87" t="e">
        <f t="shared" si="30"/>
        <v>#DIV/0!</v>
      </c>
      <c r="K596" s="87" t="e">
        <f t="shared" si="30"/>
        <v>#DIV/0!</v>
      </c>
      <c r="L596" s="87" t="e">
        <f t="shared" si="30"/>
        <v>#DIV/0!</v>
      </c>
      <c r="M596" s="88" t="e">
        <f t="shared" si="30"/>
        <v>#DIV/0!</v>
      </c>
      <c r="O596" s="61" t="str">
        <f t="shared" si="31"/>
        <v>דלית אל כרמל</v>
      </c>
      <c r="P596" s="61" t="str">
        <f t="shared" si="32"/>
        <v>נצרת</v>
      </c>
    </row>
    <row r="597" spans="1:16" x14ac:dyDescent="0.3">
      <c r="A597" s="61">
        <v>23</v>
      </c>
      <c r="B597" s="61">
        <v>20</v>
      </c>
      <c r="C597" s="60"/>
      <c r="G597" s="62"/>
      <c r="I597" s="86" t="e">
        <f t="shared" si="30"/>
        <v>#DIV/0!</v>
      </c>
      <c r="J597" s="87" t="e">
        <f t="shared" si="30"/>
        <v>#DIV/0!</v>
      </c>
      <c r="K597" s="87" t="e">
        <f t="shared" si="30"/>
        <v>#DIV/0!</v>
      </c>
      <c r="L597" s="87" t="e">
        <f t="shared" si="30"/>
        <v>#DIV/0!</v>
      </c>
      <c r="M597" s="88" t="e">
        <f t="shared" si="30"/>
        <v>#DIV/0!</v>
      </c>
      <c r="O597" s="61" t="str">
        <f t="shared" si="31"/>
        <v>דלית אל כרמל</v>
      </c>
      <c r="P597" s="61" t="str">
        <f t="shared" si="32"/>
        <v>נצרת-עילית</v>
      </c>
    </row>
    <row r="598" spans="1:16" x14ac:dyDescent="0.3">
      <c r="A598" s="61">
        <v>23</v>
      </c>
      <c r="B598" s="61">
        <v>21</v>
      </c>
      <c r="C598" s="60"/>
      <c r="G598" s="62"/>
      <c r="I598" s="86" t="e">
        <f t="shared" si="30"/>
        <v>#DIV/0!</v>
      </c>
      <c r="J598" s="87" t="e">
        <f t="shared" si="30"/>
        <v>#DIV/0!</v>
      </c>
      <c r="K598" s="87" t="e">
        <f t="shared" si="30"/>
        <v>#DIV/0!</v>
      </c>
      <c r="L598" s="87" t="e">
        <f t="shared" si="30"/>
        <v>#DIV/0!</v>
      </c>
      <c r="M598" s="88" t="e">
        <f t="shared" si="30"/>
        <v>#DIV/0!</v>
      </c>
      <c r="O598" s="61" t="str">
        <f t="shared" si="31"/>
        <v>דלית אל כרמל</v>
      </c>
      <c r="P598" s="61" t="str">
        <f t="shared" si="32"/>
        <v>מגדל העמק</v>
      </c>
    </row>
    <row r="599" spans="1:16" x14ac:dyDescent="0.3">
      <c r="A599" s="61">
        <v>23</v>
      </c>
      <c r="B599" s="61">
        <v>22</v>
      </c>
      <c r="C599" s="60"/>
      <c r="G599" s="62"/>
      <c r="I599" s="86" t="e">
        <f t="shared" si="30"/>
        <v>#DIV/0!</v>
      </c>
      <c r="J599" s="87" t="e">
        <f t="shared" si="30"/>
        <v>#DIV/0!</v>
      </c>
      <c r="K599" s="87" t="e">
        <f t="shared" si="30"/>
        <v>#DIV/0!</v>
      </c>
      <c r="L599" s="87" t="e">
        <f t="shared" si="30"/>
        <v>#DIV/0!</v>
      </c>
      <c r="M599" s="88" t="e">
        <f t="shared" si="30"/>
        <v>#DIV/0!</v>
      </c>
      <c r="O599" s="61" t="str">
        <f t="shared" si="31"/>
        <v>דלית אל כרמל</v>
      </c>
      <c r="P599" s="61" t="str">
        <f t="shared" si="32"/>
        <v>יוקנעם</v>
      </c>
    </row>
    <row r="600" spans="1:16" x14ac:dyDescent="0.3">
      <c r="A600" s="61">
        <v>23</v>
      </c>
      <c r="B600" s="61">
        <v>23</v>
      </c>
      <c r="C600" s="60"/>
      <c r="G600" s="62"/>
      <c r="I600" s="86" t="e">
        <f t="shared" si="30"/>
        <v>#DIV/0!</v>
      </c>
      <c r="J600" s="87" t="e">
        <f t="shared" si="30"/>
        <v>#DIV/0!</v>
      </c>
      <c r="K600" s="87" t="e">
        <f t="shared" si="30"/>
        <v>#DIV/0!</v>
      </c>
      <c r="L600" s="87" t="e">
        <f t="shared" si="30"/>
        <v>#DIV/0!</v>
      </c>
      <c r="M600" s="88" t="e">
        <f t="shared" si="30"/>
        <v>#DIV/0!</v>
      </c>
      <c r="O600" s="61" t="str">
        <f t="shared" si="31"/>
        <v>דלית אל כרמל</v>
      </c>
      <c r="P600" s="61" t="str">
        <f t="shared" si="32"/>
        <v>דלית אל כרמל</v>
      </c>
    </row>
    <row r="601" spans="1:16" x14ac:dyDescent="0.3">
      <c r="A601" s="61">
        <v>23</v>
      </c>
      <c r="B601" s="61">
        <v>24</v>
      </c>
      <c r="C601" s="60"/>
      <c r="G601" s="62"/>
      <c r="I601" s="86" t="e">
        <f t="shared" si="30"/>
        <v>#DIV/0!</v>
      </c>
      <c r="J601" s="87" t="e">
        <f t="shared" si="30"/>
        <v>#DIV/0!</v>
      </c>
      <c r="K601" s="87" t="e">
        <f t="shared" si="30"/>
        <v>#DIV/0!</v>
      </c>
      <c r="L601" s="87" t="e">
        <f t="shared" si="30"/>
        <v>#DIV/0!</v>
      </c>
      <c r="M601" s="88" t="e">
        <f t="shared" si="30"/>
        <v>#DIV/0!</v>
      </c>
      <c r="O601" s="61" t="str">
        <f t="shared" si="31"/>
        <v>דלית אל כרמל</v>
      </c>
      <c r="P601" s="61" t="str">
        <f t="shared" si="32"/>
        <v>חוף הכרמל</v>
      </c>
    </row>
    <row r="602" spans="1:16" x14ac:dyDescent="0.3">
      <c r="A602" s="61">
        <v>23</v>
      </c>
      <c r="B602" s="61">
        <v>25</v>
      </c>
      <c r="C602" s="60"/>
      <c r="G602" s="62"/>
      <c r="I602" s="86" t="e">
        <f t="shared" si="30"/>
        <v>#DIV/0!</v>
      </c>
      <c r="J602" s="87" t="e">
        <f t="shared" si="30"/>
        <v>#DIV/0!</v>
      </c>
      <c r="K602" s="87" t="e">
        <f t="shared" si="30"/>
        <v>#DIV/0!</v>
      </c>
      <c r="L602" s="87" t="e">
        <f t="shared" si="30"/>
        <v>#DIV/0!</v>
      </c>
      <c r="M602" s="88" t="e">
        <f t="shared" si="30"/>
        <v>#DIV/0!</v>
      </c>
      <c r="O602" s="61" t="str">
        <f t="shared" si="31"/>
        <v>דלית אל כרמל</v>
      </c>
      <c r="P602" s="61" t="str">
        <f t="shared" si="32"/>
        <v>זכרון יעקב</v>
      </c>
    </row>
    <row r="603" spans="1:16" x14ac:dyDescent="0.3">
      <c r="A603" s="61">
        <v>23</v>
      </c>
      <c r="B603" s="61">
        <v>30</v>
      </c>
      <c r="C603" s="60"/>
      <c r="G603" s="62"/>
      <c r="I603" s="86" t="e">
        <f t="shared" si="30"/>
        <v>#DIV/0!</v>
      </c>
      <c r="J603" s="87" t="e">
        <f t="shared" si="30"/>
        <v>#DIV/0!</v>
      </c>
      <c r="K603" s="87" t="e">
        <f t="shared" si="30"/>
        <v>#DIV/0!</v>
      </c>
      <c r="L603" s="87" t="e">
        <f t="shared" si="30"/>
        <v>#DIV/0!</v>
      </c>
      <c r="M603" s="88" t="e">
        <f t="shared" si="30"/>
        <v>#DIV/0!</v>
      </c>
      <c r="O603" s="61" t="str">
        <f t="shared" si="31"/>
        <v>דלית אל כרמל</v>
      </c>
      <c r="P603" s="61" t="str">
        <f t="shared" si="32"/>
        <v>סכנין</v>
      </c>
    </row>
    <row r="604" spans="1:16" x14ac:dyDescent="0.3">
      <c r="A604" s="61">
        <v>24</v>
      </c>
      <c r="B604" s="61">
        <v>1</v>
      </c>
      <c r="C604" s="60"/>
      <c r="G604" s="62"/>
      <c r="I604" s="86" t="e">
        <f t="shared" si="30"/>
        <v>#DIV/0!</v>
      </c>
      <c r="J604" s="87" t="e">
        <f t="shared" si="30"/>
        <v>#DIV/0!</v>
      </c>
      <c r="K604" s="87" t="e">
        <f t="shared" si="30"/>
        <v>#DIV/0!</v>
      </c>
      <c r="L604" s="87" t="e">
        <f t="shared" si="30"/>
        <v>#DIV/0!</v>
      </c>
      <c r="M604" s="88" t="e">
        <f t="shared" si="30"/>
        <v>#DIV/0!</v>
      </c>
      <c r="O604" s="61" t="str">
        <f t="shared" si="31"/>
        <v>חוף הכרמל</v>
      </c>
      <c r="P604" s="61" t="str">
        <f t="shared" si="32"/>
        <v>נהריה</v>
      </c>
    </row>
    <row r="605" spans="1:16" x14ac:dyDescent="0.3">
      <c r="A605" s="61">
        <v>24</v>
      </c>
      <c r="B605" s="61">
        <v>2</v>
      </c>
      <c r="C605" s="60"/>
      <c r="G605" s="62"/>
      <c r="I605" s="86" t="e">
        <f t="shared" si="30"/>
        <v>#DIV/0!</v>
      </c>
      <c r="J605" s="87" t="e">
        <f t="shared" si="30"/>
        <v>#DIV/0!</v>
      </c>
      <c r="K605" s="87" t="e">
        <f t="shared" si="30"/>
        <v>#DIV/0!</v>
      </c>
      <c r="L605" s="87" t="e">
        <f t="shared" si="30"/>
        <v>#DIV/0!</v>
      </c>
      <c r="M605" s="88" t="e">
        <f t="shared" si="30"/>
        <v>#DIV/0!</v>
      </c>
      <c r="O605" s="61" t="str">
        <f t="shared" si="31"/>
        <v>חוף הכרמל</v>
      </c>
      <c r="P605" s="61" t="str">
        <f t="shared" si="32"/>
        <v>עכו</v>
      </c>
    </row>
    <row r="606" spans="1:16" x14ac:dyDescent="0.3">
      <c r="A606" s="61">
        <v>24</v>
      </c>
      <c r="B606" s="61">
        <v>3</v>
      </c>
      <c r="C606" s="60"/>
      <c r="G606" s="62"/>
      <c r="I606" s="86" t="e">
        <f t="shared" si="30"/>
        <v>#DIV/0!</v>
      </c>
      <c r="J606" s="87" t="e">
        <f t="shared" si="30"/>
        <v>#DIV/0!</v>
      </c>
      <c r="K606" s="87" t="e">
        <f t="shared" si="30"/>
        <v>#DIV/0!</v>
      </c>
      <c r="L606" s="87" t="e">
        <f t="shared" si="30"/>
        <v>#DIV/0!</v>
      </c>
      <c r="M606" s="88" t="e">
        <f t="shared" si="30"/>
        <v>#DIV/0!</v>
      </c>
      <c r="O606" s="61" t="str">
        <f t="shared" si="31"/>
        <v>חוף הכרמל</v>
      </c>
      <c r="P606" s="61" t="str">
        <f t="shared" si="32"/>
        <v>כרמיאל</v>
      </c>
    </row>
    <row r="607" spans="1:16" x14ac:dyDescent="0.3">
      <c r="A607" s="61">
        <v>24</v>
      </c>
      <c r="B607" s="61">
        <v>4</v>
      </c>
      <c r="C607" s="60"/>
      <c r="G607" s="62"/>
      <c r="I607" s="86" t="e">
        <f t="shared" si="30"/>
        <v>#DIV/0!</v>
      </c>
      <c r="J607" s="87" t="e">
        <f t="shared" si="30"/>
        <v>#DIV/0!</v>
      </c>
      <c r="K607" s="87" t="e">
        <f t="shared" si="30"/>
        <v>#DIV/0!</v>
      </c>
      <c r="L607" s="87" t="e">
        <f t="shared" si="30"/>
        <v>#DIV/0!</v>
      </c>
      <c r="M607" s="88" t="e">
        <f t="shared" si="30"/>
        <v>#DIV/0!</v>
      </c>
      <c r="O607" s="61" t="str">
        <f t="shared" si="31"/>
        <v>חוף הכרמל</v>
      </c>
      <c r="P607" s="61" t="str">
        <f t="shared" si="32"/>
        <v>שפרעם</v>
      </c>
    </row>
    <row r="608" spans="1:16" x14ac:dyDescent="0.3">
      <c r="A608" s="61">
        <v>24</v>
      </c>
      <c r="B608" s="61">
        <v>5</v>
      </c>
      <c r="C608" s="60"/>
      <c r="G608" s="62"/>
      <c r="I608" s="86" t="e">
        <f t="shared" si="30"/>
        <v>#DIV/0!</v>
      </c>
      <c r="J608" s="87" t="e">
        <f t="shared" si="30"/>
        <v>#DIV/0!</v>
      </c>
      <c r="K608" s="87" t="e">
        <f t="shared" si="30"/>
        <v>#DIV/0!</v>
      </c>
      <c r="L608" s="87" t="e">
        <f t="shared" si="30"/>
        <v>#DIV/0!</v>
      </c>
      <c r="M608" s="88" t="e">
        <f t="shared" si="30"/>
        <v>#DIV/0!</v>
      </c>
      <c r="O608" s="61" t="str">
        <f t="shared" si="31"/>
        <v>חוף הכרמל</v>
      </c>
      <c r="P608" s="61" t="str">
        <f t="shared" si="32"/>
        <v>קרית ים</v>
      </c>
    </row>
    <row r="609" spans="1:16" x14ac:dyDescent="0.3">
      <c r="A609" s="61">
        <v>24</v>
      </c>
      <c r="B609" s="61">
        <v>6</v>
      </c>
      <c r="C609" s="60"/>
      <c r="G609" s="62"/>
      <c r="I609" s="86" t="e">
        <f t="shared" si="30"/>
        <v>#DIV/0!</v>
      </c>
      <c r="J609" s="87" t="e">
        <f t="shared" si="30"/>
        <v>#DIV/0!</v>
      </c>
      <c r="K609" s="87" t="e">
        <f t="shared" si="30"/>
        <v>#DIV/0!</v>
      </c>
      <c r="L609" s="87" t="e">
        <f t="shared" si="30"/>
        <v>#DIV/0!</v>
      </c>
      <c r="M609" s="88" t="e">
        <f t="shared" si="30"/>
        <v>#DIV/0!</v>
      </c>
      <c r="O609" s="61" t="str">
        <f t="shared" si="31"/>
        <v>חוף הכרמל</v>
      </c>
      <c r="P609" s="61" t="str">
        <f t="shared" si="32"/>
        <v>קרית מוצקין</v>
      </c>
    </row>
    <row r="610" spans="1:16" x14ac:dyDescent="0.3">
      <c r="A610" s="61">
        <v>24</v>
      </c>
      <c r="B610" s="61">
        <v>7</v>
      </c>
      <c r="C610" s="60"/>
      <c r="G610" s="62"/>
      <c r="I610" s="86" t="e">
        <f t="shared" si="30"/>
        <v>#DIV/0!</v>
      </c>
      <c r="J610" s="87" t="e">
        <f t="shared" si="30"/>
        <v>#DIV/0!</v>
      </c>
      <c r="K610" s="87" t="e">
        <f t="shared" si="30"/>
        <v>#DIV/0!</v>
      </c>
      <c r="L610" s="87" t="e">
        <f t="shared" si="30"/>
        <v>#DIV/0!</v>
      </c>
      <c r="M610" s="88" t="e">
        <f t="shared" si="30"/>
        <v>#DIV/0!</v>
      </c>
      <c r="O610" s="61" t="str">
        <f t="shared" si="31"/>
        <v>חוף הכרמל</v>
      </c>
      <c r="P610" s="61" t="str">
        <f t="shared" si="32"/>
        <v>קרית ביאליק</v>
      </c>
    </row>
    <row r="611" spans="1:16" x14ac:dyDescent="0.3">
      <c r="A611" s="61">
        <v>24</v>
      </c>
      <c r="B611" s="61">
        <v>8</v>
      </c>
      <c r="C611" s="60"/>
      <c r="G611" s="62"/>
      <c r="I611" s="86" t="e">
        <f t="shared" si="30"/>
        <v>#DIV/0!</v>
      </c>
      <c r="J611" s="87" t="e">
        <f t="shared" si="30"/>
        <v>#DIV/0!</v>
      </c>
      <c r="K611" s="87" t="e">
        <f t="shared" si="30"/>
        <v>#DIV/0!</v>
      </c>
      <c r="L611" s="87" t="e">
        <f t="shared" si="30"/>
        <v>#DIV/0!</v>
      </c>
      <c r="M611" s="88" t="e">
        <f t="shared" si="30"/>
        <v>#DIV/0!</v>
      </c>
      <c r="O611" s="61" t="str">
        <f t="shared" si="31"/>
        <v>חוף הכרמל</v>
      </c>
      <c r="P611" s="61" t="str">
        <f t="shared" si="32"/>
        <v>קרית חיים</v>
      </c>
    </row>
    <row r="612" spans="1:16" x14ac:dyDescent="0.3">
      <c r="A612" s="61">
        <v>24</v>
      </c>
      <c r="B612" s="61">
        <v>9</v>
      </c>
      <c r="C612" s="60"/>
      <c r="G612" s="62"/>
      <c r="I612" s="86" t="e">
        <f t="shared" si="30"/>
        <v>#DIV/0!</v>
      </c>
      <c r="J612" s="87" t="e">
        <f t="shared" si="30"/>
        <v>#DIV/0!</v>
      </c>
      <c r="K612" s="87" t="e">
        <f t="shared" si="30"/>
        <v>#DIV/0!</v>
      </c>
      <c r="L612" s="87" t="e">
        <f t="shared" si="30"/>
        <v>#DIV/0!</v>
      </c>
      <c r="M612" s="88" t="e">
        <f t="shared" si="30"/>
        <v>#DIV/0!</v>
      </c>
      <c r="O612" s="61" t="str">
        <f t="shared" si="31"/>
        <v>חוף הכרמל</v>
      </c>
      <c r="P612" s="61" t="str">
        <f t="shared" si="32"/>
        <v>קרית אתא</v>
      </c>
    </row>
    <row r="613" spans="1:16" x14ac:dyDescent="0.3">
      <c r="A613" s="61">
        <v>24</v>
      </c>
      <c r="B613" s="61">
        <v>10</v>
      </c>
      <c r="C613" s="60"/>
      <c r="G613" s="62"/>
      <c r="I613" s="86" t="e">
        <f t="shared" si="30"/>
        <v>#DIV/0!</v>
      </c>
      <c r="J613" s="87" t="e">
        <f t="shared" si="30"/>
        <v>#DIV/0!</v>
      </c>
      <c r="K613" s="87" t="e">
        <f t="shared" si="30"/>
        <v>#DIV/0!</v>
      </c>
      <c r="L613" s="87" t="e">
        <f t="shared" si="30"/>
        <v>#DIV/0!</v>
      </c>
      <c r="M613" s="88" t="e">
        <f t="shared" si="30"/>
        <v>#DIV/0!</v>
      </c>
      <c r="O613" s="61" t="str">
        <f t="shared" si="31"/>
        <v>חוף הכרמל</v>
      </c>
      <c r="P613" s="61" t="str">
        <f t="shared" si="32"/>
        <v>כפר מנדא</v>
      </c>
    </row>
    <row r="614" spans="1:16" x14ac:dyDescent="0.3">
      <c r="A614" s="61">
        <v>24</v>
      </c>
      <c r="B614" s="61">
        <v>11</v>
      </c>
      <c r="C614" s="60"/>
      <c r="G614" s="62"/>
      <c r="I614" s="86" t="e">
        <f t="shared" si="30"/>
        <v>#DIV/0!</v>
      </c>
      <c r="J614" s="87" t="e">
        <f t="shared" si="30"/>
        <v>#DIV/0!</v>
      </c>
      <c r="K614" s="87" t="e">
        <f t="shared" si="30"/>
        <v>#DIV/0!</v>
      </c>
      <c r="L614" s="87" t="e">
        <f t="shared" si="30"/>
        <v>#DIV/0!</v>
      </c>
      <c r="M614" s="88" t="e">
        <f t="shared" si="30"/>
        <v>#DIV/0!</v>
      </c>
      <c r="O614" s="61" t="str">
        <f t="shared" si="31"/>
        <v>חוף הכרמל</v>
      </c>
      <c r="P614" s="61" t="str">
        <f t="shared" si="32"/>
        <v>זבולון</v>
      </c>
    </row>
    <row r="615" spans="1:16" x14ac:dyDescent="0.3">
      <c r="A615" s="61">
        <v>24</v>
      </c>
      <c r="B615" s="61">
        <v>12</v>
      </c>
      <c r="C615" s="60"/>
      <c r="G615" s="62"/>
      <c r="I615" s="86" t="e">
        <f t="shared" si="30"/>
        <v>#DIV/0!</v>
      </c>
      <c r="J615" s="87" t="e">
        <f t="shared" si="30"/>
        <v>#DIV/0!</v>
      </c>
      <c r="K615" s="87" t="e">
        <f t="shared" si="30"/>
        <v>#DIV/0!</v>
      </c>
      <c r="L615" s="87" t="e">
        <f t="shared" si="30"/>
        <v>#DIV/0!</v>
      </c>
      <c r="M615" s="88" t="e">
        <f t="shared" si="30"/>
        <v>#DIV/0!</v>
      </c>
      <c r="O615" s="61" t="str">
        <f t="shared" si="31"/>
        <v>חוף הכרמל</v>
      </c>
      <c r="P615" s="61" t="str">
        <f t="shared" si="32"/>
        <v>חיפה מפרץ</v>
      </c>
    </row>
    <row r="616" spans="1:16" x14ac:dyDescent="0.3">
      <c r="A616" s="61">
        <v>24</v>
      </c>
      <c r="B616" s="61">
        <v>13</v>
      </c>
      <c r="C616" s="60"/>
      <c r="G616" s="62"/>
      <c r="I616" s="86" t="e">
        <f t="shared" si="30"/>
        <v>#DIV/0!</v>
      </c>
      <c r="J616" s="87" t="e">
        <f t="shared" si="30"/>
        <v>#DIV/0!</v>
      </c>
      <c r="K616" s="87" t="e">
        <f t="shared" si="30"/>
        <v>#DIV/0!</v>
      </c>
      <c r="L616" s="87" t="e">
        <f t="shared" si="30"/>
        <v>#DIV/0!</v>
      </c>
      <c r="M616" s="88" t="e">
        <f t="shared" si="30"/>
        <v>#DIV/0!</v>
      </c>
      <c r="O616" s="61" t="str">
        <f t="shared" si="31"/>
        <v>חוף הכרמל</v>
      </c>
      <c r="P616" s="61" t="str">
        <f t="shared" si="32"/>
        <v>חיפה עיר תחתית</v>
      </c>
    </row>
    <row r="617" spans="1:16" x14ac:dyDescent="0.3">
      <c r="A617" s="61">
        <v>24</v>
      </c>
      <c r="B617" s="61">
        <v>14</v>
      </c>
      <c r="C617" s="60"/>
      <c r="G617" s="62"/>
      <c r="I617" s="86" t="e">
        <f t="shared" si="30"/>
        <v>#DIV/0!</v>
      </c>
      <c r="J617" s="87" t="e">
        <f t="shared" si="30"/>
        <v>#DIV/0!</v>
      </c>
      <c r="K617" s="87" t="e">
        <f t="shared" si="30"/>
        <v>#DIV/0!</v>
      </c>
      <c r="L617" s="87" t="e">
        <f t="shared" si="30"/>
        <v>#DIV/0!</v>
      </c>
      <c r="M617" s="88" t="e">
        <f t="shared" si="30"/>
        <v>#DIV/0!</v>
      </c>
      <c r="O617" s="61" t="str">
        <f t="shared" si="31"/>
        <v>חוף הכרמל</v>
      </c>
      <c r="P617" s="61" t="str">
        <f t="shared" si="32"/>
        <v>חיפה הדר-כרמל</v>
      </c>
    </row>
    <row r="618" spans="1:16" x14ac:dyDescent="0.3">
      <c r="A618" s="61">
        <v>24</v>
      </c>
      <c r="B618" s="61">
        <v>15</v>
      </c>
      <c r="C618" s="60"/>
      <c r="G618" s="62"/>
      <c r="I618" s="86" t="e">
        <f t="shared" si="30"/>
        <v>#DIV/0!</v>
      </c>
      <c r="J618" s="87" t="e">
        <f t="shared" si="30"/>
        <v>#DIV/0!</v>
      </c>
      <c r="K618" s="87" t="e">
        <f t="shared" si="30"/>
        <v>#DIV/0!</v>
      </c>
      <c r="L618" s="87" t="e">
        <f t="shared" si="30"/>
        <v>#DIV/0!</v>
      </c>
      <c r="M618" s="88" t="e">
        <f t="shared" si="30"/>
        <v>#DIV/0!</v>
      </c>
      <c r="O618" s="61" t="str">
        <f t="shared" si="31"/>
        <v>חוף הכרמל</v>
      </c>
      <c r="P618" s="61" t="str">
        <f t="shared" si="32"/>
        <v>חיפה מערב</v>
      </c>
    </row>
    <row r="619" spans="1:16" x14ac:dyDescent="0.3">
      <c r="A619" s="61">
        <v>24</v>
      </c>
      <c r="B619" s="61">
        <v>16</v>
      </c>
      <c r="C619" s="60"/>
      <c r="G619" s="62"/>
      <c r="I619" s="86" t="e">
        <f t="shared" si="30"/>
        <v>#DIV/0!</v>
      </c>
      <c r="J619" s="87" t="e">
        <f t="shared" si="30"/>
        <v>#DIV/0!</v>
      </c>
      <c r="K619" s="87" t="e">
        <f t="shared" si="30"/>
        <v>#DIV/0!</v>
      </c>
      <c r="L619" s="87" t="e">
        <f t="shared" si="30"/>
        <v>#DIV/0!</v>
      </c>
      <c r="M619" s="88" t="e">
        <f t="shared" si="30"/>
        <v>#DIV/0!</v>
      </c>
      <c r="O619" s="61" t="str">
        <f t="shared" si="31"/>
        <v>חוף הכרמל</v>
      </c>
      <c r="P619" s="61" t="str">
        <f t="shared" si="32"/>
        <v>חיפה כרמל</v>
      </c>
    </row>
    <row r="620" spans="1:16" x14ac:dyDescent="0.3">
      <c r="A620" s="61">
        <v>24</v>
      </c>
      <c r="B620" s="61">
        <v>17</v>
      </c>
      <c r="C620" s="60"/>
      <c r="G620" s="62"/>
      <c r="I620" s="86" t="e">
        <f t="shared" si="30"/>
        <v>#DIV/0!</v>
      </c>
      <c r="J620" s="87" t="e">
        <f t="shared" si="30"/>
        <v>#DIV/0!</v>
      </c>
      <c r="K620" s="87" t="e">
        <f t="shared" si="30"/>
        <v>#DIV/0!</v>
      </c>
      <c r="L620" s="87" t="e">
        <f t="shared" si="30"/>
        <v>#DIV/0!</v>
      </c>
      <c r="M620" s="88" t="e">
        <f t="shared" si="30"/>
        <v>#DIV/0!</v>
      </c>
      <c r="O620" s="61" t="str">
        <f t="shared" si="31"/>
        <v>חוף הכרמל</v>
      </c>
      <c r="P620" s="61" t="str">
        <f t="shared" si="32"/>
        <v>חיפה נווה שאנן</v>
      </c>
    </row>
    <row r="621" spans="1:16" x14ac:dyDescent="0.3">
      <c r="A621" s="61">
        <v>24</v>
      </c>
      <c r="B621" s="61">
        <v>18</v>
      </c>
      <c r="C621" s="60"/>
      <c r="G621" s="62"/>
      <c r="I621" s="86" t="e">
        <f t="shared" si="30"/>
        <v>#DIV/0!</v>
      </c>
      <c r="J621" s="87" t="e">
        <f t="shared" si="30"/>
        <v>#DIV/0!</v>
      </c>
      <c r="K621" s="87" t="e">
        <f t="shared" si="30"/>
        <v>#DIV/0!</v>
      </c>
      <c r="L621" s="87" t="e">
        <f t="shared" si="30"/>
        <v>#DIV/0!</v>
      </c>
      <c r="M621" s="88" t="e">
        <f t="shared" si="30"/>
        <v>#DIV/0!</v>
      </c>
      <c r="O621" s="61" t="str">
        <f t="shared" si="31"/>
        <v>חוף הכרמל</v>
      </c>
      <c r="P621" s="61" t="str">
        <f t="shared" si="32"/>
        <v>נשר</v>
      </c>
    </row>
    <row r="622" spans="1:16" x14ac:dyDescent="0.3">
      <c r="A622" s="61">
        <v>24</v>
      </c>
      <c r="B622" s="61">
        <v>19</v>
      </c>
      <c r="C622" s="60"/>
      <c r="G622" s="62"/>
      <c r="I622" s="86" t="e">
        <f t="shared" si="30"/>
        <v>#DIV/0!</v>
      </c>
      <c r="J622" s="87" t="e">
        <f t="shared" si="30"/>
        <v>#DIV/0!</v>
      </c>
      <c r="K622" s="87" t="e">
        <f t="shared" si="30"/>
        <v>#DIV/0!</v>
      </c>
      <c r="L622" s="87" t="e">
        <f t="shared" si="30"/>
        <v>#DIV/0!</v>
      </c>
      <c r="M622" s="88" t="e">
        <f t="shared" si="30"/>
        <v>#DIV/0!</v>
      </c>
      <c r="O622" s="61" t="str">
        <f t="shared" si="31"/>
        <v>חוף הכרמל</v>
      </c>
      <c r="P622" s="61" t="str">
        <f t="shared" si="32"/>
        <v>נצרת</v>
      </c>
    </row>
    <row r="623" spans="1:16" x14ac:dyDescent="0.3">
      <c r="A623" s="61">
        <v>24</v>
      </c>
      <c r="B623" s="61">
        <v>20</v>
      </c>
      <c r="C623" s="60"/>
      <c r="G623" s="62"/>
      <c r="I623" s="86" t="e">
        <f t="shared" si="30"/>
        <v>#DIV/0!</v>
      </c>
      <c r="J623" s="87" t="e">
        <f t="shared" si="30"/>
        <v>#DIV/0!</v>
      </c>
      <c r="K623" s="87" t="e">
        <f t="shared" si="30"/>
        <v>#DIV/0!</v>
      </c>
      <c r="L623" s="87" t="e">
        <f t="shared" si="30"/>
        <v>#DIV/0!</v>
      </c>
      <c r="M623" s="88" t="e">
        <f t="shared" si="30"/>
        <v>#DIV/0!</v>
      </c>
      <c r="O623" s="61" t="str">
        <f t="shared" si="31"/>
        <v>חוף הכרמל</v>
      </c>
      <c r="P623" s="61" t="str">
        <f t="shared" si="32"/>
        <v>נצרת-עילית</v>
      </c>
    </row>
    <row r="624" spans="1:16" x14ac:dyDescent="0.3">
      <c r="A624" s="61">
        <v>24</v>
      </c>
      <c r="B624" s="61">
        <v>21</v>
      </c>
      <c r="C624" s="60"/>
      <c r="G624" s="62"/>
      <c r="I624" s="86" t="e">
        <f t="shared" si="30"/>
        <v>#DIV/0!</v>
      </c>
      <c r="J624" s="87" t="e">
        <f t="shared" si="30"/>
        <v>#DIV/0!</v>
      </c>
      <c r="K624" s="87" t="e">
        <f t="shared" si="30"/>
        <v>#DIV/0!</v>
      </c>
      <c r="L624" s="87" t="e">
        <f t="shared" si="30"/>
        <v>#DIV/0!</v>
      </c>
      <c r="M624" s="88" t="e">
        <f t="shared" si="30"/>
        <v>#DIV/0!</v>
      </c>
      <c r="O624" s="61" t="str">
        <f t="shared" si="31"/>
        <v>חוף הכרמל</v>
      </c>
      <c r="P624" s="61" t="str">
        <f t="shared" si="32"/>
        <v>מגדל העמק</v>
      </c>
    </row>
    <row r="625" spans="1:16" x14ac:dyDescent="0.3">
      <c r="A625" s="61">
        <v>24</v>
      </c>
      <c r="B625" s="61">
        <v>22</v>
      </c>
      <c r="C625" s="60"/>
      <c r="G625" s="62"/>
      <c r="I625" s="86" t="e">
        <f t="shared" si="30"/>
        <v>#DIV/0!</v>
      </c>
      <c r="J625" s="87" t="e">
        <f t="shared" si="30"/>
        <v>#DIV/0!</v>
      </c>
      <c r="K625" s="87" t="e">
        <f t="shared" si="30"/>
        <v>#DIV/0!</v>
      </c>
      <c r="L625" s="87" t="e">
        <f t="shared" si="30"/>
        <v>#DIV/0!</v>
      </c>
      <c r="M625" s="88" t="e">
        <f t="shared" si="30"/>
        <v>#DIV/0!</v>
      </c>
      <c r="O625" s="61" t="str">
        <f t="shared" si="31"/>
        <v>חוף הכרמל</v>
      </c>
      <c r="P625" s="61" t="str">
        <f t="shared" si="32"/>
        <v>יוקנעם</v>
      </c>
    </row>
    <row r="626" spans="1:16" x14ac:dyDescent="0.3">
      <c r="A626" s="61">
        <v>24</v>
      </c>
      <c r="B626" s="61">
        <v>23</v>
      </c>
      <c r="C626" s="60"/>
      <c r="G626" s="62"/>
      <c r="I626" s="86" t="e">
        <f t="shared" si="30"/>
        <v>#DIV/0!</v>
      </c>
      <c r="J626" s="87" t="e">
        <f t="shared" si="30"/>
        <v>#DIV/0!</v>
      </c>
      <c r="K626" s="87" t="e">
        <f t="shared" si="30"/>
        <v>#DIV/0!</v>
      </c>
      <c r="L626" s="87" t="e">
        <f t="shared" si="30"/>
        <v>#DIV/0!</v>
      </c>
      <c r="M626" s="88" t="e">
        <f t="shared" si="30"/>
        <v>#DIV/0!</v>
      </c>
      <c r="O626" s="61" t="str">
        <f t="shared" si="31"/>
        <v>חוף הכרמל</v>
      </c>
      <c r="P626" s="61" t="str">
        <f t="shared" si="32"/>
        <v>דלית אל כרמל</v>
      </c>
    </row>
    <row r="627" spans="1:16" x14ac:dyDescent="0.3">
      <c r="A627" s="61">
        <v>24</v>
      </c>
      <c r="B627" s="61">
        <v>24</v>
      </c>
      <c r="C627" s="60"/>
      <c r="G627" s="62"/>
      <c r="I627" s="86" t="e">
        <f t="shared" si="30"/>
        <v>#DIV/0!</v>
      </c>
      <c r="J627" s="87" t="e">
        <f t="shared" si="30"/>
        <v>#DIV/0!</v>
      </c>
      <c r="K627" s="87" t="e">
        <f t="shared" si="30"/>
        <v>#DIV/0!</v>
      </c>
      <c r="L627" s="87" t="e">
        <f t="shared" si="30"/>
        <v>#DIV/0!</v>
      </c>
      <c r="M627" s="88" t="e">
        <f t="shared" si="30"/>
        <v>#DIV/0!</v>
      </c>
      <c r="O627" s="61" t="str">
        <f t="shared" si="31"/>
        <v>חוף הכרמל</v>
      </c>
      <c r="P627" s="61" t="str">
        <f t="shared" si="32"/>
        <v>חוף הכרמל</v>
      </c>
    </row>
    <row r="628" spans="1:16" x14ac:dyDescent="0.3">
      <c r="A628" s="61">
        <v>24</v>
      </c>
      <c r="B628" s="61">
        <v>25</v>
      </c>
      <c r="C628" s="60"/>
      <c r="G628" s="62"/>
      <c r="I628" s="86" t="e">
        <f t="shared" si="30"/>
        <v>#DIV/0!</v>
      </c>
      <c r="J628" s="87" t="e">
        <f t="shared" si="30"/>
        <v>#DIV/0!</v>
      </c>
      <c r="K628" s="87" t="e">
        <f t="shared" si="30"/>
        <v>#DIV/0!</v>
      </c>
      <c r="L628" s="87" t="e">
        <f t="shared" si="30"/>
        <v>#DIV/0!</v>
      </c>
      <c r="M628" s="88" t="e">
        <f t="shared" si="30"/>
        <v>#DIV/0!</v>
      </c>
      <c r="O628" s="61" t="str">
        <f t="shared" si="31"/>
        <v>חוף הכרמל</v>
      </c>
      <c r="P628" s="61" t="str">
        <f t="shared" si="32"/>
        <v>זכרון יעקב</v>
      </c>
    </row>
    <row r="629" spans="1:16" x14ac:dyDescent="0.3">
      <c r="A629" s="61">
        <v>24</v>
      </c>
      <c r="B629" s="61">
        <v>30</v>
      </c>
      <c r="C629" s="60"/>
      <c r="G629" s="62"/>
      <c r="I629" s="86" t="e">
        <f t="shared" si="30"/>
        <v>#DIV/0!</v>
      </c>
      <c r="J629" s="87" t="e">
        <f t="shared" si="30"/>
        <v>#DIV/0!</v>
      </c>
      <c r="K629" s="87" t="e">
        <f t="shared" si="30"/>
        <v>#DIV/0!</v>
      </c>
      <c r="L629" s="87" t="e">
        <f t="shared" si="30"/>
        <v>#DIV/0!</v>
      </c>
      <c r="M629" s="88" t="e">
        <f t="shared" si="30"/>
        <v>#DIV/0!</v>
      </c>
      <c r="O629" s="61" t="str">
        <f t="shared" si="31"/>
        <v>חוף הכרמל</v>
      </c>
      <c r="P629" s="61" t="str">
        <f t="shared" si="32"/>
        <v>סכנין</v>
      </c>
    </row>
    <row r="630" spans="1:16" x14ac:dyDescent="0.3">
      <c r="A630" s="61">
        <v>25</v>
      </c>
      <c r="B630" s="61">
        <v>1</v>
      </c>
      <c r="C630" s="60"/>
      <c r="G630" s="62"/>
      <c r="I630" s="86" t="e">
        <f t="shared" si="30"/>
        <v>#DIV/0!</v>
      </c>
      <c r="J630" s="87" t="e">
        <f t="shared" si="30"/>
        <v>#DIV/0!</v>
      </c>
      <c r="K630" s="87" t="e">
        <f t="shared" si="30"/>
        <v>#DIV/0!</v>
      </c>
      <c r="L630" s="87" t="e">
        <f t="shared" si="30"/>
        <v>#DIV/0!</v>
      </c>
      <c r="M630" s="88" t="e">
        <f t="shared" si="30"/>
        <v>#DIV/0!</v>
      </c>
      <c r="O630" s="61" t="str">
        <f t="shared" si="31"/>
        <v>זכרון יעקב</v>
      </c>
      <c r="P630" s="61" t="str">
        <f t="shared" si="32"/>
        <v>נהריה</v>
      </c>
    </row>
    <row r="631" spans="1:16" x14ac:dyDescent="0.3">
      <c r="A631" s="61">
        <v>25</v>
      </c>
      <c r="B631" s="61">
        <v>2</v>
      </c>
      <c r="C631" s="60"/>
      <c r="G631" s="62"/>
      <c r="I631" s="86" t="e">
        <f t="shared" ref="I631:M681" si="33">C631/SUM($C631:$G631)</f>
        <v>#DIV/0!</v>
      </c>
      <c r="J631" s="87" t="e">
        <f t="shared" si="33"/>
        <v>#DIV/0!</v>
      </c>
      <c r="K631" s="87" t="e">
        <f t="shared" si="33"/>
        <v>#DIV/0!</v>
      </c>
      <c r="L631" s="87" t="e">
        <f t="shared" si="33"/>
        <v>#DIV/0!</v>
      </c>
      <c r="M631" s="88" t="e">
        <f t="shared" si="33"/>
        <v>#DIV/0!</v>
      </c>
      <c r="O631" s="61" t="str">
        <f t="shared" si="31"/>
        <v>זכרון יעקב</v>
      </c>
      <c r="P631" s="61" t="str">
        <f t="shared" si="32"/>
        <v>עכו</v>
      </c>
    </row>
    <row r="632" spans="1:16" x14ac:dyDescent="0.3">
      <c r="A632" s="61">
        <v>25</v>
      </c>
      <c r="B632" s="61">
        <v>3</v>
      </c>
      <c r="C632" s="60"/>
      <c r="G632" s="62"/>
      <c r="I632" s="86" t="e">
        <f t="shared" si="33"/>
        <v>#DIV/0!</v>
      </c>
      <c r="J632" s="87" t="e">
        <f t="shared" si="33"/>
        <v>#DIV/0!</v>
      </c>
      <c r="K632" s="87" t="e">
        <f t="shared" si="33"/>
        <v>#DIV/0!</v>
      </c>
      <c r="L632" s="87" t="e">
        <f t="shared" si="33"/>
        <v>#DIV/0!</v>
      </c>
      <c r="M632" s="88" t="e">
        <f t="shared" si="33"/>
        <v>#DIV/0!</v>
      </c>
      <c r="O632" s="61" t="str">
        <f t="shared" si="31"/>
        <v>זכרון יעקב</v>
      </c>
      <c r="P632" s="61" t="str">
        <f t="shared" si="32"/>
        <v>כרמיאל</v>
      </c>
    </row>
    <row r="633" spans="1:16" x14ac:dyDescent="0.3">
      <c r="A633" s="61">
        <v>25</v>
      </c>
      <c r="B633" s="61">
        <v>4</v>
      </c>
      <c r="C633" s="60"/>
      <c r="G633" s="62"/>
      <c r="I633" s="86" t="e">
        <f t="shared" si="33"/>
        <v>#DIV/0!</v>
      </c>
      <c r="J633" s="87" t="e">
        <f t="shared" si="33"/>
        <v>#DIV/0!</v>
      </c>
      <c r="K633" s="87" t="e">
        <f t="shared" si="33"/>
        <v>#DIV/0!</v>
      </c>
      <c r="L633" s="87" t="e">
        <f t="shared" si="33"/>
        <v>#DIV/0!</v>
      </c>
      <c r="M633" s="88" t="e">
        <f t="shared" si="33"/>
        <v>#DIV/0!</v>
      </c>
      <c r="O633" s="61" t="str">
        <f t="shared" si="31"/>
        <v>זכרון יעקב</v>
      </c>
      <c r="P633" s="61" t="str">
        <f t="shared" si="32"/>
        <v>שפרעם</v>
      </c>
    </row>
    <row r="634" spans="1:16" x14ac:dyDescent="0.3">
      <c r="A634" s="61">
        <v>25</v>
      </c>
      <c r="B634" s="61">
        <v>5</v>
      </c>
      <c r="C634" s="60"/>
      <c r="G634" s="62"/>
      <c r="I634" s="86" t="e">
        <f t="shared" si="33"/>
        <v>#DIV/0!</v>
      </c>
      <c r="J634" s="87" t="e">
        <f t="shared" si="33"/>
        <v>#DIV/0!</v>
      </c>
      <c r="K634" s="87" t="e">
        <f t="shared" si="33"/>
        <v>#DIV/0!</v>
      </c>
      <c r="L634" s="87" t="e">
        <f t="shared" si="33"/>
        <v>#DIV/0!</v>
      </c>
      <c r="M634" s="88" t="e">
        <f t="shared" si="33"/>
        <v>#DIV/0!</v>
      </c>
      <c r="O634" s="61" t="str">
        <f t="shared" si="31"/>
        <v>זכרון יעקב</v>
      </c>
      <c r="P634" s="61" t="str">
        <f t="shared" si="32"/>
        <v>קרית ים</v>
      </c>
    </row>
    <row r="635" spans="1:16" x14ac:dyDescent="0.3">
      <c r="A635" s="61">
        <v>25</v>
      </c>
      <c r="B635" s="61">
        <v>6</v>
      </c>
      <c r="C635" s="60"/>
      <c r="G635" s="62"/>
      <c r="I635" s="86" t="e">
        <f t="shared" si="33"/>
        <v>#DIV/0!</v>
      </c>
      <c r="J635" s="87" t="e">
        <f t="shared" si="33"/>
        <v>#DIV/0!</v>
      </c>
      <c r="K635" s="87" t="e">
        <f t="shared" si="33"/>
        <v>#DIV/0!</v>
      </c>
      <c r="L635" s="87" t="e">
        <f t="shared" si="33"/>
        <v>#DIV/0!</v>
      </c>
      <c r="M635" s="88" t="e">
        <f t="shared" si="33"/>
        <v>#DIV/0!</v>
      </c>
      <c r="O635" s="61" t="str">
        <f t="shared" si="31"/>
        <v>זכרון יעקב</v>
      </c>
      <c r="P635" s="61" t="str">
        <f t="shared" si="32"/>
        <v>קרית מוצקין</v>
      </c>
    </row>
    <row r="636" spans="1:16" x14ac:dyDescent="0.3">
      <c r="A636" s="61">
        <v>25</v>
      </c>
      <c r="B636" s="61">
        <v>7</v>
      </c>
      <c r="C636" s="60"/>
      <c r="G636" s="62"/>
      <c r="I636" s="86" t="e">
        <f t="shared" si="33"/>
        <v>#DIV/0!</v>
      </c>
      <c r="J636" s="87" t="e">
        <f t="shared" si="33"/>
        <v>#DIV/0!</v>
      </c>
      <c r="K636" s="87" t="e">
        <f t="shared" si="33"/>
        <v>#DIV/0!</v>
      </c>
      <c r="L636" s="87" t="e">
        <f t="shared" si="33"/>
        <v>#DIV/0!</v>
      </c>
      <c r="M636" s="88" t="e">
        <f t="shared" si="33"/>
        <v>#DIV/0!</v>
      </c>
      <c r="O636" s="61" t="str">
        <f t="shared" si="31"/>
        <v>זכרון יעקב</v>
      </c>
      <c r="P636" s="61" t="str">
        <f t="shared" si="32"/>
        <v>קרית ביאליק</v>
      </c>
    </row>
    <row r="637" spans="1:16" x14ac:dyDescent="0.3">
      <c r="A637" s="61">
        <v>25</v>
      </c>
      <c r="B637" s="61">
        <v>8</v>
      </c>
      <c r="C637" s="60"/>
      <c r="G637" s="62"/>
      <c r="I637" s="86" t="e">
        <f t="shared" si="33"/>
        <v>#DIV/0!</v>
      </c>
      <c r="J637" s="87" t="e">
        <f t="shared" si="33"/>
        <v>#DIV/0!</v>
      </c>
      <c r="K637" s="87" t="e">
        <f t="shared" si="33"/>
        <v>#DIV/0!</v>
      </c>
      <c r="L637" s="87" t="e">
        <f t="shared" si="33"/>
        <v>#DIV/0!</v>
      </c>
      <c r="M637" s="88" t="e">
        <f t="shared" si="33"/>
        <v>#DIV/0!</v>
      </c>
      <c r="O637" s="61" t="str">
        <f t="shared" si="31"/>
        <v>זכרון יעקב</v>
      </c>
      <c r="P637" s="61" t="str">
        <f t="shared" si="32"/>
        <v>קרית חיים</v>
      </c>
    </row>
    <row r="638" spans="1:16" x14ac:dyDescent="0.3">
      <c r="A638" s="61">
        <v>25</v>
      </c>
      <c r="B638" s="61">
        <v>9</v>
      </c>
      <c r="C638" s="60"/>
      <c r="G638" s="62"/>
      <c r="I638" s="86" t="e">
        <f t="shared" si="33"/>
        <v>#DIV/0!</v>
      </c>
      <c r="J638" s="87" t="e">
        <f t="shared" si="33"/>
        <v>#DIV/0!</v>
      </c>
      <c r="K638" s="87" t="e">
        <f t="shared" si="33"/>
        <v>#DIV/0!</v>
      </c>
      <c r="L638" s="87" t="e">
        <f t="shared" si="33"/>
        <v>#DIV/0!</v>
      </c>
      <c r="M638" s="88" t="e">
        <f t="shared" si="33"/>
        <v>#DIV/0!</v>
      </c>
      <c r="O638" s="61" t="str">
        <f t="shared" si="31"/>
        <v>זכרון יעקב</v>
      </c>
      <c r="P638" s="61" t="str">
        <f t="shared" si="32"/>
        <v>קרית אתא</v>
      </c>
    </row>
    <row r="639" spans="1:16" x14ac:dyDescent="0.3">
      <c r="A639" s="61">
        <v>25</v>
      </c>
      <c r="B639" s="61">
        <v>10</v>
      </c>
      <c r="C639" s="60"/>
      <c r="G639" s="62"/>
      <c r="I639" s="86" t="e">
        <f t="shared" si="33"/>
        <v>#DIV/0!</v>
      </c>
      <c r="J639" s="87" t="e">
        <f t="shared" si="33"/>
        <v>#DIV/0!</v>
      </c>
      <c r="K639" s="87" t="e">
        <f t="shared" si="33"/>
        <v>#DIV/0!</v>
      </c>
      <c r="L639" s="87" t="e">
        <f t="shared" si="33"/>
        <v>#DIV/0!</v>
      </c>
      <c r="M639" s="88" t="e">
        <f t="shared" si="33"/>
        <v>#DIV/0!</v>
      </c>
      <c r="O639" s="61" t="str">
        <f t="shared" si="31"/>
        <v>זכרון יעקב</v>
      </c>
      <c r="P639" s="61" t="str">
        <f t="shared" si="32"/>
        <v>כפר מנדא</v>
      </c>
    </row>
    <row r="640" spans="1:16" x14ac:dyDescent="0.3">
      <c r="A640" s="61">
        <v>25</v>
      </c>
      <c r="B640" s="61">
        <v>11</v>
      </c>
      <c r="C640" s="60"/>
      <c r="G640" s="62"/>
      <c r="I640" s="86" t="e">
        <f t="shared" si="33"/>
        <v>#DIV/0!</v>
      </c>
      <c r="J640" s="87" t="e">
        <f t="shared" si="33"/>
        <v>#DIV/0!</v>
      </c>
      <c r="K640" s="87" t="e">
        <f t="shared" si="33"/>
        <v>#DIV/0!</v>
      </c>
      <c r="L640" s="87" t="e">
        <f t="shared" si="33"/>
        <v>#DIV/0!</v>
      </c>
      <c r="M640" s="88" t="e">
        <f t="shared" si="33"/>
        <v>#DIV/0!</v>
      </c>
      <c r="O640" s="61" t="str">
        <f t="shared" si="31"/>
        <v>זכרון יעקב</v>
      </c>
      <c r="P640" s="61" t="str">
        <f t="shared" si="32"/>
        <v>זבולון</v>
      </c>
    </row>
    <row r="641" spans="1:16" x14ac:dyDescent="0.3">
      <c r="A641" s="61">
        <v>25</v>
      </c>
      <c r="B641" s="61">
        <v>12</v>
      </c>
      <c r="C641" s="60"/>
      <c r="G641" s="62"/>
      <c r="I641" s="86" t="e">
        <f t="shared" si="33"/>
        <v>#DIV/0!</v>
      </c>
      <c r="J641" s="87" t="e">
        <f t="shared" si="33"/>
        <v>#DIV/0!</v>
      </c>
      <c r="K641" s="87" t="e">
        <f t="shared" si="33"/>
        <v>#DIV/0!</v>
      </c>
      <c r="L641" s="87" t="e">
        <f t="shared" si="33"/>
        <v>#DIV/0!</v>
      </c>
      <c r="M641" s="88" t="e">
        <f t="shared" si="33"/>
        <v>#DIV/0!</v>
      </c>
      <c r="O641" s="61" t="str">
        <f t="shared" si="31"/>
        <v>זכרון יעקב</v>
      </c>
      <c r="P641" s="61" t="str">
        <f t="shared" si="32"/>
        <v>חיפה מפרץ</v>
      </c>
    </row>
    <row r="642" spans="1:16" x14ac:dyDescent="0.3">
      <c r="A642" s="61">
        <v>25</v>
      </c>
      <c r="B642" s="61">
        <v>13</v>
      </c>
      <c r="C642" s="60"/>
      <c r="G642" s="62"/>
      <c r="I642" s="86" t="e">
        <f t="shared" si="33"/>
        <v>#DIV/0!</v>
      </c>
      <c r="J642" s="87" t="e">
        <f t="shared" si="33"/>
        <v>#DIV/0!</v>
      </c>
      <c r="K642" s="87" t="e">
        <f t="shared" si="33"/>
        <v>#DIV/0!</v>
      </c>
      <c r="L642" s="87" t="e">
        <f t="shared" si="33"/>
        <v>#DIV/0!</v>
      </c>
      <c r="M642" s="88" t="e">
        <f t="shared" si="33"/>
        <v>#DIV/0!</v>
      </c>
      <c r="O642" s="61" t="str">
        <f t="shared" si="31"/>
        <v>זכרון יעקב</v>
      </c>
      <c r="P642" s="61" t="str">
        <f t="shared" si="32"/>
        <v>חיפה עיר תחתית</v>
      </c>
    </row>
    <row r="643" spans="1:16" x14ac:dyDescent="0.3">
      <c r="A643" s="61">
        <v>25</v>
      </c>
      <c r="B643" s="61">
        <v>14</v>
      </c>
      <c r="C643" s="60"/>
      <c r="G643" s="62"/>
      <c r="I643" s="86" t="e">
        <f t="shared" si="33"/>
        <v>#DIV/0!</v>
      </c>
      <c r="J643" s="87" t="e">
        <f t="shared" si="33"/>
        <v>#DIV/0!</v>
      </c>
      <c r="K643" s="87" t="e">
        <f t="shared" si="33"/>
        <v>#DIV/0!</v>
      </c>
      <c r="L643" s="87" t="e">
        <f t="shared" si="33"/>
        <v>#DIV/0!</v>
      </c>
      <c r="M643" s="88" t="e">
        <f t="shared" si="33"/>
        <v>#DIV/0!</v>
      </c>
      <c r="O643" s="61" t="str">
        <f t="shared" si="31"/>
        <v>זכרון יעקב</v>
      </c>
      <c r="P643" s="61" t="str">
        <f t="shared" si="32"/>
        <v>חיפה הדר-כרמל</v>
      </c>
    </row>
    <row r="644" spans="1:16" x14ac:dyDescent="0.3">
      <c r="A644" s="61">
        <v>25</v>
      </c>
      <c r="B644" s="61">
        <v>15</v>
      </c>
      <c r="C644" s="60"/>
      <c r="G644" s="62"/>
      <c r="I644" s="86" t="e">
        <f t="shared" si="33"/>
        <v>#DIV/0!</v>
      </c>
      <c r="J644" s="87" t="e">
        <f t="shared" si="33"/>
        <v>#DIV/0!</v>
      </c>
      <c r="K644" s="87" t="e">
        <f t="shared" si="33"/>
        <v>#DIV/0!</v>
      </c>
      <c r="L644" s="87" t="e">
        <f t="shared" si="33"/>
        <v>#DIV/0!</v>
      </c>
      <c r="M644" s="88" t="e">
        <f t="shared" si="33"/>
        <v>#DIV/0!</v>
      </c>
      <c r="O644" s="61" t="str">
        <f t="shared" si="31"/>
        <v>זכרון יעקב</v>
      </c>
      <c r="P644" s="61" t="str">
        <f t="shared" si="32"/>
        <v>חיפה מערב</v>
      </c>
    </row>
    <row r="645" spans="1:16" x14ac:dyDescent="0.3">
      <c r="A645" s="61">
        <v>25</v>
      </c>
      <c r="B645" s="61">
        <v>16</v>
      </c>
      <c r="C645" s="60"/>
      <c r="G645" s="62"/>
      <c r="I645" s="86" t="e">
        <f t="shared" si="33"/>
        <v>#DIV/0!</v>
      </c>
      <c r="J645" s="87" t="e">
        <f t="shared" si="33"/>
        <v>#DIV/0!</v>
      </c>
      <c r="K645" s="87" t="e">
        <f t="shared" si="33"/>
        <v>#DIV/0!</v>
      </c>
      <c r="L645" s="87" t="e">
        <f t="shared" si="33"/>
        <v>#DIV/0!</v>
      </c>
      <c r="M645" s="88" t="e">
        <f t="shared" si="33"/>
        <v>#DIV/0!</v>
      </c>
      <c r="O645" s="61" t="str">
        <f t="shared" si="31"/>
        <v>זכרון יעקב</v>
      </c>
      <c r="P645" s="61" t="str">
        <f t="shared" si="32"/>
        <v>חיפה כרמל</v>
      </c>
    </row>
    <row r="646" spans="1:16" x14ac:dyDescent="0.3">
      <c r="A646" s="61">
        <v>25</v>
      </c>
      <c r="B646" s="61">
        <v>17</v>
      </c>
      <c r="C646" s="60"/>
      <c r="G646" s="62"/>
      <c r="I646" s="86" t="e">
        <f t="shared" si="33"/>
        <v>#DIV/0!</v>
      </c>
      <c r="J646" s="87" t="e">
        <f t="shared" si="33"/>
        <v>#DIV/0!</v>
      </c>
      <c r="K646" s="87" t="e">
        <f t="shared" si="33"/>
        <v>#DIV/0!</v>
      </c>
      <c r="L646" s="87" t="e">
        <f t="shared" si="33"/>
        <v>#DIV/0!</v>
      </c>
      <c r="M646" s="88" t="e">
        <f t="shared" si="33"/>
        <v>#DIV/0!</v>
      </c>
      <c r="O646" s="61" t="str">
        <f t="shared" ref="O646:O681" si="34">VLOOKUP(A646,$S$6:$T$31,2,0)</f>
        <v>זכרון יעקב</v>
      </c>
      <c r="P646" s="61" t="str">
        <f t="shared" ref="P646:P681" si="35">VLOOKUP(B646,$S$6:$T$31,2,0)</f>
        <v>חיפה נווה שאנן</v>
      </c>
    </row>
    <row r="647" spans="1:16" x14ac:dyDescent="0.3">
      <c r="A647" s="61">
        <v>25</v>
      </c>
      <c r="B647" s="61">
        <v>18</v>
      </c>
      <c r="C647" s="60"/>
      <c r="G647" s="62"/>
      <c r="I647" s="86" t="e">
        <f t="shared" si="33"/>
        <v>#DIV/0!</v>
      </c>
      <c r="J647" s="87" t="e">
        <f t="shared" si="33"/>
        <v>#DIV/0!</v>
      </c>
      <c r="K647" s="87" t="e">
        <f t="shared" si="33"/>
        <v>#DIV/0!</v>
      </c>
      <c r="L647" s="87" t="e">
        <f t="shared" si="33"/>
        <v>#DIV/0!</v>
      </c>
      <c r="M647" s="88" t="e">
        <f t="shared" si="33"/>
        <v>#DIV/0!</v>
      </c>
      <c r="O647" s="61" t="str">
        <f t="shared" si="34"/>
        <v>זכרון יעקב</v>
      </c>
      <c r="P647" s="61" t="str">
        <f t="shared" si="35"/>
        <v>נשר</v>
      </c>
    </row>
    <row r="648" spans="1:16" x14ac:dyDescent="0.3">
      <c r="A648" s="61">
        <v>25</v>
      </c>
      <c r="B648" s="61">
        <v>19</v>
      </c>
      <c r="C648" s="60"/>
      <c r="G648" s="62"/>
      <c r="I648" s="86" t="e">
        <f t="shared" si="33"/>
        <v>#DIV/0!</v>
      </c>
      <c r="J648" s="87" t="e">
        <f t="shared" si="33"/>
        <v>#DIV/0!</v>
      </c>
      <c r="K648" s="87" t="e">
        <f t="shared" si="33"/>
        <v>#DIV/0!</v>
      </c>
      <c r="L648" s="87" t="e">
        <f t="shared" si="33"/>
        <v>#DIV/0!</v>
      </c>
      <c r="M648" s="88" t="e">
        <f t="shared" si="33"/>
        <v>#DIV/0!</v>
      </c>
      <c r="O648" s="61" t="str">
        <f t="shared" si="34"/>
        <v>זכרון יעקב</v>
      </c>
      <c r="P648" s="61" t="str">
        <f t="shared" si="35"/>
        <v>נצרת</v>
      </c>
    </row>
    <row r="649" spans="1:16" x14ac:dyDescent="0.3">
      <c r="A649" s="61">
        <v>25</v>
      </c>
      <c r="B649" s="61">
        <v>20</v>
      </c>
      <c r="C649" s="60"/>
      <c r="G649" s="62"/>
      <c r="I649" s="86" t="e">
        <f t="shared" si="33"/>
        <v>#DIV/0!</v>
      </c>
      <c r="J649" s="87" t="e">
        <f t="shared" si="33"/>
        <v>#DIV/0!</v>
      </c>
      <c r="K649" s="87" t="e">
        <f t="shared" si="33"/>
        <v>#DIV/0!</v>
      </c>
      <c r="L649" s="87" t="e">
        <f t="shared" si="33"/>
        <v>#DIV/0!</v>
      </c>
      <c r="M649" s="88" t="e">
        <f t="shared" si="33"/>
        <v>#DIV/0!</v>
      </c>
      <c r="O649" s="61" t="str">
        <f t="shared" si="34"/>
        <v>זכרון יעקב</v>
      </c>
      <c r="P649" s="61" t="str">
        <f t="shared" si="35"/>
        <v>נצרת-עילית</v>
      </c>
    </row>
    <row r="650" spans="1:16" x14ac:dyDescent="0.3">
      <c r="A650" s="61">
        <v>25</v>
      </c>
      <c r="B650" s="61">
        <v>21</v>
      </c>
      <c r="C650" s="60"/>
      <c r="G650" s="62"/>
      <c r="I650" s="86" t="e">
        <f t="shared" si="33"/>
        <v>#DIV/0!</v>
      </c>
      <c r="J650" s="87" t="e">
        <f t="shared" si="33"/>
        <v>#DIV/0!</v>
      </c>
      <c r="K650" s="87" t="e">
        <f t="shared" si="33"/>
        <v>#DIV/0!</v>
      </c>
      <c r="L650" s="87" t="e">
        <f t="shared" si="33"/>
        <v>#DIV/0!</v>
      </c>
      <c r="M650" s="88" t="e">
        <f t="shared" si="33"/>
        <v>#DIV/0!</v>
      </c>
      <c r="O650" s="61" t="str">
        <f t="shared" si="34"/>
        <v>זכרון יעקב</v>
      </c>
      <c r="P650" s="61" t="str">
        <f t="shared" si="35"/>
        <v>מגדל העמק</v>
      </c>
    </row>
    <row r="651" spans="1:16" x14ac:dyDescent="0.3">
      <c r="A651" s="61">
        <v>25</v>
      </c>
      <c r="B651" s="61">
        <v>22</v>
      </c>
      <c r="C651" s="60"/>
      <c r="G651" s="62"/>
      <c r="I651" s="86" t="e">
        <f t="shared" si="33"/>
        <v>#DIV/0!</v>
      </c>
      <c r="J651" s="87" t="e">
        <f t="shared" si="33"/>
        <v>#DIV/0!</v>
      </c>
      <c r="K651" s="87" t="e">
        <f t="shared" si="33"/>
        <v>#DIV/0!</v>
      </c>
      <c r="L651" s="87" t="e">
        <f t="shared" si="33"/>
        <v>#DIV/0!</v>
      </c>
      <c r="M651" s="88" t="e">
        <f t="shared" si="33"/>
        <v>#DIV/0!</v>
      </c>
      <c r="O651" s="61" t="str">
        <f t="shared" si="34"/>
        <v>זכרון יעקב</v>
      </c>
      <c r="P651" s="61" t="str">
        <f t="shared" si="35"/>
        <v>יוקנעם</v>
      </c>
    </row>
    <row r="652" spans="1:16" x14ac:dyDescent="0.3">
      <c r="A652" s="61">
        <v>25</v>
      </c>
      <c r="B652" s="61">
        <v>23</v>
      </c>
      <c r="C652" s="60"/>
      <c r="G652" s="62"/>
      <c r="I652" s="86" t="e">
        <f t="shared" si="33"/>
        <v>#DIV/0!</v>
      </c>
      <c r="J652" s="87" t="e">
        <f t="shared" si="33"/>
        <v>#DIV/0!</v>
      </c>
      <c r="K652" s="87" t="e">
        <f t="shared" si="33"/>
        <v>#DIV/0!</v>
      </c>
      <c r="L652" s="87" t="e">
        <f t="shared" si="33"/>
        <v>#DIV/0!</v>
      </c>
      <c r="M652" s="88" t="e">
        <f t="shared" si="33"/>
        <v>#DIV/0!</v>
      </c>
      <c r="O652" s="61" t="str">
        <f t="shared" si="34"/>
        <v>זכרון יעקב</v>
      </c>
      <c r="P652" s="61" t="str">
        <f t="shared" si="35"/>
        <v>דלית אל כרמל</v>
      </c>
    </row>
    <row r="653" spans="1:16" x14ac:dyDescent="0.3">
      <c r="A653" s="61">
        <v>25</v>
      </c>
      <c r="B653" s="61">
        <v>24</v>
      </c>
      <c r="C653" s="60"/>
      <c r="G653" s="62"/>
      <c r="I653" s="86" t="e">
        <f t="shared" si="33"/>
        <v>#DIV/0!</v>
      </c>
      <c r="J653" s="87" t="e">
        <f t="shared" si="33"/>
        <v>#DIV/0!</v>
      </c>
      <c r="K653" s="87" t="e">
        <f t="shared" si="33"/>
        <v>#DIV/0!</v>
      </c>
      <c r="L653" s="87" t="e">
        <f t="shared" si="33"/>
        <v>#DIV/0!</v>
      </c>
      <c r="M653" s="88" t="e">
        <f t="shared" si="33"/>
        <v>#DIV/0!</v>
      </c>
      <c r="O653" s="61" t="str">
        <f t="shared" si="34"/>
        <v>זכרון יעקב</v>
      </c>
      <c r="P653" s="61" t="str">
        <f t="shared" si="35"/>
        <v>חוף הכרמל</v>
      </c>
    </row>
    <row r="654" spans="1:16" x14ac:dyDescent="0.3">
      <c r="A654" s="61">
        <v>25</v>
      </c>
      <c r="B654" s="61">
        <v>25</v>
      </c>
      <c r="C654" s="60"/>
      <c r="G654" s="62"/>
      <c r="I654" s="86" t="e">
        <f t="shared" si="33"/>
        <v>#DIV/0!</v>
      </c>
      <c r="J654" s="87" t="e">
        <f t="shared" si="33"/>
        <v>#DIV/0!</v>
      </c>
      <c r="K654" s="87" t="e">
        <f t="shared" si="33"/>
        <v>#DIV/0!</v>
      </c>
      <c r="L654" s="87" t="e">
        <f t="shared" si="33"/>
        <v>#DIV/0!</v>
      </c>
      <c r="M654" s="88" t="e">
        <f t="shared" si="33"/>
        <v>#DIV/0!</v>
      </c>
      <c r="O654" s="61" t="str">
        <f t="shared" si="34"/>
        <v>זכרון יעקב</v>
      </c>
      <c r="P654" s="61" t="str">
        <f t="shared" si="35"/>
        <v>זכרון יעקב</v>
      </c>
    </row>
    <row r="655" spans="1:16" x14ac:dyDescent="0.3">
      <c r="A655" s="61">
        <v>25</v>
      </c>
      <c r="B655" s="61">
        <v>30</v>
      </c>
      <c r="C655" s="60"/>
      <c r="G655" s="62"/>
      <c r="I655" s="86" t="e">
        <f t="shared" si="33"/>
        <v>#DIV/0!</v>
      </c>
      <c r="J655" s="87" t="e">
        <f t="shared" si="33"/>
        <v>#DIV/0!</v>
      </c>
      <c r="K655" s="87" t="e">
        <f t="shared" si="33"/>
        <v>#DIV/0!</v>
      </c>
      <c r="L655" s="87" t="e">
        <f t="shared" si="33"/>
        <v>#DIV/0!</v>
      </c>
      <c r="M655" s="88" t="e">
        <f t="shared" si="33"/>
        <v>#DIV/0!</v>
      </c>
      <c r="O655" s="61" t="str">
        <f t="shared" si="34"/>
        <v>זכרון יעקב</v>
      </c>
      <c r="P655" s="61" t="str">
        <f t="shared" si="35"/>
        <v>סכנין</v>
      </c>
    </row>
    <row r="656" spans="1:16" x14ac:dyDescent="0.3">
      <c r="A656" s="61">
        <v>30</v>
      </c>
      <c r="B656" s="61">
        <v>1</v>
      </c>
      <c r="C656" s="60"/>
      <c r="G656" s="62"/>
      <c r="I656" s="86" t="e">
        <f t="shared" si="33"/>
        <v>#DIV/0!</v>
      </c>
      <c r="J656" s="87" t="e">
        <f t="shared" si="33"/>
        <v>#DIV/0!</v>
      </c>
      <c r="K656" s="87" t="e">
        <f t="shared" si="33"/>
        <v>#DIV/0!</v>
      </c>
      <c r="L656" s="87" t="e">
        <f t="shared" si="33"/>
        <v>#DIV/0!</v>
      </c>
      <c r="M656" s="88" t="e">
        <f t="shared" si="33"/>
        <v>#DIV/0!</v>
      </c>
      <c r="O656" s="61" t="str">
        <f t="shared" si="34"/>
        <v>סכנין</v>
      </c>
      <c r="P656" s="61" t="str">
        <f t="shared" si="35"/>
        <v>נהריה</v>
      </c>
    </row>
    <row r="657" spans="1:16" x14ac:dyDescent="0.3">
      <c r="A657" s="61">
        <v>30</v>
      </c>
      <c r="B657" s="61">
        <v>2</v>
      </c>
      <c r="C657" s="60"/>
      <c r="G657" s="62"/>
      <c r="I657" s="86" t="e">
        <f t="shared" si="33"/>
        <v>#DIV/0!</v>
      </c>
      <c r="J657" s="87" t="e">
        <f t="shared" si="33"/>
        <v>#DIV/0!</v>
      </c>
      <c r="K657" s="87" t="e">
        <f t="shared" si="33"/>
        <v>#DIV/0!</v>
      </c>
      <c r="L657" s="87" t="e">
        <f t="shared" si="33"/>
        <v>#DIV/0!</v>
      </c>
      <c r="M657" s="88" t="e">
        <f t="shared" si="33"/>
        <v>#DIV/0!</v>
      </c>
      <c r="O657" s="61" t="str">
        <f t="shared" si="34"/>
        <v>סכנין</v>
      </c>
      <c r="P657" s="61" t="str">
        <f t="shared" si="35"/>
        <v>עכו</v>
      </c>
    </row>
    <row r="658" spans="1:16" x14ac:dyDescent="0.3">
      <c r="A658" s="61">
        <v>30</v>
      </c>
      <c r="B658" s="61">
        <v>3</v>
      </c>
      <c r="C658" s="60"/>
      <c r="G658" s="62"/>
      <c r="I658" s="86" t="e">
        <f t="shared" si="33"/>
        <v>#DIV/0!</v>
      </c>
      <c r="J658" s="87" t="e">
        <f t="shared" si="33"/>
        <v>#DIV/0!</v>
      </c>
      <c r="K658" s="87" t="e">
        <f t="shared" si="33"/>
        <v>#DIV/0!</v>
      </c>
      <c r="L658" s="87" t="e">
        <f t="shared" si="33"/>
        <v>#DIV/0!</v>
      </c>
      <c r="M658" s="88" t="e">
        <f t="shared" si="33"/>
        <v>#DIV/0!</v>
      </c>
      <c r="O658" s="61" t="str">
        <f t="shared" si="34"/>
        <v>סכנין</v>
      </c>
      <c r="P658" s="61" t="str">
        <f t="shared" si="35"/>
        <v>כרמיאל</v>
      </c>
    </row>
    <row r="659" spans="1:16" x14ac:dyDescent="0.3">
      <c r="A659" s="61">
        <v>30</v>
      </c>
      <c r="B659" s="61">
        <v>4</v>
      </c>
      <c r="C659" s="60"/>
      <c r="G659" s="62"/>
      <c r="I659" s="86" t="e">
        <f t="shared" si="33"/>
        <v>#DIV/0!</v>
      </c>
      <c r="J659" s="87" t="e">
        <f t="shared" si="33"/>
        <v>#DIV/0!</v>
      </c>
      <c r="K659" s="87" t="e">
        <f t="shared" si="33"/>
        <v>#DIV/0!</v>
      </c>
      <c r="L659" s="87" t="e">
        <f t="shared" si="33"/>
        <v>#DIV/0!</v>
      </c>
      <c r="M659" s="88" t="e">
        <f t="shared" si="33"/>
        <v>#DIV/0!</v>
      </c>
      <c r="O659" s="61" t="str">
        <f t="shared" si="34"/>
        <v>סכנין</v>
      </c>
      <c r="P659" s="61" t="str">
        <f t="shared" si="35"/>
        <v>שפרעם</v>
      </c>
    </row>
    <row r="660" spans="1:16" x14ac:dyDescent="0.3">
      <c r="A660" s="61">
        <v>30</v>
      </c>
      <c r="B660" s="61">
        <v>5</v>
      </c>
      <c r="C660" s="60"/>
      <c r="G660" s="62"/>
      <c r="I660" s="86" t="e">
        <f t="shared" si="33"/>
        <v>#DIV/0!</v>
      </c>
      <c r="J660" s="87" t="e">
        <f t="shared" si="33"/>
        <v>#DIV/0!</v>
      </c>
      <c r="K660" s="87" t="e">
        <f t="shared" si="33"/>
        <v>#DIV/0!</v>
      </c>
      <c r="L660" s="87" t="e">
        <f t="shared" si="33"/>
        <v>#DIV/0!</v>
      </c>
      <c r="M660" s="88" t="e">
        <f t="shared" si="33"/>
        <v>#DIV/0!</v>
      </c>
      <c r="O660" s="61" t="str">
        <f t="shared" si="34"/>
        <v>סכנין</v>
      </c>
      <c r="P660" s="61" t="str">
        <f t="shared" si="35"/>
        <v>קרית ים</v>
      </c>
    </row>
    <row r="661" spans="1:16" x14ac:dyDescent="0.3">
      <c r="A661" s="61">
        <v>30</v>
      </c>
      <c r="B661" s="61">
        <v>6</v>
      </c>
      <c r="C661" s="60"/>
      <c r="G661" s="62"/>
      <c r="I661" s="86" t="e">
        <f t="shared" si="33"/>
        <v>#DIV/0!</v>
      </c>
      <c r="J661" s="87" t="e">
        <f t="shared" si="33"/>
        <v>#DIV/0!</v>
      </c>
      <c r="K661" s="87" t="e">
        <f t="shared" si="33"/>
        <v>#DIV/0!</v>
      </c>
      <c r="L661" s="87" t="e">
        <f t="shared" si="33"/>
        <v>#DIV/0!</v>
      </c>
      <c r="M661" s="88" t="e">
        <f t="shared" si="33"/>
        <v>#DIV/0!</v>
      </c>
      <c r="O661" s="61" t="str">
        <f t="shared" si="34"/>
        <v>סכנין</v>
      </c>
      <c r="P661" s="61" t="str">
        <f t="shared" si="35"/>
        <v>קרית מוצקין</v>
      </c>
    </row>
    <row r="662" spans="1:16" x14ac:dyDescent="0.3">
      <c r="A662" s="61">
        <v>30</v>
      </c>
      <c r="B662" s="61">
        <v>7</v>
      </c>
      <c r="C662" s="60"/>
      <c r="G662" s="62"/>
      <c r="I662" s="86" t="e">
        <f t="shared" si="33"/>
        <v>#DIV/0!</v>
      </c>
      <c r="J662" s="87" t="e">
        <f t="shared" si="33"/>
        <v>#DIV/0!</v>
      </c>
      <c r="K662" s="87" t="e">
        <f t="shared" si="33"/>
        <v>#DIV/0!</v>
      </c>
      <c r="L662" s="87" t="e">
        <f t="shared" si="33"/>
        <v>#DIV/0!</v>
      </c>
      <c r="M662" s="88" t="e">
        <f t="shared" si="33"/>
        <v>#DIV/0!</v>
      </c>
      <c r="O662" s="61" t="str">
        <f t="shared" si="34"/>
        <v>סכנין</v>
      </c>
      <c r="P662" s="61" t="str">
        <f t="shared" si="35"/>
        <v>קרית ביאליק</v>
      </c>
    </row>
    <row r="663" spans="1:16" x14ac:dyDescent="0.3">
      <c r="A663" s="61">
        <v>30</v>
      </c>
      <c r="B663" s="61">
        <v>8</v>
      </c>
      <c r="C663" s="60"/>
      <c r="G663" s="62"/>
      <c r="I663" s="86" t="e">
        <f t="shared" si="33"/>
        <v>#DIV/0!</v>
      </c>
      <c r="J663" s="87" t="e">
        <f t="shared" si="33"/>
        <v>#DIV/0!</v>
      </c>
      <c r="K663" s="87" t="e">
        <f t="shared" si="33"/>
        <v>#DIV/0!</v>
      </c>
      <c r="L663" s="87" t="e">
        <f t="shared" si="33"/>
        <v>#DIV/0!</v>
      </c>
      <c r="M663" s="88" t="e">
        <f t="shared" si="33"/>
        <v>#DIV/0!</v>
      </c>
      <c r="O663" s="61" t="str">
        <f t="shared" si="34"/>
        <v>סכנין</v>
      </c>
      <c r="P663" s="61" t="str">
        <f t="shared" si="35"/>
        <v>קרית חיים</v>
      </c>
    </row>
    <row r="664" spans="1:16" x14ac:dyDescent="0.3">
      <c r="A664" s="61">
        <v>30</v>
      </c>
      <c r="B664" s="61">
        <v>9</v>
      </c>
      <c r="C664" s="60"/>
      <c r="G664" s="62"/>
      <c r="I664" s="86" t="e">
        <f t="shared" si="33"/>
        <v>#DIV/0!</v>
      </c>
      <c r="J664" s="87" t="e">
        <f t="shared" si="33"/>
        <v>#DIV/0!</v>
      </c>
      <c r="K664" s="87" t="e">
        <f t="shared" si="33"/>
        <v>#DIV/0!</v>
      </c>
      <c r="L664" s="87" t="e">
        <f t="shared" si="33"/>
        <v>#DIV/0!</v>
      </c>
      <c r="M664" s="88" t="e">
        <f t="shared" si="33"/>
        <v>#DIV/0!</v>
      </c>
      <c r="O664" s="61" t="str">
        <f t="shared" si="34"/>
        <v>סכנין</v>
      </c>
      <c r="P664" s="61" t="str">
        <f t="shared" si="35"/>
        <v>קרית אתא</v>
      </c>
    </row>
    <row r="665" spans="1:16" x14ac:dyDescent="0.3">
      <c r="A665" s="61">
        <v>30</v>
      </c>
      <c r="B665" s="61">
        <v>10</v>
      </c>
      <c r="C665" s="60"/>
      <c r="G665" s="62"/>
      <c r="I665" s="86" t="e">
        <f t="shared" si="33"/>
        <v>#DIV/0!</v>
      </c>
      <c r="J665" s="87" t="e">
        <f t="shared" si="33"/>
        <v>#DIV/0!</v>
      </c>
      <c r="K665" s="87" t="e">
        <f t="shared" si="33"/>
        <v>#DIV/0!</v>
      </c>
      <c r="L665" s="87" t="e">
        <f t="shared" si="33"/>
        <v>#DIV/0!</v>
      </c>
      <c r="M665" s="88" t="e">
        <f t="shared" si="33"/>
        <v>#DIV/0!</v>
      </c>
      <c r="O665" s="61" t="str">
        <f t="shared" si="34"/>
        <v>סכנין</v>
      </c>
      <c r="P665" s="61" t="str">
        <f t="shared" si="35"/>
        <v>כפר מנדא</v>
      </c>
    </row>
    <row r="666" spans="1:16" x14ac:dyDescent="0.3">
      <c r="A666" s="61">
        <v>30</v>
      </c>
      <c r="B666" s="61">
        <v>11</v>
      </c>
      <c r="C666" s="60"/>
      <c r="G666" s="62"/>
      <c r="I666" s="86" t="e">
        <f t="shared" si="33"/>
        <v>#DIV/0!</v>
      </c>
      <c r="J666" s="87" t="e">
        <f t="shared" si="33"/>
        <v>#DIV/0!</v>
      </c>
      <c r="K666" s="87" t="e">
        <f t="shared" si="33"/>
        <v>#DIV/0!</v>
      </c>
      <c r="L666" s="87" t="e">
        <f t="shared" si="33"/>
        <v>#DIV/0!</v>
      </c>
      <c r="M666" s="88" t="e">
        <f t="shared" si="33"/>
        <v>#DIV/0!</v>
      </c>
      <c r="O666" s="61" t="str">
        <f t="shared" si="34"/>
        <v>סכנין</v>
      </c>
      <c r="P666" s="61" t="str">
        <f t="shared" si="35"/>
        <v>זבולון</v>
      </c>
    </row>
    <row r="667" spans="1:16" x14ac:dyDescent="0.3">
      <c r="A667" s="61">
        <v>30</v>
      </c>
      <c r="B667" s="61">
        <v>12</v>
      </c>
      <c r="C667" s="60"/>
      <c r="G667" s="62"/>
      <c r="I667" s="86" t="e">
        <f t="shared" si="33"/>
        <v>#DIV/0!</v>
      </c>
      <c r="J667" s="87" t="e">
        <f t="shared" si="33"/>
        <v>#DIV/0!</v>
      </c>
      <c r="K667" s="87" t="e">
        <f t="shared" si="33"/>
        <v>#DIV/0!</v>
      </c>
      <c r="L667" s="87" t="e">
        <f t="shared" si="33"/>
        <v>#DIV/0!</v>
      </c>
      <c r="M667" s="88" t="e">
        <f t="shared" si="33"/>
        <v>#DIV/0!</v>
      </c>
      <c r="O667" s="61" t="str">
        <f t="shared" si="34"/>
        <v>סכנין</v>
      </c>
      <c r="P667" s="61" t="str">
        <f t="shared" si="35"/>
        <v>חיפה מפרץ</v>
      </c>
    </row>
    <row r="668" spans="1:16" x14ac:dyDescent="0.3">
      <c r="A668" s="61">
        <v>30</v>
      </c>
      <c r="B668" s="61">
        <v>13</v>
      </c>
      <c r="C668" s="60"/>
      <c r="G668" s="62"/>
      <c r="I668" s="86" t="e">
        <f t="shared" si="33"/>
        <v>#DIV/0!</v>
      </c>
      <c r="J668" s="87" t="e">
        <f t="shared" si="33"/>
        <v>#DIV/0!</v>
      </c>
      <c r="K668" s="87" t="e">
        <f t="shared" si="33"/>
        <v>#DIV/0!</v>
      </c>
      <c r="L668" s="87" t="e">
        <f t="shared" si="33"/>
        <v>#DIV/0!</v>
      </c>
      <c r="M668" s="88" t="e">
        <f t="shared" si="33"/>
        <v>#DIV/0!</v>
      </c>
      <c r="O668" s="61" t="str">
        <f t="shared" si="34"/>
        <v>סכנין</v>
      </c>
      <c r="P668" s="61" t="str">
        <f t="shared" si="35"/>
        <v>חיפה עיר תחתית</v>
      </c>
    </row>
    <row r="669" spans="1:16" x14ac:dyDescent="0.3">
      <c r="A669" s="61">
        <v>30</v>
      </c>
      <c r="B669" s="61">
        <v>14</v>
      </c>
      <c r="C669" s="60"/>
      <c r="G669" s="62"/>
      <c r="I669" s="86" t="e">
        <f t="shared" si="33"/>
        <v>#DIV/0!</v>
      </c>
      <c r="J669" s="87" t="e">
        <f t="shared" si="33"/>
        <v>#DIV/0!</v>
      </c>
      <c r="K669" s="87" t="e">
        <f t="shared" si="33"/>
        <v>#DIV/0!</v>
      </c>
      <c r="L669" s="87" t="e">
        <f t="shared" si="33"/>
        <v>#DIV/0!</v>
      </c>
      <c r="M669" s="88" t="e">
        <f t="shared" si="33"/>
        <v>#DIV/0!</v>
      </c>
      <c r="O669" s="61" t="str">
        <f t="shared" si="34"/>
        <v>סכנין</v>
      </c>
      <c r="P669" s="61" t="str">
        <f t="shared" si="35"/>
        <v>חיפה הדר-כרמל</v>
      </c>
    </row>
    <row r="670" spans="1:16" x14ac:dyDescent="0.3">
      <c r="A670" s="61">
        <v>30</v>
      </c>
      <c r="B670" s="61">
        <v>15</v>
      </c>
      <c r="C670" s="60"/>
      <c r="G670" s="62"/>
      <c r="I670" s="86" t="e">
        <f t="shared" si="33"/>
        <v>#DIV/0!</v>
      </c>
      <c r="J670" s="87" t="e">
        <f t="shared" si="33"/>
        <v>#DIV/0!</v>
      </c>
      <c r="K670" s="87" t="e">
        <f t="shared" si="33"/>
        <v>#DIV/0!</v>
      </c>
      <c r="L670" s="87" t="e">
        <f t="shared" si="33"/>
        <v>#DIV/0!</v>
      </c>
      <c r="M670" s="88" t="e">
        <f t="shared" si="33"/>
        <v>#DIV/0!</v>
      </c>
      <c r="O670" s="61" t="str">
        <f t="shared" si="34"/>
        <v>סכנין</v>
      </c>
      <c r="P670" s="61" t="str">
        <f t="shared" si="35"/>
        <v>חיפה מערב</v>
      </c>
    </row>
    <row r="671" spans="1:16" x14ac:dyDescent="0.3">
      <c r="A671" s="61">
        <v>30</v>
      </c>
      <c r="B671" s="61">
        <v>16</v>
      </c>
      <c r="C671" s="60"/>
      <c r="G671" s="62"/>
      <c r="I671" s="86" t="e">
        <f t="shared" si="33"/>
        <v>#DIV/0!</v>
      </c>
      <c r="J671" s="87" t="e">
        <f t="shared" si="33"/>
        <v>#DIV/0!</v>
      </c>
      <c r="K671" s="87" t="e">
        <f t="shared" si="33"/>
        <v>#DIV/0!</v>
      </c>
      <c r="L671" s="87" t="e">
        <f t="shared" si="33"/>
        <v>#DIV/0!</v>
      </c>
      <c r="M671" s="88" t="e">
        <f t="shared" si="33"/>
        <v>#DIV/0!</v>
      </c>
      <c r="O671" s="61" t="str">
        <f t="shared" si="34"/>
        <v>סכנין</v>
      </c>
      <c r="P671" s="61" t="str">
        <f t="shared" si="35"/>
        <v>חיפה כרמל</v>
      </c>
    </row>
    <row r="672" spans="1:16" x14ac:dyDescent="0.3">
      <c r="A672" s="61">
        <v>30</v>
      </c>
      <c r="B672" s="61">
        <v>17</v>
      </c>
      <c r="C672" s="60"/>
      <c r="G672" s="62"/>
      <c r="I672" s="86" t="e">
        <f t="shared" si="33"/>
        <v>#DIV/0!</v>
      </c>
      <c r="J672" s="87" t="e">
        <f t="shared" si="33"/>
        <v>#DIV/0!</v>
      </c>
      <c r="K672" s="87" t="e">
        <f t="shared" si="33"/>
        <v>#DIV/0!</v>
      </c>
      <c r="L672" s="87" t="e">
        <f t="shared" si="33"/>
        <v>#DIV/0!</v>
      </c>
      <c r="M672" s="88" t="e">
        <f t="shared" si="33"/>
        <v>#DIV/0!</v>
      </c>
      <c r="O672" s="61" t="str">
        <f t="shared" si="34"/>
        <v>סכנין</v>
      </c>
      <c r="P672" s="61" t="str">
        <f t="shared" si="35"/>
        <v>חיפה נווה שאנן</v>
      </c>
    </row>
    <row r="673" spans="1:16" x14ac:dyDescent="0.3">
      <c r="A673" s="61">
        <v>30</v>
      </c>
      <c r="B673" s="61">
        <v>18</v>
      </c>
      <c r="C673" s="60"/>
      <c r="G673" s="62"/>
      <c r="I673" s="86" t="e">
        <f t="shared" si="33"/>
        <v>#DIV/0!</v>
      </c>
      <c r="J673" s="87" t="e">
        <f t="shared" si="33"/>
        <v>#DIV/0!</v>
      </c>
      <c r="K673" s="87" t="e">
        <f t="shared" si="33"/>
        <v>#DIV/0!</v>
      </c>
      <c r="L673" s="87" t="e">
        <f t="shared" si="33"/>
        <v>#DIV/0!</v>
      </c>
      <c r="M673" s="88" t="e">
        <f t="shared" si="33"/>
        <v>#DIV/0!</v>
      </c>
      <c r="O673" s="61" t="str">
        <f t="shared" si="34"/>
        <v>סכנין</v>
      </c>
      <c r="P673" s="61" t="str">
        <f t="shared" si="35"/>
        <v>נשר</v>
      </c>
    </row>
    <row r="674" spans="1:16" x14ac:dyDescent="0.3">
      <c r="A674" s="61">
        <v>30</v>
      </c>
      <c r="B674" s="61">
        <v>19</v>
      </c>
      <c r="C674" s="60"/>
      <c r="G674" s="62"/>
      <c r="I674" s="86" t="e">
        <f t="shared" si="33"/>
        <v>#DIV/0!</v>
      </c>
      <c r="J674" s="87" t="e">
        <f t="shared" si="33"/>
        <v>#DIV/0!</v>
      </c>
      <c r="K674" s="87" t="e">
        <f t="shared" si="33"/>
        <v>#DIV/0!</v>
      </c>
      <c r="L674" s="87" t="e">
        <f t="shared" si="33"/>
        <v>#DIV/0!</v>
      </c>
      <c r="M674" s="88" t="e">
        <f t="shared" si="33"/>
        <v>#DIV/0!</v>
      </c>
      <c r="O674" s="61" t="str">
        <f t="shared" si="34"/>
        <v>סכנין</v>
      </c>
      <c r="P674" s="61" t="str">
        <f t="shared" si="35"/>
        <v>נצרת</v>
      </c>
    </row>
    <row r="675" spans="1:16" x14ac:dyDescent="0.3">
      <c r="A675" s="61">
        <v>30</v>
      </c>
      <c r="B675" s="61">
        <v>20</v>
      </c>
      <c r="C675" s="60"/>
      <c r="G675" s="62"/>
      <c r="I675" s="86" t="e">
        <f t="shared" si="33"/>
        <v>#DIV/0!</v>
      </c>
      <c r="J675" s="87" t="e">
        <f t="shared" si="33"/>
        <v>#DIV/0!</v>
      </c>
      <c r="K675" s="87" t="e">
        <f t="shared" si="33"/>
        <v>#DIV/0!</v>
      </c>
      <c r="L675" s="87" t="e">
        <f t="shared" si="33"/>
        <v>#DIV/0!</v>
      </c>
      <c r="M675" s="88" t="e">
        <f t="shared" si="33"/>
        <v>#DIV/0!</v>
      </c>
      <c r="O675" s="61" t="str">
        <f t="shared" si="34"/>
        <v>סכנין</v>
      </c>
      <c r="P675" s="61" t="str">
        <f t="shared" si="35"/>
        <v>נצרת-עילית</v>
      </c>
    </row>
    <row r="676" spans="1:16" x14ac:dyDescent="0.3">
      <c r="A676" s="61">
        <v>30</v>
      </c>
      <c r="B676" s="61">
        <v>21</v>
      </c>
      <c r="C676" s="60"/>
      <c r="G676" s="62"/>
      <c r="I676" s="86" t="e">
        <f t="shared" si="33"/>
        <v>#DIV/0!</v>
      </c>
      <c r="J676" s="87" t="e">
        <f t="shared" si="33"/>
        <v>#DIV/0!</v>
      </c>
      <c r="K676" s="87" t="e">
        <f t="shared" si="33"/>
        <v>#DIV/0!</v>
      </c>
      <c r="L676" s="87" t="e">
        <f t="shared" si="33"/>
        <v>#DIV/0!</v>
      </c>
      <c r="M676" s="88" t="e">
        <f t="shared" si="33"/>
        <v>#DIV/0!</v>
      </c>
      <c r="O676" s="61" t="str">
        <f t="shared" si="34"/>
        <v>סכנין</v>
      </c>
      <c r="P676" s="61" t="str">
        <f t="shared" si="35"/>
        <v>מגדל העמק</v>
      </c>
    </row>
    <row r="677" spans="1:16" x14ac:dyDescent="0.3">
      <c r="A677" s="61">
        <v>30</v>
      </c>
      <c r="B677" s="61">
        <v>22</v>
      </c>
      <c r="C677" s="60"/>
      <c r="G677" s="62"/>
      <c r="I677" s="86" t="e">
        <f t="shared" si="33"/>
        <v>#DIV/0!</v>
      </c>
      <c r="J677" s="87" t="e">
        <f t="shared" si="33"/>
        <v>#DIV/0!</v>
      </c>
      <c r="K677" s="87" t="e">
        <f t="shared" si="33"/>
        <v>#DIV/0!</v>
      </c>
      <c r="L677" s="87" t="e">
        <f t="shared" si="33"/>
        <v>#DIV/0!</v>
      </c>
      <c r="M677" s="88" t="e">
        <f t="shared" si="33"/>
        <v>#DIV/0!</v>
      </c>
      <c r="O677" s="61" t="str">
        <f t="shared" si="34"/>
        <v>סכנין</v>
      </c>
      <c r="P677" s="61" t="str">
        <f t="shared" si="35"/>
        <v>יוקנעם</v>
      </c>
    </row>
    <row r="678" spans="1:16" x14ac:dyDescent="0.3">
      <c r="A678" s="61">
        <v>30</v>
      </c>
      <c r="B678" s="61">
        <v>23</v>
      </c>
      <c r="C678" s="60"/>
      <c r="G678" s="62"/>
      <c r="I678" s="86" t="e">
        <f t="shared" si="33"/>
        <v>#DIV/0!</v>
      </c>
      <c r="J678" s="87" t="e">
        <f t="shared" si="33"/>
        <v>#DIV/0!</v>
      </c>
      <c r="K678" s="87" t="e">
        <f t="shared" si="33"/>
        <v>#DIV/0!</v>
      </c>
      <c r="L678" s="87" t="e">
        <f t="shared" si="33"/>
        <v>#DIV/0!</v>
      </c>
      <c r="M678" s="88" t="e">
        <f t="shared" si="33"/>
        <v>#DIV/0!</v>
      </c>
      <c r="O678" s="61" t="str">
        <f t="shared" si="34"/>
        <v>סכנין</v>
      </c>
      <c r="P678" s="61" t="str">
        <f t="shared" si="35"/>
        <v>דלית אל כרמל</v>
      </c>
    </row>
    <row r="679" spans="1:16" x14ac:dyDescent="0.3">
      <c r="A679" s="61">
        <v>30</v>
      </c>
      <c r="B679" s="61">
        <v>24</v>
      </c>
      <c r="C679" s="60"/>
      <c r="G679" s="62"/>
      <c r="I679" s="86" t="e">
        <f t="shared" si="33"/>
        <v>#DIV/0!</v>
      </c>
      <c r="J679" s="87" t="e">
        <f t="shared" si="33"/>
        <v>#DIV/0!</v>
      </c>
      <c r="K679" s="87" t="e">
        <f t="shared" si="33"/>
        <v>#DIV/0!</v>
      </c>
      <c r="L679" s="87" t="e">
        <f t="shared" si="33"/>
        <v>#DIV/0!</v>
      </c>
      <c r="M679" s="88" t="e">
        <f t="shared" si="33"/>
        <v>#DIV/0!</v>
      </c>
      <c r="O679" s="61" t="str">
        <f t="shared" si="34"/>
        <v>סכנין</v>
      </c>
      <c r="P679" s="61" t="str">
        <f t="shared" si="35"/>
        <v>חוף הכרמל</v>
      </c>
    </row>
    <row r="680" spans="1:16" x14ac:dyDescent="0.3">
      <c r="A680" s="61">
        <v>30</v>
      </c>
      <c r="B680" s="61">
        <v>25</v>
      </c>
      <c r="C680" s="60"/>
      <c r="G680" s="62"/>
      <c r="I680" s="86" t="e">
        <f t="shared" si="33"/>
        <v>#DIV/0!</v>
      </c>
      <c r="J680" s="87" t="e">
        <f t="shared" si="33"/>
        <v>#DIV/0!</v>
      </c>
      <c r="K680" s="87" t="e">
        <f t="shared" si="33"/>
        <v>#DIV/0!</v>
      </c>
      <c r="L680" s="87" t="e">
        <f t="shared" si="33"/>
        <v>#DIV/0!</v>
      </c>
      <c r="M680" s="88" t="e">
        <f t="shared" si="33"/>
        <v>#DIV/0!</v>
      </c>
      <c r="O680" s="61" t="str">
        <f t="shared" si="34"/>
        <v>סכנין</v>
      </c>
      <c r="P680" s="61" t="str">
        <f t="shared" si="35"/>
        <v>זכרון יעקב</v>
      </c>
    </row>
    <row r="681" spans="1:16" x14ac:dyDescent="0.3">
      <c r="A681" s="61">
        <v>30</v>
      </c>
      <c r="B681" s="61">
        <v>30</v>
      </c>
      <c r="C681" s="83"/>
      <c r="D681" s="84"/>
      <c r="E681" s="84"/>
      <c r="F681" s="84"/>
      <c r="G681" s="85"/>
      <c r="I681" s="89" t="e">
        <f t="shared" si="33"/>
        <v>#DIV/0!</v>
      </c>
      <c r="J681" s="90" t="e">
        <f t="shared" si="33"/>
        <v>#DIV/0!</v>
      </c>
      <c r="K681" s="90" t="e">
        <f t="shared" si="33"/>
        <v>#DIV/0!</v>
      </c>
      <c r="L681" s="90" t="e">
        <f t="shared" si="33"/>
        <v>#DIV/0!</v>
      </c>
      <c r="M681" s="91" t="e">
        <f t="shared" si="33"/>
        <v>#DIV/0!</v>
      </c>
      <c r="O681" s="61" t="str">
        <f t="shared" si="34"/>
        <v>סכנין</v>
      </c>
      <c r="P681" s="61" t="str">
        <f t="shared" si="35"/>
        <v>סכנין</v>
      </c>
    </row>
    <row r="682" spans="1:16" x14ac:dyDescent="0.3">
      <c r="A682" s="153" t="s">
        <v>44</v>
      </c>
      <c r="B682" s="153"/>
      <c r="C682" s="92">
        <f>SUM(C6:C681)</f>
        <v>0</v>
      </c>
      <c r="D682" s="92">
        <f t="shared" ref="D682:G682" si="36">SUM(D6:D681)</f>
        <v>0</v>
      </c>
      <c r="E682" s="92">
        <f t="shared" si="36"/>
        <v>0</v>
      </c>
      <c r="F682" s="92">
        <f t="shared" si="36"/>
        <v>0</v>
      </c>
      <c r="G682" s="92">
        <f t="shared" si="36"/>
        <v>0</v>
      </c>
    </row>
    <row r="683" spans="1:16" x14ac:dyDescent="0.3">
      <c r="A683" s="153" t="s">
        <v>62</v>
      </c>
      <c r="B683" s="153"/>
      <c r="C683" s="93" t="e">
        <f>C682/SUM(C682:G682)</f>
        <v>#DIV/0!</v>
      </c>
      <c r="D683" s="93" t="e">
        <f>D682/SUM(C682:G682)</f>
        <v>#DIV/0!</v>
      </c>
      <c r="E683" s="93" t="e">
        <f>E682/SUM(C682:G682)</f>
        <v>#DIV/0!</v>
      </c>
      <c r="F683" s="93" t="e">
        <f>F682/SUM(C682:G682)</f>
        <v>#DIV/0!</v>
      </c>
      <c r="G683" s="93" t="e">
        <f>G682/SUM(C682:G682)</f>
        <v>#DIV/0!</v>
      </c>
    </row>
  </sheetData>
  <mergeCells count="10">
    <mergeCell ref="A682:B682"/>
    <mergeCell ref="A683:B683"/>
    <mergeCell ref="I2:M2"/>
    <mergeCell ref="A4:A5"/>
    <mergeCell ref="B4:B5"/>
    <mergeCell ref="C4:C5"/>
    <mergeCell ref="D4:D5"/>
    <mergeCell ref="E4:E5"/>
    <mergeCell ref="F4:F5"/>
    <mergeCell ref="G4:G5"/>
  </mergeCells>
  <hyperlinks>
    <hyperlink ref="A1" location="'Table Of Contents'!A1" display="Return to ToC" xr:uid="{00000000-0004-0000-0A00-00000000000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T683"/>
  <sheetViews>
    <sheetView tabSelected="1" workbookViewId="0">
      <pane xSplit="2" ySplit="5" topLeftCell="C6" activePane="bottomRight" state="frozen"/>
      <selection activeCell="D14" sqref="D14"/>
      <selection pane="topRight" activeCell="D14" sqref="D14"/>
      <selection pane="bottomLeft" activeCell="D14" sqref="D14"/>
      <selection pane="bottomRight" activeCell="E30" sqref="E30"/>
    </sheetView>
  </sheetViews>
  <sheetFormatPr defaultColWidth="9" defaultRowHeight="14.4" x14ac:dyDescent="0.3"/>
  <cols>
    <col min="1" max="1" width="8" style="61" customWidth="1"/>
    <col min="2" max="2" width="3" style="61" bestFit="1" customWidth="1"/>
    <col min="3" max="3" width="7.88671875" style="61" bestFit="1" customWidth="1"/>
    <col min="4" max="4" width="9.77734375" style="61" bestFit="1" customWidth="1"/>
    <col min="5" max="7" width="7.88671875" style="61" bestFit="1" customWidth="1"/>
    <col min="8" max="8" width="9" style="79"/>
    <col min="9" max="9" width="7.88671875" style="61" bestFit="1" customWidth="1"/>
    <col min="10" max="10" width="9.77734375" style="61" bestFit="1" customWidth="1"/>
    <col min="11" max="13" width="7.88671875" style="61" bestFit="1" customWidth="1"/>
    <col min="14" max="14" width="8" style="61" bestFit="1" customWidth="1"/>
    <col min="15" max="16384" width="9" style="61"/>
  </cols>
  <sheetData>
    <row r="1" spans="1:20" ht="27" thickBot="1" x14ac:dyDescent="0.35">
      <c r="A1" s="8" t="s">
        <v>2</v>
      </c>
      <c r="H1" s="61"/>
      <c r="I1" s="76"/>
    </row>
    <row r="2" spans="1:20" ht="21" x14ac:dyDescent="0.3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3"/>
      <c r="O2" s="77"/>
    </row>
    <row r="3" spans="1:20" ht="6.75" customHeight="1" x14ac:dyDescent="0.3">
      <c r="A3" s="78"/>
      <c r="H3" s="61"/>
      <c r="I3" s="78"/>
    </row>
    <row r="4" spans="1:20" ht="28.8" x14ac:dyDescent="0.3">
      <c r="A4" s="155" t="s">
        <v>54</v>
      </c>
      <c r="B4" s="152" t="s">
        <v>55</v>
      </c>
      <c r="C4" s="158" t="s">
        <v>56</v>
      </c>
      <c r="D4" s="160" t="s">
        <v>57</v>
      </c>
      <c r="E4" s="160" t="s">
        <v>58</v>
      </c>
      <c r="F4" s="160" t="s">
        <v>59</v>
      </c>
      <c r="G4" s="162" t="s">
        <v>60</v>
      </c>
      <c r="I4" s="80" t="s">
        <v>56</v>
      </c>
      <c r="J4" s="81" t="s">
        <v>57</v>
      </c>
      <c r="K4" s="81" t="s">
        <v>58</v>
      </c>
      <c r="L4" s="81" t="s">
        <v>59</v>
      </c>
      <c r="M4" s="82" t="s">
        <v>60</v>
      </c>
    </row>
    <row r="5" spans="1:20" x14ac:dyDescent="0.3">
      <c r="A5" s="156"/>
      <c r="B5" s="157"/>
      <c r="C5" s="159"/>
      <c r="D5" s="161"/>
      <c r="E5" s="161"/>
      <c r="F5" s="161"/>
      <c r="G5" s="157"/>
      <c r="I5" s="83" t="s">
        <v>61</v>
      </c>
      <c r="J5" s="84" t="s">
        <v>61</v>
      </c>
      <c r="K5" s="84" t="s">
        <v>61</v>
      </c>
      <c r="L5" s="84" t="s">
        <v>61</v>
      </c>
      <c r="M5" s="85" t="s">
        <v>61</v>
      </c>
      <c r="S5" s="119" t="s">
        <v>148</v>
      </c>
      <c r="T5" s="119" t="s">
        <v>149</v>
      </c>
    </row>
    <row r="6" spans="1:20" x14ac:dyDescent="0.3">
      <c r="A6" s="61">
        <v>1</v>
      </c>
      <c r="B6" s="61">
        <v>1</v>
      </c>
      <c r="C6" s="60"/>
      <c r="G6" s="62"/>
      <c r="I6" s="86" t="e">
        <f>C6/SUM($C6:$G6)</f>
        <v>#DIV/0!</v>
      </c>
      <c r="J6" s="87" t="e">
        <f t="shared" ref="J6:M21" si="0">D6/SUM($C6:$G6)</f>
        <v>#DIV/0!</v>
      </c>
      <c r="K6" s="87" t="e">
        <f t="shared" si="0"/>
        <v>#DIV/0!</v>
      </c>
      <c r="L6" s="87" t="e">
        <f t="shared" si="0"/>
        <v>#DIV/0!</v>
      </c>
      <c r="M6" s="88" t="e">
        <f t="shared" si="0"/>
        <v>#DIV/0!</v>
      </c>
      <c r="O6" s="121" t="s">
        <v>54</v>
      </c>
      <c r="P6" s="121" t="s">
        <v>55</v>
      </c>
      <c r="S6" s="119">
        <v>1</v>
      </c>
      <c r="T6" s="119" t="s">
        <v>150</v>
      </c>
    </row>
    <row r="7" spans="1:20" x14ac:dyDescent="0.3">
      <c r="A7" s="61">
        <v>1</v>
      </c>
      <c r="B7" s="61">
        <v>2</v>
      </c>
      <c r="C7" s="60"/>
      <c r="G7" s="62"/>
      <c r="I7" s="86" t="e">
        <f t="shared" ref="I7:M69" si="1">C7/SUM($C7:$G7)</f>
        <v>#DIV/0!</v>
      </c>
      <c r="J7" s="87" t="e">
        <f t="shared" si="0"/>
        <v>#DIV/0!</v>
      </c>
      <c r="K7" s="87" t="e">
        <f t="shared" si="0"/>
        <v>#DIV/0!</v>
      </c>
      <c r="L7" s="87" t="e">
        <f t="shared" si="0"/>
        <v>#DIV/0!</v>
      </c>
      <c r="M7" s="88" t="e">
        <f t="shared" si="0"/>
        <v>#DIV/0!</v>
      </c>
      <c r="O7" s="121" t="str">
        <f t="shared" ref="O7:P70" si="2">VLOOKUP(A7,$S$6:$T$31,2,0)</f>
        <v>נהריה</v>
      </c>
      <c r="P7" s="121" t="str">
        <f t="shared" si="2"/>
        <v>עכו</v>
      </c>
      <c r="S7" s="119">
        <v>2</v>
      </c>
      <c r="T7" s="119" t="s">
        <v>151</v>
      </c>
    </row>
    <row r="8" spans="1:20" x14ac:dyDescent="0.3">
      <c r="A8" s="61">
        <v>1</v>
      </c>
      <c r="B8" s="61">
        <v>3</v>
      </c>
      <c r="C8" s="60"/>
      <c r="G8" s="62"/>
      <c r="I8" s="86" t="e">
        <f t="shared" si="1"/>
        <v>#DIV/0!</v>
      </c>
      <c r="J8" s="87" t="e">
        <f t="shared" si="0"/>
        <v>#DIV/0!</v>
      </c>
      <c r="K8" s="87" t="e">
        <f t="shared" si="0"/>
        <v>#DIV/0!</v>
      </c>
      <c r="L8" s="87" t="e">
        <f t="shared" si="0"/>
        <v>#DIV/0!</v>
      </c>
      <c r="M8" s="88" t="e">
        <f t="shared" si="0"/>
        <v>#DIV/0!</v>
      </c>
      <c r="O8" s="121" t="str">
        <f t="shared" si="2"/>
        <v>נהריה</v>
      </c>
      <c r="P8" s="121" t="str">
        <f t="shared" si="2"/>
        <v>כרמיאל</v>
      </c>
      <c r="S8" s="119">
        <v>3</v>
      </c>
      <c r="T8" s="119" t="s">
        <v>152</v>
      </c>
    </row>
    <row r="9" spans="1:20" x14ac:dyDescent="0.3">
      <c r="A9" s="61">
        <v>1</v>
      </c>
      <c r="B9" s="61">
        <v>4</v>
      </c>
      <c r="C9" s="60"/>
      <c r="G9" s="62"/>
      <c r="I9" s="86" t="e">
        <f t="shared" si="1"/>
        <v>#DIV/0!</v>
      </c>
      <c r="J9" s="87" t="e">
        <f t="shared" si="0"/>
        <v>#DIV/0!</v>
      </c>
      <c r="K9" s="87" t="e">
        <f t="shared" si="0"/>
        <v>#DIV/0!</v>
      </c>
      <c r="L9" s="87" t="e">
        <f t="shared" si="0"/>
        <v>#DIV/0!</v>
      </c>
      <c r="M9" s="88" t="e">
        <f t="shared" si="0"/>
        <v>#DIV/0!</v>
      </c>
      <c r="O9" s="121" t="str">
        <f t="shared" si="2"/>
        <v>נהריה</v>
      </c>
      <c r="P9" s="121" t="str">
        <f t="shared" si="2"/>
        <v>שפרעם</v>
      </c>
      <c r="S9" s="119">
        <v>4</v>
      </c>
      <c r="T9" s="119" t="s">
        <v>153</v>
      </c>
    </row>
    <row r="10" spans="1:20" x14ac:dyDescent="0.3">
      <c r="A10" s="61">
        <v>1</v>
      </c>
      <c r="B10" s="61">
        <v>5</v>
      </c>
      <c r="C10" s="60"/>
      <c r="G10" s="62"/>
      <c r="I10" s="86" t="e">
        <f t="shared" si="1"/>
        <v>#DIV/0!</v>
      </c>
      <c r="J10" s="87" t="e">
        <f t="shared" si="0"/>
        <v>#DIV/0!</v>
      </c>
      <c r="K10" s="87" t="e">
        <f t="shared" si="0"/>
        <v>#DIV/0!</v>
      </c>
      <c r="L10" s="87" t="e">
        <f t="shared" si="0"/>
        <v>#DIV/0!</v>
      </c>
      <c r="M10" s="88" t="e">
        <f t="shared" si="0"/>
        <v>#DIV/0!</v>
      </c>
      <c r="O10" s="121" t="str">
        <f t="shared" si="2"/>
        <v>נהריה</v>
      </c>
      <c r="P10" s="121" t="str">
        <f t="shared" si="2"/>
        <v>קרית ים</v>
      </c>
      <c r="S10" s="119">
        <v>5</v>
      </c>
      <c r="T10" s="119" t="s">
        <v>154</v>
      </c>
    </row>
    <row r="11" spans="1:20" x14ac:dyDescent="0.3">
      <c r="A11" s="61">
        <v>1</v>
      </c>
      <c r="B11" s="61">
        <v>6</v>
      </c>
      <c r="C11" s="60"/>
      <c r="G11" s="62"/>
      <c r="I11" s="86" t="e">
        <f t="shared" si="1"/>
        <v>#DIV/0!</v>
      </c>
      <c r="J11" s="87" t="e">
        <f t="shared" si="0"/>
        <v>#DIV/0!</v>
      </c>
      <c r="K11" s="87" t="e">
        <f t="shared" si="0"/>
        <v>#DIV/0!</v>
      </c>
      <c r="L11" s="87" t="e">
        <f t="shared" si="0"/>
        <v>#DIV/0!</v>
      </c>
      <c r="M11" s="88" t="e">
        <f t="shared" si="0"/>
        <v>#DIV/0!</v>
      </c>
      <c r="O11" s="121" t="str">
        <f t="shared" si="2"/>
        <v>נהריה</v>
      </c>
      <c r="P11" s="121" t="str">
        <f t="shared" si="2"/>
        <v>קרית מוצקין</v>
      </c>
      <c r="S11" s="119">
        <v>6</v>
      </c>
      <c r="T11" s="119" t="s">
        <v>155</v>
      </c>
    </row>
    <row r="12" spans="1:20" x14ac:dyDescent="0.3">
      <c r="A12" s="61">
        <v>1</v>
      </c>
      <c r="B12" s="61">
        <v>7</v>
      </c>
      <c r="C12" s="60"/>
      <c r="G12" s="62"/>
      <c r="I12" s="86" t="e">
        <f t="shared" si="1"/>
        <v>#DIV/0!</v>
      </c>
      <c r="J12" s="87" t="e">
        <f t="shared" si="0"/>
        <v>#DIV/0!</v>
      </c>
      <c r="K12" s="87" t="e">
        <f t="shared" si="0"/>
        <v>#DIV/0!</v>
      </c>
      <c r="L12" s="87" t="e">
        <f t="shared" si="0"/>
        <v>#DIV/0!</v>
      </c>
      <c r="M12" s="88" t="e">
        <f t="shared" si="0"/>
        <v>#DIV/0!</v>
      </c>
      <c r="O12" s="121" t="str">
        <f t="shared" si="2"/>
        <v>נהריה</v>
      </c>
      <c r="P12" s="121" t="str">
        <f t="shared" si="2"/>
        <v>קרית ביאליק</v>
      </c>
      <c r="S12" s="119">
        <v>7</v>
      </c>
      <c r="T12" s="119" t="s">
        <v>156</v>
      </c>
    </row>
    <row r="13" spans="1:20" x14ac:dyDescent="0.3">
      <c r="A13" s="61">
        <v>1</v>
      </c>
      <c r="B13" s="61">
        <v>8</v>
      </c>
      <c r="C13" s="60"/>
      <c r="G13" s="62"/>
      <c r="I13" s="86" t="e">
        <f t="shared" si="1"/>
        <v>#DIV/0!</v>
      </c>
      <c r="J13" s="87" t="e">
        <f t="shared" si="0"/>
        <v>#DIV/0!</v>
      </c>
      <c r="K13" s="87" t="e">
        <f t="shared" si="0"/>
        <v>#DIV/0!</v>
      </c>
      <c r="L13" s="87" t="e">
        <f t="shared" si="0"/>
        <v>#DIV/0!</v>
      </c>
      <c r="M13" s="88" t="e">
        <f t="shared" si="0"/>
        <v>#DIV/0!</v>
      </c>
      <c r="O13" s="121" t="str">
        <f t="shared" si="2"/>
        <v>נהריה</v>
      </c>
      <c r="P13" s="121" t="str">
        <f t="shared" si="2"/>
        <v>קרית חיים</v>
      </c>
      <c r="S13" s="119">
        <v>8</v>
      </c>
      <c r="T13" s="119" t="s">
        <v>157</v>
      </c>
    </row>
    <row r="14" spans="1:20" x14ac:dyDescent="0.3">
      <c r="A14" s="61">
        <v>1</v>
      </c>
      <c r="B14" s="61">
        <v>9</v>
      </c>
      <c r="C14" s="60"/>
      <c r="G14" s="62"/>
      <c r="I14" s="86" t="e">
        <f t="shared" si="1"/>
        <v>#DIV/0!</v>
      </c>
      <c r="J14" s="87" t="e">
        <f t="shared" si="0"/>
        <v>#DIV/0!</v>
      </c>
      <c r="K14" s="87" t="e">
        <f t="shared" si="0"/>
        <v>#DIV/0!</v>
      </c>
      <c r="L14" s="87" t="e">
        <f t="shared" si="0"/>
        <v>#DIV/0!</v>
      </c>
      <c r="M14" s="88" t="e">
        <f t="shared" si="0"/>
        <v>#DIV/0!</v>
      </c>
      <c r="O14" s="121" t="str">
        <f t="shared" si="2"/>
        <v>נהריה</v>
      </c>
      <c r="P14" s="121" t="str">
        <f t="shared" si="2"/>
        <v>קרית אתא</v>
      </c>
      <c r="S14" s="119">
        <v>9</v>
      </c>
      <c r="T14" s="119" t="s">
        <v>158</v>
      </c>
    </row>
    <row r="15" spans="1:20" x14ac:dyDescent="0.3">
      <c r="A15" s="61">
        <v>1</v>
      </c>
      <c r="B15" s="61">
        <v>10</v>
      </c>
      <c r="C15" s="60"/>
      <c r="G15" s="62"/>
      <c r="I15" s="86" t="e">
        <f t="shared" si="1"/>
        <v>#DIV/0!</v>
      </c>
      <c r="J15" s="87" t="e">
        <f t="shared" si="0"/>
        <v>#DIV/0!</v>
      </c>
      <c r="K15" s="87" t="e">
        <f t="shared" si="0"/>
        <v>#DIV/0!</v>
      </c>
      <c r="L15" s="87" t="e">
        <f t="shared" si="0"/>
        <v>#DIV/0!</v>
      </c>
      <c r="M15" s="88" t="e">
        <f t="shared" si="0"/>
        <v>#DIV/0!</v>
      </c>
      <c r="O15" s="121" t="str">
        <f t="shared" si="2"/>
        <v>נהריה</v>
      </c>
      <c r="P15" s="121" t="str">
        <f t="shared" si="2"/>
        <v>כפר מנדא</v>
      </c>
      <c r="S15" s="119">
        <v>10</v>
      </c>
      <c r="T15" s="119" t="s">
        <v>159</v>
      </c>
    </row>
    <row r="16" spans="1:20" x14ac:dyDescent="0.3">
      <c r="A16" s="61">
        <v>1</v>
      </c>
      <c r="B16" s="61">
        <v>11</v>
      </c>
      <c r="C16" s="60"/>
      <c r="G16" s="62"/>
      <c r="I16" s="86" t="e">
        <f t="shared" si="1"/>
        <v>#DIV/0!</v>
      </c>
      <c r="J16" s="87" t="e">
        <f t="shared" si="0"/>
        <v>#DIV/0!</v>
      </c>
      <c r="K16" s="87" t="e">
        <f t="shared" si="0"/>
        <v>#DIV/0!</v>
      </c>
      <c r="L16" s="87" t="e">
        <f t="shared" si="0"/>
        <v>#DIV/0!</v>
      </c>
      <c r="M16" s="88" t="e">
        <f t="shared" si="0"/>
        <v>#DIV/0!</v>
      </c>
      <c r="O16" s="121" t="str">
        <f t="shared" si="2"/>
        <v>נהריה</v>
      </c>
      <c r="P16" s="121" t="str">
        <f t="shared" si="2"/>
        <v>זבולון</v>
      </c>
      <c r="S16" s="119">
        <v>11</v>
      </c>
      <c r="T16" s="119" t="s">
        <v>160</v>
      </c>
    </row>
    <row r="17" spans="1:20" x14ac:dyDescent="0.3">
      <c r="A17" s="61">
        <v>1</v>
      </c>
      <c r="B17" s="61">
        <v>12</v>
      </c>
      <c r="C17" s="60"/>
      <c r="G17" s="62"/>
      <c r="I17" s="86" t="e">
        <f t="shared" si="1"/>
        <v>#DIV/0!</v>
      </c>
      <c r="J17" s="87" t="e">
        <f t="shared" si="0"/>
        <v>#DIV/0!</v>
      </c>
      <c r="K17" s="87" t="e">
        <f t="shared" si="0"/>
        <v>#DIV/0!</v>
      </c>
      <c r="L17" s="87" t="e">
        <f t="shared" si="0"/>
        <v>#DIV/0!</v>
      </c>
      <c r="M17" s="88" t="e">
        <f t="shared" si="0"/>
        <v>#DIV/0!</v>
      </c>
      <c r="O17" s="121" t="str">
        <f t="shared" si="2"/>
        <v>נהריה</v>
      </c>
      <c r="P17" s="121" t="str">
        <f t="shared" si="2"/>
        <v>חיפה מפרץ</v>
      </c>
      <c r="S17" s="119">
        <v>12</v>
      </c>
      <c r="T17" s="119" t="s">
        <v>161</v>
      </c>
    </row>
    <row r="18" spans="1:20" x14ac:dyDescent="0.3">
      <c r="A18" s="61">
        <v>1</v>
      </c>
      <c r="B18" s="61">
        <v>13</v>
      </c>
      <c r="C18" s="60"/>
      <c r="G18" s="62"/>
      <c r="I18" s="86" t="e">
        <f t="shared" si="1"/>
        <v>#DIV/0!</v>
      </c>
      <c r="J18" s="87" t="e">
        <f t="shared" si="0"/>
        <v>#DIV/0!</v>
      </c>
      <c r="K18" s="87" t="e">
        <f t="shared" si="0"/>
        <v>#DIV/0!</v>
      </c>
      <c r="L18" s="87" t="e">
        <f t="shared" si="0"/>
        <v>#DIV/0!</v>
      </c>
      <c r="M18" s="88" t="e">
        <f t="shared" si="0"/>
        <v>#DIV/0!</v>
      </c>
      <c r="O18" s="121" t="str">
        <f t="shared" si="2"/>
        <v>נהריה</v>
      </c>
      <c r="P18" s="121" t="str">
        <f t="shared" si="2"/>
        <v>חיפה עיר תחתית</v>
      </c>
      <c r="S18" s="119">
        <v>13</v>
      </c>
      <c r="T18" s="119" t="s">
        <v>162</v>
      </c>
    </row>
    <row r="19" spans="1:20" x14ac:dyDescent="0.3">
      <c r="A19" s="61">
        <v>1</v>
      </c>
      <c r="B19" s="61">
        <v>14</v>
      </c>
      <c r="C19" s="60"/>
      <c r="G19" s="62"/>
      <c r="I19" s="86" t="e">
        <f t="shared" si="1"/>
        <v>#DIV/0!</v>
      </c>
      <c r="J19" s="87" t="e">
        <f t="shared" si="0"/>
        <v>#DIV/0!</v>
      </c>
      <c r="K19" s="87" t="e">
        <f t="shared" si="0"/>
        <v>#DIV/0!</v>
      </c>
      <c r="L19" s="87" t="e">
        <f t="shared" si="0"/>
        <v>#DIV/0!</v>
      </c>
      <c r="M19" s="88" t="e">
        <f t="shared" si="0"/>
        <v>#DIV/0!</v>
      </c>
      <c r="O19" s="121" t="str">
        <f t="shared" si="2"/>
        <v>נהריה</v>
      </c>
      <c r="P19" s="121" t="str">
        <f t="shared" si="2"/>
        <v>חיפה הדר-כרמל</v>
      </c>
      <c r="S19" s="119">
        <v>14</v>
      </c>
      <c r="T19" s="119" t="s">
        <v>163</v>
      </c>
    </row>
    <row r="20" spans="1:20" x14ac:dyDescent="0.3">
      <c r="A20" s="61">
        <v>1</v>
      </c>
      <c r="B20" s="61">
        <v>15</v>
      </c>
      <c r="C20" s="60"/>
      <c r="G20" s="62"/>
      <c r="I20" s="86" t="e">
        <f t="shared" si="1"/>
        <v>#DIV/0!</v>
      </c>
      <c r="J20" s="87" t="e">
        <f t="shared" si="0"/>
        <v>#DIV/0!</v>
      </c>
      <c r="K20" s="87" t="e">
        <f t="shared" si="0"/>
        <v>#DIV/0!</v>
      </c>
      <c r="L20" s="87" t="e">
        <f t="shared" si="0"/>
        <v>#DIV/0!</v>
      </c>
      <c r="M20" s="88" t="e">
        <f t="shared" si="0"/>
        <v>#DIV/0!</v>
      </c>
      <c r="O20" s="121" t="str">
        <f t="shared" si="2"/>
        <v>נהריה</v>
      </c>
      <c r="P20" s="121" t="str">
        <f t="shared" si="2"/>
        <v>חיפה מערב</v>
      </c>
      <c r="S20" s="119">
        <v>15</v>
      </c>
      <c r="T20" s="119" t="s">
        <v>164</v>
      </c>
    </row>
    <row r="21" spans="1:20" x14ac:dyDescent="0.3">
      <c r="A21" s="61">
        <v>1</v>
      </c>
      <c r="B21" s="61">
        <v>16</v>
      </c>
      <c r="C21" s="60"/>
      <c r="G21" s="62"/>
      <c r="I21" s="86" t="e">
        <f t="shared" si="1"/>
        <v>#DIV/0!</v>
      </c>
      <c r="J21" s="87" t="e">
        <f t="shared" si="0"/>
        <v>#DIV/0!</v>
      </c>
      <c r="K21" s="87" t="e">
        <f t="shared" si="0"/>
        <v>#DIV/0!</v>
      </c>
      <c r="L21" s="87" t="e">
        <f t="shared" si="0"/>
        <v>#DIV/0!</v>
      </c>
      <c r="M21" s="88" t="e">
        <f t="shared" si="0"/>
        <v>#DIV/0!</v>
      </c>
      <c r="O21" s="121" t="str">
        <f t="shared" si="2"/>
        <v>נהריה</v>
      </c>
      <c r="P21" s="121" t="str">
        <f t="shared" si="2"/>
        <v>חיפה כרמל</v>
      </c>
      <c r="S21" s="119">
        <v>16</v>
      </c>
      <c r="T21" s="119" t="s">
        <v>165</v>
      </c>
    </row>
    <row r="22" spans="1:20" x14ac:dyDescent="0.3">
      <c r="A22" s="61">
        <v>1</v>
      </c>
      <c r="B22" s="61">
        <v>17</v>
      </c>
      <c r="C22" s="60"/>
      <c r="G22" s="62"/>
      <c r="I22" s="86" t="e">
        <f t="shared" si="1"/>
        <v>#DIV/0!</v>
      </c>
      <c r="J22" s="87" t="e">
        <f t="shared" si="1"/>
        <v>#DIV/0!</v>
      </c>
      <c r="K22" s="87" t="e">
        <f t="shared" si="1"/>
        <v>#DIV/0!</v>
      </c>
      <c r="L22" s="87" t="e">
        <f t="shared" si="1"/>
        <v>#DIV/0!</v>
      </c>
      <c r="M22" s="88" t="e">
        <f t="shared" si="1"/>
        <v>#DIV/0!</v>
      </c>
      <c r="O22" s="121" t="str">
        <f t="shared" si="2"/>
        <v>נהריה</v>
      </c>
      <c r="P22" s="121" t="str">
        <f t="shared" si="2"/>
        <v>חיפה נווה שאנן</v>
      </c>
      <c r="S22" s="119">
        <v>17</v>
      </c>
      <c r="T22" s="119" t="s">
        <v>166</v>
      </c>
    </row>
    <row r="23" spans="1:20" x14ac:dyDescent="0.3">
      <c r="A23" s="61">
        <v>1</v>
      </c>
      <c r="B23" s="61">
        <v>18</v>
      </c>
      <c r="C23" s="60"/>
      <c r="G23" s="62"/>
      <c r="I23" s="86" t="e">
        <f t="shared" si="1"/>
        <v>#DIV/0!</v>
      </c>
      <c r="J23" s="87" t="e">
        <f t="shared" si="1"/>
        <v>#DIV/0!</v>
      </c>
      <c r="K23" s="87" t="e">
        <f t="shared" si="1"/>
        <v>#DIV/0!</v>
      </c>
      <c r="L23" s="87" t="e">
        <f t="shared" si="1"/>
        <v>#DIV/0!</v>
      </c>
      <c r="M23" s="88" t="e">
        <f t="shared" si="1"/>
        <v>#DIV/0!</v>
      </c>
      <c r="O23" s="121" t="str">
        <f t="shared" si="2"/>
        <v>נהריה</v>
      </c>
      <c r="P23" s="121" t="str">
        <f t="shared" si="2"/>
        <v>נשר</v>
      </c>
      <c r="S23" s="119">
        <v>18</v>
      </c>
      <c r="T23" s="119" t="s">
        <v>167</v>
      </c>
    </row>
    <row r="24" spans="1:20" x14ac:dyDescent="0.3">
      <c r="A24" s="61">
        <v>1</v>
      </c>
      <c r="B24" s="61">
        <v>19</v>
      </c>
      <c r="C24" s="60"/>
      <c r="G24" s="62"/>
      <c r="I24" s="87" t="e">
        <f t="shared" si="1"/>
        <v>#DIV/0!</v>
      </c>
      <c r="J24" s="87" t="e">
        <f t="shared" si="1"/>
        <v>#DIV/0!</v>
      </c>
      <c r="K24" s="87" t="e">
        <f t="shared" si="1"/>
        <v>#DIV/0!</v>
      </c>
      <c r="L24" s="87" t="e">
        <f t="shared" si="1"/>
        <v>#DIV/0!</v>
      </c>
      <c r="M24" s="88" t="e">
        <f t="shared" si="1"/>
        <v>#DIV/0!</v>
      </c>
      <c r="O24" s="121" t="str">
        <f t="shared" si="2"/>
        <v>נהריה</v>
      </c>
      <c r="P24" s="121" t="str">
        <f t="shared" si="2"/>
        <v>נצרת</v>
      </c>
      <c r="S24" s="119">
        <v>19</v>
      </c>
      <c r="T24" s="119" t="s">
        <v>168</v>
      </c>
    </row>
    <row r="25" spans="1:20" x14ac:dyDescent="0.3">
      <c r="A25" s="61">
        <v>1</v>
      </c>
      <c r="B25" s="61">
        <v>20</v>
      </c>
      <c r="C25" s="60"/>
      <c r="G25" s="62"/>
      <c r="I25" s="86" t="e">
        <f t="shared" si="1"/>
        <v>#DIV/0!</v>
      </c>
      <c r="J25" s="87" t="e">
        <f t="shared" si="1"/>
        <v>#DIV/0!</v>
      </c>
      <c r="K25" s="87" t="e">
        <f t="shared" si="1"/>
        <v>#DIV/0!</v>
      </c>
      <c r="L25" s="87" t="e">
        <f t="shared" si="1"/>
        <v>#DIV/0!</v>
      </c>
      <c r="M25" s="88" t="e">
        <f t="shared" si="1"/>
        <v>#DIV/0!</v>
      </c>
      <c r="O25" s="121" t="str">
        <f t="shared" si="2"/>
        <v>נהריה</v>
      </c>
      <c r="P25" s="121" t="str">
        <f t="shared" si="2"/>
        <v>נצרת-עילית</v>
      </c>
      <c r="S25" s="119">
        <v>20</v>
      </c>
      <c r="T25" s="119" t="s">
        <v>169</v>
      </c>
    </row>
    <row r="26" spans="1:20" x14ac:dyDescent="0.3">
      <c r="A26" s="61">
        <v>1</v>
      </c>
      <c r="B26" s="61">
        <v>21</v>
      </c>
      <c r="C26" s="60"/>
      <c r="G26" s="62"/>
      <c r="I26" s="86" t="e">
        <f t="shared" si="1"/>
        <v>#DIV/0!</v>
      </c>
      <c r="J26" s="87" t="e">
        <f t="shared" si="1"/>
        <v>#DIV/0!</v>
      </c>
      <c r="K26" s="87" t="e">
        <f t="shared" si="1"/>
        <v>#DIV/0!</v>
      </c>
      <c r="L26" s="87" t="e">
        <f t="shared" si="1"/>
        <v>#DIV/0!</v>
      </c>
      <c r="M26" s="88" t="e">
        <f t="shared" si="1"/>
        <v>#DIV/0!</v>
      </c>
      <c r="O26" s="121" t="str">
        <f t="shared" si="2"/>
        <v>נהריה</v>
      </c>
      <c r="P26" s="121" t="str">
        <f t="shared" si="2"/>
        <v>מגדל העמק</v>
      </c>
      <c r="S26" s="119">
        <v>21</v>
      </c>
      <c r="T26" s="119" t="s">
        <v>170</v>
      </c>
    </row>
    <row r="27" spans="1:20" x14ac:dyDescent="0.3">
      <c r="A27" s="61">
        <v>1</v>
      </c>
      <c r="B27" s="61">
        <v>22</v>
      </c>
      <c r="C27" s="60"/>
      <c r="G27" s="62"/>
      <c r="I27" s="86" t="e">
        <f t="shared" si="1"/>
        <v>#DIV/0!</v>
      </c>
      <c r="J27" s="87" t="e">
        <f t="shared" si="1"/>
        <v>#DIV/0!</v>
      </c>
      <c r="K27" s="87" t="e">
        <f t="shared" si="1"/>
        <v>#DIV/0!</v>
      </c>
      <c r="L27" s="87" t="e">
        <f t="shared" si="1"/>
        <v>#DIV/0!</v>
      </c>
      <c r="M27" s="88" t="e">
        <f t="shared" si="1"/>
        <v>#DIV/0!</v>
      </c>
      <c r="O27" s="121" t="str">
        <f t="shared" si="2"/>
        <v>נהריה</v>
      </c>
      <c r="P27" s="121" t="str">
        <f t="shared" si="2"/>
        <v>יוקנעם</v>
      </c>
      <c r="S27" s="119">
        <v>22</v>
      </c>
      <c r="T27" s="119" t="s">
        <v>171</v>
      </c>
    </row>
    <row r="28" spans="1:20" x14ac:dyDescent="0.3">
      <c r="A28" s="61">
        <v>1</v>
      </c>
      <c r="B28" s="61">
        <v>23</v>
      </c>
      <c r="C28" s="60"/>
      <c r="G28" s="62"/>
      <c r="I28" s="86" t="e">
        <f t="shared" si="1"/>
        <v>#DIV/0!</v>
      </c>
      <c r="J28" s="87" t="e">
        <f t="shared" si="1"/>
        <v>#DIV/0!</v>
      </c>
      <c r="K28" s="87" t="e">
        <f t="shared" si="1"/>
        <v>#DIV/0!</v>
      </c>
      <c r="L28" s="87" t="e">
        <f t="shared" si="1"/>
        <v>#DIV/0!</v>
      </c>
      <c r="M28" s="88" t="e">
        <f t="shared" si="1"/>
        <v>#DIV/0!</v>
      </c>
      <c r="O28" s="121" t="str">
        <f t="shared" si="2"/>
        <v>נהריה</v>
      </c>
      <c r="P28" s="121" t="str">
        <f t="shared" si="2"/>
        <v>דלית אל כרמל</v>
      </c>
      <c r="S28" s="119">
        <v>23</v>
      </c>
      <c r="T28" s="119" t="s">
        <v>172</v>
      </c>
    </row>
    <row r="29" spans="1:20" x14ac:dyDescent="0.3">
      <c r="A29" s="61">
        <v>1</v>
      </c>
      <c r="B29" s="61">
        <v>24</v>
      </c>
      <c r="C29" s="60"/>
      <c r="G29" s="62"/>
      <c r="I29" s="86" t="e">
        <f t="shared" si="1"/>
        <v>#DIV/0!</v>
      </c>
      <c r="J29" s="87" t="e">
        <f t="shared" si="1"/>
        <v>#DIV/0!</v>
      </c>
      <c r="K29" s="87" t="e">
        <f t="shared" si="1"/>
        <v>#DIV/0!</v>
      </c>
      <c r="L29" s="87" t="e">
        <f t="shared" si="1"/>
        <v>#DIV/0!</v>
      </c>
      <c r="M29" s="88" t="e">
        <f t="shared" si="1"/>
        <v>#DIV/0!</v>
      </c>
      <c r="O29" s="121" t="str">
        <f t="shared" si="2"/>
        <v>נהריה</v>
      </c>
      <c r="P29" s="121" t="str">
        <f t="shared" si="2"/>
        <v>חוף הכרמל</v>
      </c>
      <c r="S29" s="119">
        <v>24</v>
      </c>
      <c r="T29" s="119" t="s">
        <v>173</v>
      </c>
    </row>
    <row r="30" spans="1:20" x14ac:dyDescent="0.3">
      <c r="A30" s="61">
        <v>1</v>
      </c>
      <c r="B30" s="61">
        <v>25</v>
      </c>
      <c r="C30" s="60"/>
      <c r="G30" s="62"/>
      <c r="I30" s="86" t="e">
        <f t="shared" si="1"/>
        <v>#DIV/0!</v>
      </c>
      <c r="J30" s="87" t="e">
        <f t="shared" si="1"/>
        <v>#DIV/0!</v>
      </c>
      <c r="K30" s="87" t="e">
        <f t="shared" si="1"/>
        <v>#DIV/0!</v>
      </c>
      <c r="L30" s="87" t="e">
        <f t="shared" si="1"/>
        <v>#DIV/0!</v>
      </c>
      <c r="M30" s="88" t="e">
        <f t="shared" si="1"/>
        <v>#DIV/0!</v>
      </c>
      <c r="O30" s="121" t="str">
        <f t="shared" si="2"/>
        <v>נהריה</v>
      </c>
      <c r="P30" s="121" t="str">
        <f t="shared" si="2"/>
        <v>זכרון יעקב</v>
      </c>
      <c r="S30" s="119">
        <v>25</v>
      </c>
      <c r="T30" s="119" t="s">
        <v>174</v>
      </c>
    </row>
    <row r="31" spans="1:20" x14ac:dyDescent="0.3">
      <c r="A31" s="61">
        <v>1</v>
      </c>
      <c r="B31" s="61">
        <v>30</v>
      </c>
      <c r="C31" s="60"/>
      <c r="G31" s="62"/>
      <c r="I31" s="86" t="e">
        <f t="shared" si="1"/>
        <v>#DIV/0!</v>
      </c>
      <c r="J31" s="87" t="e">
        <f t="shared" si="1"/>
        <v>#DIV/0!</v>
      </c>
      <c r="K31" s="87" t="e">
        <f t="shared" si="1"/>
        <v>#DIV/0!</v>
      </c>
      <c r="L31" s="87" t="e">
        <f t="shared" si="1"/>
        <v>#DIV/0!</v>
      </c>
      <c r="M31" s="88" t="e">
        <f t="shared" si="1"/>
        <v>#DIV/0!</v>
      </c>
      <c r="O31" s="121" t="str">
        <f t="shared" si="2"/>
        <v>נהריה</v>
      </c>
      <c r="P31" s="121" t="str">
        <f t="shared" si="2"/>
        <v>סכנין</v>
      </c>
      <c r="S31" s="119">
        <v>30</v>
      </c>
      <c r="T31" s="119" t="s">
        <v>175</v>
      </c>
    </row>
    <row r="32" spans="1:20" x14ac:dyDescent="0.3">
      <c r="A32" s="61">
        <v>2</v>
      </c>
      <c r="B32" s="61">
        <v>1</v>
      </c>
      <c r="C32" s="60"/>
      <c r="G32" s="62"/>
      <c r="I32" s="86" t="e">
        <f t="shared" si="1"/>
        <v>#DIV/0!</v>
      </c>
      <c r="J32" s="87" t="e">
        <f t="shared" si="1"/>
        <v>#DIV/0!</v>
      </c>
      <c r="K32" s="87" t="e">
        <f t="shared" si="1"/>
        <v>#DIV/0!</v>
      </c>
      <c r="L32" s="87" t="e">
        <f t="shared" si="1"/>
        <v>#DIV/0!</v>
      </c>
      <c r="M32" s="88" t="e">
        <f t="shared" si="1"/>
        <v>#DIV/0!</v>
      </c>
      <c r="O32" s="121" t="str">
        <f t="shared" si="2"/>
        <v>עכו</v>
      </c>
      <c r="P32" s="121" t="str">
        <f t="shared" si="2"/>
        <v>נהריה</v>
      </c>
    </row>
    <row r="33" spans="1:16" x14ac:dyDescent="0.3">
      <c r="A33" s="61">
        <v>2</v>
      </c>
      <c r="B33" s="61">
        <v>2</v>
      </c>
      <c r="C33" s="60"/>
      <c r="G33" s="62"/>
      <c r="I33" s="86" t="e">
        <f t="shared" si="1"/>
        <v>#DIV/0!</v>
      </c>
      <c r="J33" s="87" t="e">
        <f t="shared" si="1"/>
        <v>#DIV/0!</v>
      </c>
      <c r="K33" s="87" t="e">
        <f t="shared" si="1"/>
        <v>#DIV/0!</v>
      </c>
      <c r="L33" s="87" t="e">
        <f t="shared" si="1"/>
        <v>#DIV/0!</v>
      </c>
      <c r="M33" s="88" t="e">
        <f t="shared" si="1"/>
        <v>#DIV/0!</v>
      </c>
      <c r="O33" s="121" t="str">
        <f t="shared" si="2"/>
        <v>עכו</v>
      </c>
      <c r="P33" s="121" t="str">
        <f t="shared" si="2"/>
        <v>עכו</v>
      </c>
    </row>
    <row r="34" spans="1:16" x14ac:dyDescent="0.3">
      <c r="A34" s="61">
        <v>2</v>
      </c>
      <c r="B34" s="61">
        <v>3</v>
      </c>
      <c r="C34" s="60"/>
      <c r="G34" s="62"/>
      <c r="I34" s="86" t="e">
        <f t="shared" si="1"/>
        <v>#DIV/0!</v>
      </c>
      <c r="J34" s="87" t="e">
        <f t="shared" si="1"/>
        <v>#DIV/0!</v>
      </c>
      <c r="K34" s="87" t="e">
        <f t="shared" si="1"/>
        <v>#DIV/0!</v>
      </c>
      <c r="L34" s="87" t="e">
        <f t="shared" si="1"/>
        <v>#DIV/0!</v>
      </c>
      <c r="M34" s="88" t="e">
        <f t="shared" si="1"/>
        <v>#DIV/0!</v>
      </c>
      <c r="O34" s="121" t="str">
        <f t="shared" si="2"/>
        <v>עכו</v>
      </c>
      <c r="P34" s="121" t="str">
        <f t="shared" si="2"/>
        <v>כרמיאל</v>
      </c>
    </row>
    <row r="35" spans="1:16" x14ac:dyDescent="0.3">
      <c r="A35" s="61">
        <v>2</v>
      </c>
      <c r="B35" s="61">
        <v>4</v>
      </c>
      <c r="C35" s="60"/>
      <c r="G35" s="62"/>
      <c r="I35" s="86" t="e">
        <f t="shared" si="1"/>
        <v>#DIV/0!</v>
      </c>
      <c r="J35" s="87" t="e">
        <f t="shared" si="1"/>
        <v>#DIV/0!</v>
      </c>
      <c r="K35" s="87" t="e">
        <f t="shared" si="1"/>
        <v>#DIV/0!</v>
      </c>
      <c r="L35" s="87" t="e">
        <f t="shared" si="1"/>
        <v>#DIV/0!</v>
      </c>
      <c r="M35" s="88" t="e">
        <f t="shared" si="1"/>
        <v>#DIV/0!</v>
      </c>
      <c r="O35" s="121" t="str">
        <f t="shared" si="2"/>
        <v>עכו</v>
      </c>
      <c r="P35" s="121" t="str">
        <f t="shared" si="2"/>
        <v>שפרעם</v>
      </c>
    </row>
    <row r="36" spans="1:16" x14ac:dyDescent="0.3">
      <c r="A36" s="61">
        <v>2</v>
      </c>
      <c r="B36" s="61">
        <v>5</v>
      </c>
      <c r="C36" s="60"/>
      <c r="G36" s="62"/>
      <c r="I36" s="86" t="e">
        <f t="shared" si="1"/>
        <v>#DIV/0!</v>
      </c>
      <c r="J36" s="87" t="e">
        <f t="shared" si="1"/>
        <v>#DIV/0!</v>
      </c>
      <c r="K36" s="87" t="e">
        <f t="shared" si="1"/>
        <v>#DIV/0!</v>
      </c>
      <c r="L36" s="87" t="e">
        <f t="shared" si="1"/>
        <v>#DIV/0!</v>
      </c>
      <c r="M36" s="88" t="e">
        <f t="shared" si="1"/>
        <v>#DIV/0!</v>
      </c>
      <c r="O36" s="121" t="str">
        <f t="shared" si="2"/>
        <v>עכו</v>
      </c>
      <c r="P36" s="121" t="str">
        <f t="shared" si="2"/>
        <v>קרית ים</v>
      </c>
    </row>
    <row r="37" spans="1:16" x14ac:dyDescent="0.3">
      <c r="A37" s="61">
        <v>2</v>
      </c>
      <c r="B37" s="61">
        <v>6</v>
      </c>
      <c r="C37" s="60"/>
      <c r="G37" s="62"/>
      <c r="I37" s="86" t="e">
        <f t="shared" si="1"/>
        <v>#DIV/0!</v>
      </c>
      <c r="J37" s="87" t="e">
        <f t="shared" si="1"/>
        <v>#DIV/0!</v>
      </c>
      <c r="K37" s="87" t="e">
        <f t="shared" si="1"/>
        <v>#DIV/0!</v>
      </c>
      <c r="L37" s="87" t="e">
        <f t="shared" si="1"/>
        <v>#DIV/0!</v>
      </c>
      <c r="M37" s="88" t="e">
        <f t="shared" si="1"/>
        <v>#DIV/0!</v>
      </c>
      <c r="O37" s="121" t="str">
        <f t="shared" si="2"/>
        <v>עכו</v>
      </c>
      <c r="P37" s="121" t="str">
        <f t="shared" si="2"/>
        <v>קרית מוצקין</v>
      </c>
    </row>
    <row r="38" spans="1:16" x14ac:dyDescent="0.3">
      <c r="A38" s="61">
        <v>2</v>
      </c>
      <c r="B38" s="61">
        <v>7</v>
      </c>
      <c r="C38" s="60"/>
      <c r="G38" s="62"/>
      <c r="I38" s="86" t="e">
        <f t="shared" si="1"/>
        <v>#DIV/0!</v>
      </c>
      <c r="J38" s="87" t="e">
        <f t="shared" si="1"/>
        <v>#DIV/0!</v>
      </c>
      <c r="K38" s="87" t="e">
        <f t="shared" si="1"/>
        <v>#DIV/0!</v>
      </c>
      <c r="L38" s="87" t="e">
        <f t="shared" si="1"/>
        <v>#DIV/0!</v>
      </c>
      <c r="M38" s="88" t="e">
        <f t="shared" si="1"/>
        <v>#DIV/0!</v>
      </c>
      <c r="O38" s="121" t="str">
        <f t="shared" si="2"/>
        <v>עכו</v>
      </c>
      <c r="P38" s="121" t="str">
        <f t="shared" si="2"/>
        <v>קרית ביאליק</v>
      </c>
    </row>
    <row r="39" spans="1:16" x14ac:dyDescent="0.3">
      <c r="A39" s="61">
        <v>2</v>
      </c>
      <c r="B39" s="61">
        <v>8</v>
      </c>
      <c r="C39" s="60"/>
      <c r="G39" s="62"/>
      <c r="I39" s="86" t="e">
        <f t="shared" si="1"/>
        <v>#DIV/0!</v>
      </c>
      <c r="J39" s="87" t="e">
        <f t="shared" si="1"/>
        <v>#DIV/0!</v>
      </c>
      <c r="K39" s="87" t="e">
        <f t="shared" si="1"/>
        <v>#DIV/0!</v>
      </c>
      <c r="L39" s="87" t="e">
        <f t="shared" si="1"/>
        <v>#DIV/0!</v>
      </c>
      <c r="M39" s="88" t="e">
        <f t="shared" si="1"/>
        <v>#DIV/0!</v>
      </c>
      <c r="O39" s="121" t="str">
        <f t="shared" si="2"/>
        <v>עכו</v>
      </c>
      <c r="P39" s="121" t="str">
        <f t="shared" si="2"/>
        <v>קרית חיים</v>
      </c>
    </row>
    <row r="40" spans="1:16" x14ac:dyDescent="0.3">
      <c r="A40" s="61">
        <v>2</v>
      </c>
      <c r="B40" s="61">
        <v>9</v>
      </c>
      <c r="C40" s="60"/>
      <c r="G40" s="62"/>
      <c r="I40" s="86" t="e">
        <f t="shared" si="1"/>
        <v>#DIV/0!</v>
      </c>
      <c r="J40" s="87" t="e">
        <f t="shared" si="1"/>
        <v>#DIV/0!</v>
      </c>
      <c r="K40" s="87" t="e">
        <f t="shared" si="1"/>
        <v>#DIV/0!</v>
      </c>
      <c r="L40" s="87" t="e">
        <f t="shared" si="1"/>
        <v>#DIV/0!</v>
      </c>
      <c r="M40" s="88" t="e">
        <f t="shared" si="1"/>
        <v>#DIV/0!</v>
      </c>
      <c r="O40" s="121" t="str">
        <f t="shared" si="2"/>
        <v>עכו</v>
      </c>
      <c r="P40" s="121" t="str">
        <f t="shared" si="2"/>
        <v>קרית אתא</v>
      </c>
    </row>
    <row r="41" spans="1:16" x14ac:dyDescent="0.3">
      <c r="A41" s="61">
        <v>2</v>
      </c>
      <c r="B41" s="61">
        <v>10</v>
      </c>
      <c r="C41" s="60"/>
      <c r="G41" s="62"/>
      <c r="I41" s="86" t="e">
        <f t="shared" si="1"/>
        <v>#DIV/0!</v>
      </c>
      <c r="J41" s="87" t="e">
        <f t="shared" si="1"/>
        <v>#DIV/0!</v>
      </c>
      <c r="K41" s="87" t="e">
        <f t="shared" si="1"/>
        <v>#DIV/0!</v>
      </c>
      <c r="L41" s="87" t="e">
        <f t="shared" si="1"/>
        <v>#DIV/0!</v>
      </c>
      <c r="M41" s="88" t="e">
        <f t="shared" si="1"/>
        <v>#DIV/0!</v>
      </c>
      <c r="O41" s="121" t="str">
        <f t="shared" si="2"/>
        <v>עכו</v>
      </c>
      <c r="P41" s="121" t="str">
        <f t="shared" si="2"/>
        <v>כפר מנדא</v>
      </c>
    </row>
    <row r="42" spans="1:16" x14ac:dyDescent="0.3">
      <c r="A42" s="61">
        <v>2</v>
      </c>
      <c r="B42" s="61">
        <v>11</v>
      </c>
      <c r="C42" s="60"/>
      <c r="G42" s="62"/>
      <c r="I42" s="86" t="e">
        <f t="shared" si="1"/>
        <v>#DIV/0!</v>
      </c>
      <c r="J42" s="87" t="e">
        <f t="shared" si="1"/>
        <v>#DIV/0!</v>
      </c>
      <c r="K42" s="87" t="e">
        <f t="shared" si="1"/>
        <v>#DIV/0!</v>
      </c>
      <c r="L42" s="87" t="e">
        <f t="shared" si="1"/>
        <v>#DIV/0!</v>
      </c>
      <c r="M42" s="88" t="e">
        <f t="shared" si="1"/>
        <v>#DIV/0!</v>
      </c>
      <c r="O42" s="121" t="str">
        <f t="shared" si="2"/>
        <v>עכו</v>
      </c>
      <c r="P42" s="121" t="str">
        <f t="shared" si="2"/>
        <v>זבולון</v>
      </c>
    </row>
    <row r="43" spans="1:16" x14ac:dyDescent="0.3">
      <c r="A43" s="61">
        <v>2</v>
      </c>
      <c r="B43" s="61">
        <v>12</v>
      </c>
      <c r="C43" s="60"/>
      <c r="G43" s="62"/>
      <c r="I43" s="86" t="e">
        <f t="shared" si="1"/>
        <v>#DIV/0!</v>
      </c>
      <c r="J43" s="87" t="e">
        <f t="shared" si="1"/>
        <v>#DIV/0!</v>
      </c>
      <c r="K43" s="87" t="e">
        <f t="shared" si="1"/>
        <v>#DIV/0!</v>
      </c>
      <c r="L43" s="87" t="e">
        <f t="shared" si="1"/>
        <v>#DIV/0!</v>
      </c>
      <c r="M43" s="88" t="e">
        <f t="shared" si="1"/>
        <v>#DIV/0!</v>
      </c>
      <c r="O43" s="121" t="str">
        <f t="shared" si="2"/>
        <v>עכו</v>
      </c>
      <c r="P43" s="121" t="str">
        <f t="shared" si="2"/>
        <v>חיפה מפרץ</v>
      </c>
    </row>
    <row r="44" spans="1:16" x14ac:dyDescent="0.3">
      <c r="A44" s="61">
        <v>2</v>
      </c>
      <c r="B44" s="61">
        <v>13</v>
      </c>
      <c r="C44" s="60"/>
      <c r="G44" s="62"/>
      <c r="I44" s="86" t="e">
        <f t="shared" si="1"/>
        <v>#DIV/0!</v>
      </c>
      <c r="J44" s="87" t="e">
        <f t="shared" si="1"/>
        <v>#DIV/0!</v>
      </c>
      <c r="K44" s="87" t="e">
        <f t="shared" si="1"/>
        <v>#DIV/0!</v>
      </c>
      <c r="L44" s="87" t="e">
        <f t="shared" si="1"/>
        <v>#DIV/0!</v>
      </c>
      <c r="M44" s="88" t="e">
        <f t="shared" si="1"/>
        <v>#DIV/0!</v>
      </c>
      <c r="O44" s="121" t="str">
        <f t="shared" si="2"/>
        <v>עכו</v>
      </c>
      <c r="P44" s="121" t="str">
        <f t="shared" si="2"/>
        <v>חיפה עיר תחתית</v>
      </c>
    </row>
    <row r="45" spans="1:16" x14ac:dyDescent="0.3">
      <c r="A45" s="61">
        <v>2</v>
      </c>
      <c r="B45" s="61">
        <v>14</v>
      </c>
      <c r="C45" s="60"/>
      <c r="G45" s="62"/>
      <c r="I45" s="86" t="e">
        <f t="shared" si="1"/>
        <v>#DIV/0!</v>
      </c>
      <c r="J45" s="87" t="e">
        <f t="shared" si="1"/>
        <v>#DIV/0!</v>
      </c>
      <c r="K45" s="87" t="e">
        <f t="shared" si="1"/>
        <v>#DIV/0!</v>
      </c>
      <c r="L45" s="87" t="e">
        <f t="shared" si="1"/>
        <v>#DIV/0!</v>
      </c>
      <c r="M45" s="88" t="e">
        <f t="shared" si="1"/>
        <v>#DIV/0!</v>
      </c>
      <c r="O45" s="121" t="str">
        <f t="shared" si="2"/>
        <v>עכו</v>
      </c>
      <c r="P45" s="121" t="str">
        <f t="shared" si="2"/>
        <v>חיפה הדר-כרמל</v>
      </c>
    </row>
    <row r="46" spans="1:16" x14ac:dyDescent="0.3">
      <c r="A46" s="61">
        <v>2</v>
      </c>
      <c r="B46" s="61">
        <v>15</v>
      </c>
      <c r="C46" s="60"/>
      <c r="G46" s="62"/>
      <c r="I46" s="86" t="e">
        <f t="shared" si="1"/>
        <v>#DIV/0!</v>
      </c>
      <c r="J46" s="87" t="e">
        <f t="shared" si="1"/>
        <v>#DIV/0!</v>
      </c>
      <c r="K46" s="87" t="e">
        <f t="shared" si="1"/>
        <v>#DIV/0!</v>
      </c>
      <c r="L46" s="87" t="e">
        <f t="shared" si="1"/>
        <v>#DIV/0!</v>
      </c>
      <c r="M46" s="88" t="e">
        <f t="shared" si="1"/>
        <v>#DIV/0!</v>
      </c>
      <c r="O46" s="121" t="str">
        <f t="shared" si="2"/>
        <v>עכו</v>
      </c>
      <c r="P46" s="121" t="str">
        <f t="shared" si="2"/>
        <v>חיפה מערב</v>
      </c>
    </row>
    <row r="47" spans="1:16" x14ac:dyDescent="0.3">
      <c r="A47" s="61">
        <v>2</v>
      </c>
      <c r="B47" s="61">
        <v>16</v>
      </c>
      <c r="C47" s="60"/>
      <c r="G47" s="62"/>
      <c r="I47" s="86" t="e">
        <f t="shared" si="1"/>
        <v>#DIV/0!</v>
      </c>
      <c r="J47" s="87" t="e">
        <f t="shared" si="1"/>
        <v>#DIV/0!</v>
      </c>
      <c r="K47" s="87" t="e">
        <f t="shared" si="1"/>
        <v>#DIV/0!</v>
      </c>
      <c r="L47" s="87" t="e">
        <f t="shared" si="1"/>
        <v>#DIV/0!</v>
      </c>
      <c r="M47" s="88" t="e">
        <f t="shared" si="1"/>
        <v>#DIV/0!</v>
      </c>
      <c r="O47" s="121" t="str">
        <f t="shared" si="2"/>
        <v>עכו</v>
      </c>
      <c r="P47" s="121" t="str">
        <f t="shared" si="2"/>
        <v>חיפה כרמל</v>
      </c>
    </row>
    <row r="48" spans="1:16" x14ac:dyDescent="0.3">
      <c r="A48" s="61">
        <v>2</v>
      </c>
      <c r="B48" s="61">
        <v>17</v>
      </c>
      <c r="C48" s="60"/>
      <c r="G48" s="62"/>
      <c r="I48" s="86" t="e">
        <f t="shared" si="1"/>
        <v>#DIV/0!</v>
      </c>
      <c r="J48" s="87" t="e">
        <f t="shared" si="1"/>
        <v>#DIV/0!</v>
      </c>
      <c r="K48" s="87" t="e">
        <f t="shared" si="1"/>
        <v>#DIV/0!</v>
      </c>
      <c r="L48" s="87" t="e">
        <f t="shared" si="1"/>
        <v>#DIV/0!</v>
      </c>
      <c r="M48" s="88" t="e">
        <f t="shared" si="1"/>
        <v>#DIV/0!</v>
      </c>
      <c r="O48" s="121" t="str">
        <f t="shared" si="2"/>
        <v>עכו</v>
      </c>
      <c r="P48" s="121" t="str">
        <f t="shared" si="2"/>
        <v>חיפה נווה שאנן</v>
      </c>
    </row>
    <row r="49" spans="1:16" x14ac:dyDescent="0.3">
      <c r="A49" s="61">
        <v>2</v>
      </c>
      <c r="B49" s="61">
        <v>18</v>
      </c>
      <c r="C49" s="60"/>
      <c r="G49" s="62"/>
      <c r="I49" s="86" t="e">
        <f t="shared" si="1"/>
        <v>#DIV/0!</v>
      </c>
      <c r="J49" s="87" t="e">
        <f t="shared" si="1"/>
        <v>#DIV/0!</v>
      </c>
      <c r="K49" s="87" t="e">
        <f t="shared" si="1"/>
        <v>#DIV/0!</v>
      </c>
      <c r="L49" s="87" t="e">
        <f t="shared" si="1"/>
        <v>#DIV/0!</v>
      </c>
      <c r="M49" s="88" t="e">
        <f t="shared" si="1"/>
        <v>#DIV/0!</v>
      </c>
      <c r="O49" s="121" t="str">
        <f t="shared" si="2"/>
        <v>עכו</v>
      </c>
      <c r="P49" s="121" t="str">
        <f t="shared" si="2"/>
        <v>נשר</v>
      </c>
    </row>
    <row r="50" spans="1:16" x14ac:dyDescent="0.3">
      <c r="A50" s="61">
        <v>2</v>
      </c>
      <c r="B50" s="61">
        <v>19</v>
      </c>
      <c r="C50" s="60"/>
      <c r="G50" s="62"/>
      <c r="I50" s="86" t="e">
        <f t="shared" si="1"/>
        <v>#DIV/0!</v>
      </c>
      <c r="J50" s="87" t="e">
        <f t="shared" si="1"/>
        <v>#DIV/0!</v>
      </c>
      <c r="K50" s="87" t="e">
        <f t="shared" si="1"/>
        <v>#DIV/0!</v>
      </c>
      <c r="L50" s="87" t="e">
        <f t="shared" si="1"/>
        <v>#DIV/0!</v>
      </c>
      <c r="M50" s="88" t="e">
        <f t="shared" si="1"/>
        <v>#DIV/0!</v>
      </c>
      <c r="O50" s="121" t="str">
        <f t="shared" si="2"/>
        <v>עכו</v>
      </c>
      <c r="P50" s="121" t="str">
        <f t="shared" si="2"/>
        <v>נצרת</v>
      </c>
    </row>
    <row r="51" spans="1:16" x14ac:dyDescent="0.3">
      <c r="A51" s="61">
        <v>2</v>
      </c>
      <c r="B51" s="61">
        <v>20</v>
      </c>
      <c r="C51" s="60"/>
      <c r="G51" s="62"/>
      <c r="I51" s="86" t="e">
        <f t="shared" si="1"/>
        <v>#DIV/0!</v>
      </c>
      <c r="J51" s="87" t="e">
        <f t="shared" si="1"/>
        <v>#DIV/0!</v>
      </c>
      <c r="K51" s="87" t="e">
        <f t="shared" si="1"/>
        <v>#DIV/0!</v>
      </c>
      <c r="L51" s="87" t="e">
        <f t="shared" si="1"/>
        <v>#DIV/0!</v>
      </c>
      <c r="M51" s="88" t="e">
        <f t="shared" si="1"/>
        <v>#DIV/0!</v>
      </c>
      <c r="O51" s="121" t="str">
        <f t="shared" si="2"/>
        <v>עכו</v>
      </c>
      <c r="P51" s="121" t="str">
        <f t="shared" si="2"/>
        <v>נצרת-עילית</v>
      </c>
    </row>
    <row r="52" spans="1:16" x14ac:dyDescent="0.3">
      <c r="A52" s="61">
        <v>2</v>
      </c>
      <c r="B52" s="61">
        <v>21</v>
      </c>
      <c r="C52" s="60"/>
      <c r="G52" s="62"/>
      <c r="I52" s="86" t="e">
        <f t="shared" si="1"/>
        <v>#DIV/0!</v>
      </c>
      <c r="J52" s="87" t="e">
        <f t="shared" si="1"/>
        <v>#DIV/0!</v>
      </c>
      <c r="K52" s="87" t="e">
        <f t="shared" si="1"/>
        <v>#DIV/0!</v>
      </c>
      <c r="L52" s="87" t="e">
        <f t="shared" si="1"/>
        <v>#DIV/0!</v>
      </c>
      <c r="M52" s="88" t="e">
        <f t="shared" si="1"/>
        <v>#DIV/0!</v>
      </c>
      <c r="O52" s="121" t="str">
        <f t="shared" si="2"/>
        <v>עכו</v>
      </c>
      <c r="P52" s="121" t="str">
        <f t="shared" si="2"/>
        <v>מגדל העמק</v>
      </c>
    </row>
    <row r="53" spans="1:16" x14ac:dyDescent="0.3">
      <c r="A53" s="61">
        <v>2</v>
      </c>
      <c r="B53" s="61">
        <v>22</v>
      </c>
      <c r="C53" s="60"/>
      <c r="G53" s="62"/>
      <c r="I53" s="86" t="e">
        <f t="shared" si="1"/>
        <v>#DIV/0!</v>
      </c>
      <c r="J53" s="87" t="e">
        <f t="shared" si="1"/>
        <v>#DIV/0!</v>
      </c>
      <c r="K53" s="87" t="e">
        <f t="shared" si="1"/>
        <v>#DIV/0!</v>
      </c>
      <c r="L53" s="87" t="e">
        <f t="shared" si="1"/>
        <v>#DIV/0!</v>
      </c>
      <c r="M53" s="88" t="e">
        <f t="shared" si="1"/>
        <v>#DIV/0!</v>
      </c>
      <c r="O53" s="121" t="str">
        <f t="shared" si="2"/>
        <v>עכו</v>
      </c>
      <c r="P53" s="121" t="str">
        <f t="shared" si="2"/>
        <v>יוקנעם</v>
      </c>
    </row>
    <row r="54" spans="1:16" x14ac:dyDescent="0.3">
      <c r="A54" s="61">
        <v>2</v>
      </c>
      <c r="B54" s="61">
        <v>23</v>
      </c>
      <c r="C54" s="60"/>
      <c r="G54" s="62"/>
      <c r="I54" s="86" t="e">
        <f t="shared" si="1"/>
        <v>#DIV/0!</v>
      </c>
      <c r="J54" s="87" t="e">
        <f t="shared" si="1"/>
        <v>#DIV/0!</v>
      </c>
      <c r="K54" s="87" t="e">
        <f t="shared" si="1"/>
        <v>#DIV/0!</v>
      </c>
      <c r="L54" s="87" t="e">
        <f t="shared" si="1"/>
        <v>#DIV/0!</v>
      </c>
      <c r="M54" s="88" t="e">
        <f t="shared" si="1"/>
        <v>#DIV/0!</v>
      </c>
      <c r="O54" s="121" t="str">
        <f t="shared" si="2"/>
        <v>עכו</v>
      </c>
      <c r="P54" s="121" t="str">
        <f t="shared" si="2"/>
        <v>דלית אל כרמל</v>
      </c>
    </row>
    <row r="55" spans="1:16" x14ac:dyDescent="0.3">
      <c r="A55" s="61">
        <v>2</v>
      </c>
      <c r="B55" s="61">
        <v>24</v>
      </c>
      <c r="C55" s="60"/>
      <c r="G55" s="62"/>
      <c r="I55" s="86" t="e">
        <f t="shared" si="1"/>
        <v>#DIV/0!</v>
      </c>
      <c r="J55" s="87" t="e">
        <f t="shared" si="1"/>
        <v>#DIV/0!</v>
      </c>
      <c r="K55" s="87" t="e">
        <f t="shared" si="1"/>
        <v>#DIV/0!</v>
      </c>
      <c r="L55" s="87" t="e">
        <f t="shared" si="1"/>
        <v>#DIV/0!</v>
      </c>
      <c r="M55" s="88" t="e">
        <f t="shared" si="1"/>
        <v>#DIV/0!</v>
      </c>
      <c r="O55" s="121" t="str">
        <f t="shared" si="2"/>
        <v>עכו</v>
      </c>
      <c r="P55" s="121" t="str">
        <f t="shared" si="2"/>
        <v>חוף הכרמל</v>
      </c>
    </row>
    <row r="56" spans="1:16" x14ac:dyDescent="0.3">
      <c r="A56" s="61">
        <v>2</v>
      </c>
      <c r="B56" s="61">
        <v>25</v>
      </c>
      <c r="C56" s="60"/>
      <c r="G56" s="62"/>
      <c r="I56" s="86" t="e">
        <f t="shared" si="1"/>
        <v>#DIV/0!</v>
      </c>
      <c r="J56" s="87" t="e">
        <f t="shared" si="1"/>
        <v>#DIV/0!</v>
      </c>
      <c r="K56" s="87" t="e">
        <f t="shared" si="1"/>
        <v>#DIV/0!</v>
      </c>
      <c r="L56" s="87" t="e">
        <f t="shared" si="1"/>
        <v>#DIV/0!</v>
      </c>
      <c r="M56" s="88" t="e">
        <f t="shared" si="1"/>
        <v>#DIV/0!</v>
      </c>
      <c r="O56" s="121" t="str">
        <f t="shared" si="2"/>
        <v>עכו</v>
      </c>
      <c r="P56" s="121" t="str">
        <f t="shared" si="2"/>
        <v>זכרון יעקב</v>
      </c>
    </row>
    <row r="57" spans="1:16" x14ac:dyDescent="0.3">
      <c r="A57" s="61">
        <v>2</v>
      </c>
      <c r="B57" s="61">
        <v>30</v>
      </c>
      <c r="C57" s="60"/>
      <c r="G57" s="62"/>
      <c r="I57" s="86" t="e">
        <f t="shared" si="1"/>
        <v>#DIV/0!</v>
      </c>
      <c r="J57" s="87" t="e">
        <f t="shared" si="1"/>
        <v>#DIV/0!</v>
      </c>
      <c r="K57" s="87" t="e">
        <f t="shared" si="1"/>
        <v>#DIV/0!</v>
      </c>
      <c r="L57" s="87" t="e">
        <f t="shared" si="1"/>
        <v>#DIV/0!</v>
      </c>
      <c r="M57" s="88" t="e">
        <f t="shared" si="1"/>
        <v>#DIV/0!</v>
      </c>
      <c r="O57" s="121" t="str">
        <f t="shared" si="2"/>
        <v>עכו</v>
      </c>
      <c r="P57" s="121" t="str">
        <f t="shared" si="2"/>
        <v>סכנין</v>
      </c>
    </row>
    <row r="58" spans="1:16" x14ac:dyDescent="0.3">
      <c r="A58" s="61">
        <v>3</v>
      </c>
      <c r="B58" s="61">
        <v>1</v>
      </c>
      <c r="C58" s="60"/>
      <c r="G58" s="62"/>
      <c r="I58" s="86" t="e">
        <f t="shared" si="1"/>
        <v>#DIV/0!</v>
      </c>
      <c r="J58" s="87" t="e">
        <f t="shared" si="1"/>
        <v>#DIV/0!</v>
      </c>
      <c r="K58" s="87" t="e">
        <f t="shared" si="1"/>
        <v>#DIV/0!</v>
      </c>
      <c r="L58" s="87" t="e">
        <f t="shared" si="1"/>
        <v>#DIV/0!</v>
      </c>
      <c r="M58" s="88" t="e">
        <f t="shared" si="1"/>
        <v>#DIV/0!</v>
      </c>
      <c r="O58" s="121" t="str">
        <f t="shared" si="2"/>
        <v>כרמיאל</v>
      </c>
      <c r="P58" s="121" t="str">
        <f t="shared" si="2"/>
        <v>נהריה</v>
      </c>
    </row>
    <row r="59" spans="1:16" x14ac:dyDescent="0.3">
      <c r="A59" s="61">
        <v>3</v>
      </c>
      <c r="B59" s="61">
        <v>2</v>
      </c>
      <c r="C59" s="60"/>
      <c r="G59" s="62"/>
      <c r="I59" s="86" t="e">
        <f t="shared" si="1"/>
        <v>#DIV/0!</v>
      </c>
      <c r="J59" s="87" t="e">
        <f t="shared" si="1"/>
        <v>#DIV/0!</v>
      </c>
      <c r="K59" s="87" t="e">
        <f t="shared" si="1"/>
        <v>#DIV/0!</v>
      </c>
      <c r="L59" s="87" t="e">
        <f t="shared" si="1"/>
        <v>#DIV/0!</v>
      </c>
      <c r="M59" s="88" t="e">
        <f t="shared" si="1"/>
        <v>#DIV/0!</v>
      </c>
      <c r="O59" s="121" t="str">
        <f t="shared" si="2"/>
        <v>כרמיאל</v>
      </c>
      <c r="P59" s="121" t="str">
        <f t="shared" si="2"/>
        <v>עכו</v>
      </c>
    </row>
    <row r="60" spans="1:16" x14ac:dyDescent="0.3">
      <c r="A60" s="61">
        <v>3</v>
      </c>
      <c r="B60" s="61">
        <v>3</v>
      </c>
      <c r="C60" s="60"/>
      <c r="G60" s="62"/>
      <c r="I60" s="86" t="e">
        <f t="shared" si="1"/>
        <v>#DIV/0!</v>
      </c>
      <c r="J60" s="87" t="e">
        <f t="shared" si="1"/>
        <v>#DIV/0!</v>
      </c>
      <c r="K60" s="87" t="e">
        <f t="shared" si="1"/>
        <v>#DIV/0!</v>
      </c>
      <c r="L60" s="87" t="e">
        <f t="shared" si="1"/>
        <v>#DIV/0!</v>
      </c>
      <c r="M60" s="88" t="e">
        <f t="shared" si="1"/>
        <v>#DIV/0!</v>
      </c>
      <c r="O60" s="121" t="str">
        <f t="shared" si="2"/>
        <v>כרמיאל</v>
      </c>
      <c r="P60" s="121" t="str">
        <f t="shared" si="2"/>
        <v>כרמיאל</v>
      </c>
    </row>
    <row r="61" spans="1:16" x14ac:dyDescent="0.3">
      <c r="A61" s="61">
        <v>3</v>
      </c>
      <c r="B61" s="61">
        <v>4</v>
      </c>
      <c r="C61" s="60"/>
      <c r="G61" s="62"/>
      <c r="I61" s="86" t="e">
        <f t="shared" si="1"/>
        <v>#DIV/0!</v>
      </c>
      <c r="J61" s="87" t="e">
        <f t="shared" si="1"/>
        <v>#DIV/0!</v>
      </c>
      <c r="K61" s="87" t="e">
        <f t="shared" si="1"/>
        <v>#DIV/0!</v>
      </c>
      <c r="L61" s="87" t="e">
        <f t="shared" si="1"/>
        <v>#DIV/0!</v>
      </c>
      <c r="M61" s="88" t="e">
        <f t="shared" si="1"/>
        <v>#DIV/0!</v>
      </c>
      <c r="O61" s="121" t="str">
        <f t="shared" si="2"/>
        <v>כרמיאל</v>
      </c>
      <c r="P61" s="121" t="str">
        <f t="shared" si="2"/>
        <v>שפרעם</v>
      </c>
    </row>
    <row r="62" spans="1:16" x14ac:dyDescent="0.3">
      <c r="A62" s="61">
        <v>3</v>
      </c>
      <c r="B62" s="61">
        <v>5</v>
      </c>
      <c r="C62" s="60"/>
      <c r="G62" s="62"/>
      <c r="I62" s="86" t="e">
        <f t="shared" si="1"/>
        <v>#DIV/0!</v>
      </c>
      <c r="J62" s="87" t="e">
        <f t="shared" si="1"/>
        <v>#DIV/0!</v>
      </c>
      <c r="K62" s="87" t="e">
        <f t="shared" si="1"/>
        <v>#DIV/0!</v>
      </c>
      <c r="L62" s="87" t="e">
        <f t="shared" si="1"/>
        <v>#DIV/0!</v>
      </c>
      <c r="M62" s="88" t="e">
        <f t="shared" si="1"/>
        <v>#DIV/0!</v>
      </c>
      <c r="O62" s="121" t="str">
        <f t="shared" si="2"/>
        <v>כרמיאל</v>
      </c>
      <c r="P62" s="121" t="str">
        <f t="shared" si="2"/>
        <v>קרית ים</v>
      </c>
    </row>
    <row r="63" spans="1:16" x14ac:dyDescent="0.3">
      <c r="A63" s="61">
        <v>3</v>
      </c>
      <c r="B63" s="61">
        <v>6</v>
      </c>
      <c r="C63" s="60"/>
      <c r="G63" s="62"/>
      <c r="I63" s="86" t="e">
        <f t="shared" si="1"/>
        <v>#DIV/0!</v>
      </c>
      <c r="J63" s="87" t="e">
        <f t="shared" si="1"/>
        <v>#DIV/0!</v>
      </c>
      <c r="K63" s="87" t="e">
        <f t="shared" si="1"/>
        <v>#DIV/0!</v>
      </c>
      <c r="L63" s="87" t="e">
        <f t="shared" si="1"/>
        <v>#DIV/0!</v>
      </c>
      <c r="M63" s="88" t="e">
        <f t="shared" si="1"/>
        <v>#DIV/0!</v>
      </c>
      <c r="O63" s="121" t="str">
        <f t="shared" si="2"/>
        <v>כרמיאל</v>
      </c>
      <c r="P63" s="121" t="str">
        <f t="shared" si="2"/>
        <v>קרית מוצקין</v>
      </c>
    </row>
    <row r="64" spans="1:16" x14ac:dyDescent="0.3">
      <c r="A64" s="61">
        <v>3</v>
      </c>
      <c r="B64" s="61">
        <v>7</v>
      </c>
      <c r="C64" s="60"/>
      <c r="G64" s="62"/>
      <c r="I64" s="86" t="e">
        <f t="shared" si="1"/>
        <v>#DIV/0!</v>
      </c>
      <c r="J64" s="87" t="e">
        <f t="shared" si="1"/>
        <v>#DIV/0!</v>
      </c>
      <c r="K64" s="87" t="e">
        <f t="shared" si="1"/>
        <v>#DIV/0!</v>
      </c>
      <c r="L64" s="87" t="e">
        <f t="shared" si="1"/>
        <v>#DIV/0!</v>
      </c>
      <c r="M64" s="88" t="e">
        <f t="shared" si="1"/>
        <v>#DIV/0!</v>
      </c>
      <c r="O64" s="121" t="str">
        <f t="shared" si="2"/>
        <v>כרמיאל</v>
      </c>
      <c r="P64" s="121" t="str">
        <f t="shared" si="2"/>
        <v>קרית ביאליק</v>
      </c>
    </row>
    <row r="65" spans="1:16" x14ac:dyDescent="0.3">
      <c r="A65" s="61">
        <v>3</v>
      </c>
      <c r="B65" s="61">
        <v>8</v>
      </c>
      <c r="C65" s="60"/>
      <c r="G65" s="62"/>
      <c r="I65" s="86" t="e">
        <f t="shared" si="1"/>
        <v>#DIV/0!</v>
      </c>
      <c r="J65" s="87" t="e">
        <f t="shared" si="1"/>
        <v>#DIV/0!</v>
      </c>
      <c r="K65" s="87" t="e">
        <f t="shared" si="1"/>
        <v>#DIV/0!</v>
      </c>
      <c r="L65" s="87" t="e">
        <f t="shared" si="1"/>
        <v>#DIV/0!</v>
      </c>
      <c r="M65" s="88" t="e">
        <f t="shared" si="1"/>
        <v>#DIV/0!</v>
      </c>
      <c r="O65" s="121" t="str">
        <f t="shared" si="2"/>
        <v>כרמיאל</v>
      </c>
      <c r="P65" s="121" t="str">
        <f t="shared" si="2"/>
        <v>קרית חיים</v>
      </c>
    </row>
    <row r="66" spans="1:16" x14ac:dyDescent="0.3">
      <c r="A66" s="61">
        <v>3</v>
      </c>
      <c r="B66" s="61">
        <v>9</v>
      </c>
      <c r="C66" s="60"/>
      <c r="G66" s="62"/>
      <c r="I66" s="86" t="e">
        <f t="shared" si="1"/>
        <v>#DIV/0!</v>
      </c>
      <c r="J66" s="87" t="e">
        <f t="shared" si="1"/>
        <v>#DIV/0!</v>
      </c>
      <c r="K66" s="87" t="e">
        <f t="shared" si="1"/>
        <v>#DIV/0!</v>
      </c>
      <c r="L66" s="87" t="e">
        <f t="shared" si="1"/>
        <v>#DIV/0!</v>
      </c>
      <c r="M66" s="88" t="e">
        <f t="shared" si="1"/>
        <v>#DIV/0!</v>
      </c>
      <c r="O66" s="121" t="str">
        <f t="shared" si="2"/>
        <v>כרמיאל</v>
      </c>
      <c r="P66" s="121" t="str">
        <f t="shared" si="2"/>
        <v>קרית אתא</v>
      </c>
    </row>
    <row r="67" spans="1:16" x14ac:dyDescent="0.3">
      <c r="A67" s="61">
        <v>3</v>
      </c>
      <c r="B67" s="61">
        <v>10</v>
      </c>
      <c r="C67" s="60"/>
      <c r="G67" s="62"/>
      <c r="I67" s="86" t="e">
        <f t="shared" si="1"/>
        <v>#DIV/0!</v>
      </c>
      <c r="J67" s="87" t="e">
        <f t="shared" si="1"/>
        <v>#DIV/0!</v>
      </c>
      <c r="K67" s="87" t="e">
        <f t="shared" si="1"/>
        <v>#DIV/0!</v>
      </c>
      <c r="L67" s="87" t="e">
        <f t="shared" si="1"/>
        <v>#DIV/0!</v>
      </c>
      <c r="M67" s="88" t="e">
        <f t="shared" si="1"/>
        <v>#DIV/0!</v>
      </c>
      <c r="O67" s="121" t="str">
        <f t="shared" si="2"/>
        <v>כרמיאל</v>
      </c>
      <c r="P67" s="121" t="str">
        <f t="shared" si="2"/>
        <v>כפר מנדא</v>
      </c>
    </row>
    <row r="68" spans="1:16" x14ac:dyDescent="0.3">
      <c r="A68" s="61">
        <v>3</v>
      </c>
      <c r="B68" s="61">
        <v>11</v>
      </c>
      <c r="C68" s="60"/>
      <c r="G68" s="62"/>
      <c r="I68" s="86" t="e">
        <f t="shared" si="1"/>
        <v>#DIV/0!</v>
      </c>
      <c r="J68" s="87" t="e">
        <f t="shared" si="1"/>
        <v>#DIV/0!</v>
      </c>
      <c r="K68" s="87" t="e">
        <f t="shared" si="1"/>
        <v>#DIV/0!</v>
      </c>
      <c r="L68" s="87" t="e">
        <f t="shared" si="1"/>
        <v>#DIV/0!</v>
      </c>
      <c r="M68" s="88" t="e">
        <f t="shared" si="1"/>
        <v>#DIV/0!</v>
      </c>
      <c r="O68" s="121" t="str">
        <f t="shared" si="2"/>
        <v>כרמיאל</v>
      </c>
      <c r="P68" s="121" t="str">
        <f t="shared" si="2"/>
        <v>זבולון</v>
      </c>
    </row>
    <row r="69" spans="1:16" x14ac:dyDescent="0.3">
      <c r="A69" s="61">
        <v>3</v>
      </c>
      <c r="B69" s="61">
        <v>12</v>
      </c>
      <c r="C69" s="60"/>
      <c r="G69" s="62"/>
      <c r="I69" s="86" t="e">
        <f t="shared" si="1"/>
        <v>#DIV/0!</v>
      </c>
      <c r="J69" s="87" t="e">
        <f t="shared" si="1"/>
        <v>#DIV/0!</v>
      </c>
      <c r="K69" s="87" t="e">
        <f t="shared" si="1"/>
        <v>#DIV/0!</v>
      </c>
      <c r="L69" s="87" t="e">
        <f t="shared" si="1"/>
        <v>#DIV/0!</v>
      </c>
      <c r="M69" s="88" t="e">
        <f t="shared" si="1"/>
        <v>#DIV/0!</v>
      </c>
      <c r="O69" s="121" t="str">
        <f t="shared" si="2"/>
        <v>כרמיאל</v>
      </c>
      <c r="P69" s="121" t="str">
        <f t="shared" si="2"/>
        <v>חיפה מפרץ</v>
      </c>
    </row>
    <row r="70" spans="1:16" x14ac:dyDescent="0.3">
      <c r="A70" s="61">
        <v>3</v>
      </c>
      <c r="B70" s="61">
        <v>13</v>
      </c>
      <c r="C70" s="60"/>
      <c r="G70" s="62"/>
      <c r="I70" s="86" t="e">
        <f t="shared" ref="I70:M120" si="3">C70/SUM($C70:$G70)</f>
        <v>#DIV/0!</v>
      </c>
      <c r="J70" s="87" t="e">
        <f t="shared" si="3"/>
        <v>#DIV/0!</v>
      </c>
      <c r="K70" s="87" t="e">
        <f t="shared" si="3"/>
        <v>#DIV/0!</v>
      </c>
      <c r="L70" s="87" t="e">
        <f t="shared" si="3"/>
        <v>#DIV/0!</v>
      </c>
      <c r="M70" s="88" t="e">
        <f t="shared" si="3"/>
        <v>#DIV/0!</v>
      </c>
      <c r="O70" s="121" t="str">
        <f t="shared" si="2"/>
        <v>כרמיאל</v>
      </c>
      <c r="P70" s="121" t="str">
        <f t="shared" si="2"/>
        <v>חיפה עיר תחתית</v>
      </c>
    </row>
    <row r="71" spans="1:16" x14ac:dyDescent="0.3">
      <c r="A71" s="61">
        <v>3</v>
      </c>
      <c r="B71" s="61">
        <v>14</v>
      </c>
      <c r="C71" s="60"/>
      <c r="G71" s="62"/>
      <c r="I71" s="86" t="e">
        <f t="shared" si="3"/>
        <v>#DIV/0!</v>
      </c>
      <c r="J71" s="87" t="e">
        <f t="shared" si="3"/>
        <v>#DIV/0!</v>
      </c>
      <c r="K71" s="87" t="e">
        <f t="shared" si="3"/>
        <v>#DIV/0!</v>
      </c>
      <c r="L71" s="87" t="e">
        <f t="shared" si="3"/>
        <v>#DIV/0!</v>
      </c>
      <c r="M71" s="88" t="e">
        <f t="shared" si="3"/>
        <v>#DIV/0!</v>
      </c>
      <c r="O71" s="121" t="str">
        <f t="shared" ref="O71:P134" si="4">VLOOKUP(A71,$S$6:$T$31,2,0)</f>
        <v>כרמיאל</v>
      </c>
      <c r="P71" s="121" t="str">
        <f t="shared" si="4"/>
        <v>חיפה הדר-כרמל</v>
      </c>
    </row>
    <row r="72" spans="1:16" x14ac:dyDescent="0.3">
      <c r="A72" s="61">
        <v>3</v>
      </c>
      <c r="B72" s="61">
        <v>15</v>
      </c>
      <c r="C72" s="60"/>
      <c r="G72" s="62"/>
      <c r="I72" s="86" t="e">
        <f t="shared" si="3"/>
        <v>#DIV/0!</v>
      </c>
      <c r="J72" s="87" t="e">
        <f t="shared" si="3"/>
        <v>#DIV/0!</v>
      </c>
      <c r="K72" s="87" t="e">
        <f t="shared" si="3"/>
        <v>#DIV/0!</v>
      </c>
      <c r="L72" s="87" t="e">
        <f t="shared" si="3"/>
        <v>#DIV/0!</v>
      </c>
      <c r="M72" s="88" t="e">
        <f t="shared" si="3"/>
        <v>#DIV/0!</v>
      </c>
      <c r="O72" s="121" t="str">
        <f t="shared" si="4"/>
        <v>כרמיאל</v>
      </c>
      <c r="P72" s="121" t="str">
        <f t="shared" si="4"/>
        <v>חיפה מערב</v>
      </c>
    </row>
    <row r="73" spans="1:16" x14ac:dyDescent="0.3">
      <c r="A73" s="61">
        <v>3</v>
      </c>
      <c r="B73" s="61">
        <v>16</v>
      </c>
      <c r="C73" s="60"/>
      <c r="G73" s="62"/>
      <c r="I73" s="86" t="e">
        <f t="shared" si="3"/>
        <v>#DIV/0!</v>
      </c>
      <c r="J73" s="87" t="e">
        <f t="shared" si="3"/>
        <v>#DIV/0!</v>
      </c>
      <c r="K73" s="87" t="e">
        <f t="shared" si="3"/>
        <v>#DIV/0!</v>
      </c>
      <c r="L73" s="87" t="e">
        <f t="shared" si="3"/>
        <v>#DIV/0!</v>
      </c>
      <c r="M73" s="88" t="e">
        <f t="shared" si="3"/>
        <v>#DIV/0!</v>
      </c>
      <c r="O73" s="121" t="str">
        <f t="shared" si="4"/>
        <v>כרמיאל</v>
      </c>
      <c r="P73" s="121" t="str">
        <f t="shared" si="4"/>
        <v>חיפה כרמל</v>
      </c>
    </row>
    <row r="74" spans="1:16" x14ac:dyDescent="0.3">
      <c r="A74" s="61">
        <v>3</v>
      </c>
      <c r="B74" s="61">
        <v>17</v>
      </c>
      <c r="C74" s="60"/>
      <c r="G74" s="62"/>
      <c r="I74" s="86" t="e">
        <f t="shared" si="3"/>
        <v>#DIV/0!</v>
      </c>
      <c r="J74" s="87" t="e">
        <f t="shared" si="3"/>
        <v>#DIV/0!</v>
      </c>
      <c r="K74" s="87" t="e">
        <f t="shared" si="3"/>
        <v>#DIV/0!</v>
      </c>
      <c r="L74" s="87" t="e">
        <f t="shared" si="3"/>
        <v>#DIV/0!</v>
      </c>
      <c r="M74" s="88" t="e">
        <f t="shared" si="3"/>
        <v>#DIV/0!</v>
      </c>
      <c r="O74" s="121" t="str">
        <f t="shared" si="4"/>
        <v>כרמיאל</v>
      </c>
      <c r="P74" s="121" t="str">
        <f t="shared" si="4"/>
        <v>חיפה נווה שאנן</v>
      </c>
    </row>
    <row r="75" spans="1:16" x14ac:dyDescent="0.3">
      <c r="A75" s="61">
        <v>3</v>
      </c>
      <c r="B75" s="61">
        <v>18</v>
      </c>
      <c r="C75" s="60"/>
      <c r="G75" s="62"/>
      <c r="I75" s="86" t="e">
        <f t="shared" si="3"/>
        <v>#DIV/0!</v>
      </c>
      <c r="J75" s="87" t="e">
        <f t="shared" si="3"/>
        <v>#DIV/0!</v>
      </c>
      <c r="K75" s="87" t="e">
        <f t="shared" si="3"/>
        <v>#DIV/0!</v>
      </c>
      <c r="L75" s="87" t="e">
        <f t="shared" si="3"/>
        <v>#DIV/0!</v>
      </c>
      <c r="M75" s="88" t="e">
        <f t="shared" si="3"/>
        <v>#DIV/0!</v>
      </c>
      <c r="O75" s="121" t="str">
        <f t="shared" si="4"/>
        <v>כרמיאל</v>
      </c>
      <c r="P75" s="121" t="str">
        <f t="shared" si="4"/>
        <v>נשר</v>
      </c>
    </row>
    <row r="76" spans="1:16" x14ac:dyDescent="0.3">
      <c r="A76" s="61">
        <v>3</v>
      </c>
      <c r="B76" s="61">
        <v>19</v>
      </c>
      <c r="C76" s="60"/>
      <c r="G76" s="62"/>
      <c r="I76" s="86" t="e">
        <f t="shared" si="3"/>
        <v>#DIV/0!</v>
      </c>
      <c r="J76" s="87" t="e">
        <f t="shared" si="3"/>
        <v>#DIV/0!</v>
      </c>
      <c r="K76" s="87" t="e">
        <f t="shared" si="3"/>
        <v>#DIV/0!</v>
      </c>
      <c r="L76" s="87" t="e">
        <f t="shared" si="3"/>
        <v>#DIV/0!</v>
      </c>
      <c r="M76" s="88" t="e">
        <f t="shared" si="3"/>
        <v>#DIV/0!</v>
      </c>
      <c r="O76" s="121" t="str">
        <f t="shared" si="4"/>
        <v>כרמיאל</v>
      </c>
      <c r="P76" s="121" t="str">
        <f t="shared" si="4"/>
        <v>נצרת</v>
      </c>
    </row>
    <row r="77" spans="1:16" x14ac:dyDescent="0.3">
      <c r="A77" s="61">
        <v>3</v>
      </c>
      <c r="B77" s="61">
        <v>20</v>
      </c>
      <c r="C77" s="60"/>
      <c r="G77" s="62"/>
      <c r="I77" s="86" t="e">
        <f t="shared" si="3"/>
        <v>#DIV/0!</v>
      </c>
      <c r="J77" s="87" t="e">
        <f t="shared" si="3"/>
        <v>#DIV/0!</v>
      </c>
      <c r="K77" s="87" t="e">
        <f t="shared" si="3"/>
        <v>#DIV/0!</v>
      </c>
      <c r="L77" s="87" t="e">
        <f t="shared" si="3"/>
        <v>#DIV/0!</v>
      </c>
      <c r="M77" s="88" t="e">
        <f t="shared" si="3"/>
        <v>#DIV/0!</v>
      </c>
      <c r="O77" s="121" t="str">
        <f t="shared" si="4"/>
        <v>כרמיאל</v>
      </c>
      <c r="P77" s="121" t="str">
        <f t="shared" si="4"/>
        <v>נצרת-עילית</v>
      </c>
    </row>
    <row r="78" spans="1:16" x14ac:dyDescent="0.3">
      <c r="A78" s="61">
        <v>3</v>
      </c>
      <c r="B78" s="61">
        <v>21</v>
      </c>
      <c r="C78" s="60"/>
      <c r="G78" s="62"/>
      <c r="I78" s="86" t="e">
        <f t="shared" si="3"/>
        <v>#DIV/0!</v>
      </c>
      <c r="J78" s="87" t="e">
        <f t="shared" si="3"/>
        <v>#DIV/0!</v>
      </c>
      <c r="K78" s="87" t="e">
        <f t="shared" si="3"/>
        <v>#DIV/0!</v>
      </c>
      <c r="L78" s="87" t="e">
        <f t="shared" si="3"/>
        <v>#DIV/0!</v>
      </c>
      <c r="M78" s="88" t="e">
        <f t="shared" si="3"/>
        <v>#DIV/0!</v>
      </c>
      <c r="O78" s="121" t="str">
        <f t="shared" si="4"/>
        <v>כרמיאל</v>
      </c>
      <c r="P78" s="121" t="str">
        <f t="shared" si="4"/>
        <v>מגדל העמק</v>
      </c>
    </row>
    <row r="79" spans="1:16" x14ac:dyDescent="0.3">
      <c r="A79" s="61">
        <v>3</v>
      </c>
      <c r="B79" s="61">
        <v>22</v>
      </c>
      <c r="C79" s="60"/>
      <c r="G79" s="62"/>
      <c r="I79" s="86" t="e">
        <f t="shared" si="3"/>
        <v>#DIV/0!</v>
      </c>
      <c r="J79" s="87" t="e">
        <f t="shared" si="3"/>
        <v>#DIV/0!</v>
      </c>
      <c r="K79" s="87" t="e">
        <f t="shared" si="3"/>
        <v>#DIV/0!</v>
      </c>
      <c r="L79" s="87" t="e">
        <f t="shared" si="3"/>
        <v>#DIV/0!</v>
      </c>
      <c r="M79" s="88" t="e">
        <f t="shared" si="3"/>
        <v>#DIV/0!</v>
      </c>
      <c r="O79" s="121" t="str">
        <f t="shared" si="4"/>
        <v>כרמיאל</v>
      </c>
      <c r="P79" s="121" t="str">
        <f t="shared" si="4"/>
        <v>יוקנעם</v>
      </c>
    </row>
    <row r="80" spans="1:16" x14ac:dyDescent="0.3">
      <c r="A80" s="61">
        <v>3</v>
      </c>
      <c r="B80" s="61">
        <v>23</v>
      </c>
      <c r="C80" s="60"/>
      <c r="G80" s="62"/>
      <c r="I80" s="86" t="e">
        <f t="shared" si="3"/>
        <v>#DIV/0!</v>
      </c>
      <c r="J80" s="87" t="e">
        <f t="shared" si="3"/>
        <v>#DIV/0!</v>
      </c>
      <c r="K80" s="87" t="e">
        <f t="shared" si="3"/>
        <v>#DIV/0!</v>
      </c>
      <c r="L80" s="87" t="e">
        <f t="shared" si="3"/>
        <v>#DIV/0!</v>
      </c>
      <c r="M80" s="88" t="e">
        <f t="shared" si="3"/>
        <v>#DIV/0!</v>
      </c>
      <c r="O80" s="121" t="str">
        <f t="shared" si="4"/>
        <v>כרמיאל</v>
      </c>
      <c r="P80" s="121" t="str">
        <f t="shared" si="4"/>
        <v>דלית אל כרמל</v>
      </c>
    </row>
    <row r="81" spans="1:16" x14ac:dyDescent="0.3">
      <c r="A81" s="61">
        <v>3</v>
      </c>
      <c r="B81" s="61">
        <v>24</v>
      </c>
      <c r="C81" s="60"/>
      <c r="G81" s="62"/>
      <c r="I81" s="86" t="e">
        <f t="shared" si="3"/>
        <v>#DIV/0!</v>
      </c>
      <c r="J81" s="87" t="e">
        <f t="shared" si="3"/>
        <v>#DIV/0!</v>
      </c>
      <c r="K81" s="87" t="e">
        <f t="shared" si="3"/>
        <v>#DIV/0!</v>
      </c>
      <c r="L81" s="87" t="e">
        <f t="shared" si="3"/>
        <v>#DIV/0!</v>
      </c>
      <c r="M81" s="88" t="e">
        <f t="shared" si="3"/>
        <v>#DIV/0!</v>
      </c>
      <c r="O81" s="121" t="str">
        <f t="shared" si="4"/>
        <v>כרמיאל</v>
      </c>
      <c r="P81" s="121" t="str">
        <f t="shared" si="4"/>
        <v>חוף הכרמל</v>
      </c>
    </row>
    <row r="82" spans="1:16" x14ac:dyDescent="0.3">
      <c r="A82" s="61">
        <v>3</v>
      </c>
      <c r="B82" s="61">
        <v>25</v>
      </c>
      <c r="C82" s="60"/>
      <c r="G82" s="62"/>
      <c r="I82" s="86" t="e">
        <f t="shared" si="3"/>
        <v>#DIV/0!</v>
      </c>
      <c r="J82" s="87" t="e">
        <f t="shared" si="3"/>
        <v>#DIV/0!</v>
      </c>
      <c r="K82" s="87" t="e">
        <f t="shared" si="3"/>
        <v>#DIV/0!</v>
      </c>
      <c r="L82" s="87" t="e">
        <f t="shared" si="3"/>
        <v>#DIV/0!</v>
      </c>
      <c r="M82" s="88" t="e">
        <f t="shared" si="3"/>
        <v>#DIV/0!</v>
      </c>
      <c r="O82" s="121" t="str">
        <f t="shared" si="4"/>
        <v>כרמיאל</v>
      </c>
      <c r="P82" s="121" t="str">
        <f t="shared" si="4"/>
        <v>זכרון יעקב</v>
      </c>
    </row>
    <row r="83" spans="1:16" x14ac:dyDescent="0.3">
      <c r="A83" s="61">
        <v>3</v>
      </c>
      <c r="B83" s="61">
        <v>30</v>
      </c>
      <c r="C83" s="60"/>
      <c r="G83" s="62"/>
      <c r="I83" s="86" t="e">
        <f t="shared" si="3"/>
        <v>#DIV/0!</v>
      </c>
      <c r="J83" s="87" t="e">
        <f t="shared" si="3"/>
        <v>#DIV/0!</v>
      </c>
      <c r="K83" s="87" t="e">
        <f t="shared" si="3"/>
        <v>#DIV/0!</v>
      </c>
      <c r="L83" s="87" t="e">
        <f t="shared" si="3"/>
        <v>#DIV/0!</v>
      </c>
      <c r="M83" s="88" t="e">
        <f t="shared" si="3"/>
        <v>#DIV/0!</v>
      </c>
      <c r="O83" s="121" t="str">
        <f t="shared" si="4"/>
        <v>כרמיאל</v>
      </c>
      <c r="P83" s="121" t="str">
        <f t="shared" si="4"/>
        <v>סכנין</v>
      </c>
    </row>
    <row r="84" spans="1:16" x14ac:dyDescent="0.3">
      <c r="A84" s="61">
        <v>4</v>
      </c>
      <c r="B84" s="61">
        <v>1</v>
      </c>
      <c r="C84" s="60"/>
      <c r="G84" s="62"/>
      <c r="I84" s="86" t="e">
        <f t="shared" si="3"/>
        <v>#DIV/0!</v>
      </c>
      <c r="J84" s="87" t="e">
        <f t="shared" si="3"/>
        <v>#DIV/0!</v>
      </c>
      <c r="K84" s="87" t="e">
        <f t="shared" si="3"/>
        <v>#DIV/0!</v>
      </c>
      <c r="L84" s="87" t="e">
        <f t="shared" si="3"/>
        <v>#DIV/0!</v>
      </c>
      <c r="M84" s="88" t="e">
        <f t="shared" si="3"/>
        <v>#DIV/0!</v>
      </c>
      <c r="O84" s="121" t="str">
        <f t="shared" si="4"/>
        <v>שפרעם</v>
      </c>
      <c r="P84" s="121" t="str">
        <f t="shared" si="4"/>
        <v>נהריה</v>
      </c>
    </row>
    <row r="85" spans="1:16" x14ac:dyDescent="0.3">
      <c r="A85" s="61">
        <v>4</v>
      </c>
      <c r="B85" s="61">
        <v>2</v>
      </c>
      <c r="C85" s="60"/>
      <c r="G85" s="62"/>
      <c r="I85" s="86" t="e">
        <f t="shared" si="3"/>
        <v>#DIV/0!</v>
      </c>
      <c r="J85" s="87" t="e">
        <f t="shared" si="3"/>
        <v>#DIV/0!</v>
      </c>
      <c r="K85" s="87" t="e">
        <f t="shared" si="3"/>
        <v>#DIV/0!</v>
      </c>
      <c r="L85" s="87" t="e">
        <f t="shared" si="3"/>
        <v>#DIV/0!</v>
      </c>
      <c r="M85" s="88" t="e">
        <f t="shared" si="3"/>
        <v>#DIV/0!</v>
      </c>
      <c r="O85" s="121" t="str">
        <f t="shared" si="4"/>
        <v>שפרעם</v>
      </c>
      <c r="P85" s="121" t="str">
        <f t="shared" si="4"/>
        <v>עכו</v>
      </c>
    </row>
    <row r="86" spans="1:16" x14ac:dyDescent="0.3">
      <c r="A86" s="61">
        <v>4</v>
      </c>
      <c r="B86" s="61">
        <v>3</v>
      </c>
      <c r="C86" s="60"/>
      <c r="G86" s="62"/>
      <c r="I86" s="86" t="e">
        <f t="shared" si="3"/>
        <v>#DIV/0!</v>
      </c>
      <c r="J86" s="87" t="e">
        <f t="shared" si="3"/>
        <v>#DIV/0!</v>
      </c>
      <c r="K86" s="87" t="e">
        <f t="shared" si="3"/>
        <v>#DIV/0!</v>
      </c>
      <c r="L86" s="87" t="e">
        <f t="shared" si="3"/>
        <v>#DIV/0!</v>
      </c>
      <c r="M86" s="88" t="e">
        <f t="shared" si="3"/>
        <v>#DIV/0!</v>
      </c>
      <c r="O86" s="121" t="str">
        <f t="shared" si="4"/>
        <v>שפרעם</v>
      </c>
      <c r="P86" s="121" t="str">
        <f t="shared" si="4"/>
        <v>כרמיאל</v>
      </c>
    </row>
    <row r="87" spans="1:16" x14ac:dyDescent="0.3">
      <c r="A87" s="61">
        <v>4</v>
      </c>
      <c r="B87" s="61">
        <v>4</v>
      </c>
      <c r="C87" s="60"/>
      <c r="G87" s="62"/>
      <c r="I87" s="86" t="e">
        <f t="shared" si="3"/>
        <v>#DIV/0!</v>
      </c>
      <c r="J87" s="87" t="e">
        <f t="shared" si="3"/>
        <v>#DIV/0!</v>
      </c>
      <c r="K87" s="87" t="e">
        <f t="shared" si="3"/>
        <v>#DIV/0!</v>
      </c>
      <c r="L87" s="87" t="e">
        <f t="shared" si="3"/>
        <v>#DIV/0!</v>
      </c>
      <c r="M87" s="88" t="e">
        <f t="shared" si="3"/>
        <v>#DIV/0!</v>
      </c>
      <c r="O87" s="121" t="str">
        <f t="shared" si="4"/>
        <v>שפרעם</v>
      </c>
      <c r="P87" s="121" t="str">
        <f t="shared" si="4"/>
        <v>שפרעם</v>
      </c>
    </row>
    <row r="88" spans="1:16" x14ac:dyDescent="0.3">
      <c r="A88" s="61">
        <v>4</v>
      </c>
      <c r="B88" s="61">
        <v>5</v>
      </c>
      <c r="C88" s="60"/>
      <c r="G88" s="62"/>
      <c r="I88" s="86" t="e">
        <f t="shared" si="3"/>
        <v>#DIV/0!</v>
      </c>
      <c r="J88" s="87" t="e">
        <f t="shared" si="3"/>
        <v>#DIV/0!</v>
      </c>
      <c r="K88" s="87" t="e">
        <f t="shared" si="3"/>
        <v>#DIV/0!</v>
      </c>
      <c r="L88" s="87" t="e">
        <f t="shared" si="3"/>
        <v>#DIV/0!</v>
      </c>
      <c r="M88" s="88" t="e">
        <f t="shared" si="3"/>
        <v>#DIV/0!</v>
      </c>
      <c r="O88" s="121" t="str">
        <f t="shared" si="4"/>
        <v>שפרעם</v>
      </c>
      <c r="P88" s="121" t="str">
        <f t="shared" si="4"/>
        <v>קרית ים</v>
      </c>
    </row>
    <row r="89" spans="1:16" x14ac:dyDescent="0.3">
      <c r="A89" s="61">
        <v>4</v>
      </c>
      <c r="B89" s="61">
        <v>6</v>
      </c>
      <c r="C89" s="60"/>
      <c r="G89" s="62"/>
      <c r="I89" s="86" t="e">
        <f t="shared" si="3"/>
        <v>#DIV/0!</v>
      </c>
      <c r="J89" s="87" t="e">
        <f t="shared" si="3"/>
        <v>#DIV/0!</v>
      </c>
      <c r="K89" s="87" t="e">
        <f t="shared" si="3"/>
        <v>#DIV/0!</v>
      </c>
      <c r="L89" s="87" t="e">
        <f t="shared" si="3"/>
        <v>#DIV/0!</v>
      </c>
      <c r="M89" s="88" t="e">
        <f t="shared" si="3"/>
        <v>#DIV/0!</v>
      </c>
      <c r="O89" s="121" t="str">
        <f t="shared" si="4"/>
        <v>שפרעם</v>
      </c>
      <c r="P89" s="121" t="str">
        <f t="shared" si="4"/>
        <v>קרית מוצקין</v>
      </c>
    </row>
    <row r="90" spans="1:16" x14ac:dyDescent="0.3">
      <c r="A90" s="61">
        <v>4</v>
      </c>
      <c r="B90" s="61">
        <v>7</v>
      </c>
      <c r="C90" s="60"/>
      <c r="G90" s="62"/>
      <c r="I90" s="86" t="e">
        <f t="shared" si="3"/>
        <v>#DIV/0!</v>
      </c>
      <c r="J90" s="87" t="e">
        <f t="shared" si="3"/>
        <v>#DIV/0!</v>
      </c>
      <c r="K90" s="87" t="e">
        <f t="shared" si="3"/>
        <v>#DIV/0!</v>
      </c>
      <c r="L90" s="87" t="e">
        <f t="shared" si="3"/>
        <v>#DIV/0!</v>
      </c>
      <c r="M90" s="88" t="e">
        <f t="shared" si="3"/>
        <v>#DIV/0!</v>
      </c>
      <c r="O90" s="121" t="str">
        <f t="shared" si="4"/>
        <v>שפרעם</v>
      </c>
      <c r="P90" s="121" t="str">
        <f t="shared" si="4"/>
        <v>קרית ביאליק</v>
      </c>
    </row>
    <row r="91" spans="1:16" x14ac:dyDescent="0.3">
      <c r="A91" s="61">
        <v>4</v>
      </c>
      <c r="B91" s="61">
        <v>8</v>
      </c>
      <c r="C91" s="60"/>
      <c r="G91" s="62"/>
      <c r="I91" s="86" t="e">
        <f t="shared" si="3"/>
        <v>#DIV/0!</v>
      </c>
      <c r="J91" s="87" t="e">
        <f t="shared" si="3"/>
        <v>#DIV/0!</v>
      </c>
      <c r="K91" s="87" t="e">
        <f t="shared" si="3"/>
        <v>#DIV/0!</v>
      </c>
      <c r="L91" s="87" t="e">
        <f t="shared" si="3"/>
        <v>#DIV/0!</v>
      </c>
      <c r="M91" s="88" t="e">
        <f t="shared" si="3"/>
        <v>#DIV/0!</v>
      </c>
      <c r="O91" s="121" t="str">
        <f t="shared" si="4"/>
        <v>שפרעם</v>
      </c>
      <c r="P91" s="121" t="str">
        <f t="shared" si="4"/>
        <v>קרית חיים</v>
      </c>
    </row>
    <row r="92" spans="1:16" x14ac:dyDescent="0.3">
      <c r="A92" s="61">
        <v>4</v>
      </c>
      <c r="B92" s="61">
        <v>9</v>
      </c>
      <c r="C92" s="60"/>
      <c r="G92" s="62"/>
      <c r="I92" s="86" t="e">
        <f t="shared" si="3"/>
        <v>#DIV/0!</v>
      </c>
      <c r="J92" s="87" t="e">
        <f t="shared" si="3"/>
        <v>#DIV/0!</v>
      </c>
      <c r="K92" s="87" t="e">
        <f t="shared" si="3"/>
        <v>#DIV/0!</v>
      </c>
      <c r="L92" s="87" t="e">
        <f t="shared" si="3"/>
        <v>#DIV/0!</v>
      </c>
      <c r="M92" s="88" t="e">
        <f t="shared" si="3"/>
        <v>#DIV/0!</v>
      </c>
      <c r="O92" s="121" t="str">
        <f t="shared" si="4"/>
        <v>שפרעם</v>
      </c>
      <c r="P92" s="121" t="str">
        <f t="shared" si="4"/>
        <v>קרית אתא</v>
      </c>
    </row>
    <row r="93" spans="1:16" x14ac:dyDescent="0.3">
      <c r="A93" s="61">
        <v>4</v>
      </c>
      <c r="B93" s="61">
        <v>10</v>
      </c>
      <c r="C93" s="60"/>
      <c r="G93" s="62"/>
      <c r="I93" s="86" t="e">
        <f t="shared" si="3"/>
        <v>#DIV/0!</v>
      </c>
      <c r="J93" s="87" t="e">
        <f t="shared" si="3"/>
        <v>#DIV/0!</v>
      </c>
      <c r="K93" s="87" t="e">
        <f t="shared" si="3"/>
        <v>#DIV/0!</v>
      </c>
      <c r="L93" s="87" t="e">
        <f t="shared" si="3"/>
        <v>#DIV/0!</v>
      </c>
      <c r="M93" s="88" t="e">
        <f t="shared" si="3"/>
        <v>#DIV/0!</v>
      </c>
      <c r="O93" s="121" t="str">
        <f t="shared" si="4"/>
        <v>שפרעם</v>
      </c>
      <c r="P93" s="121" t="str">
        <f t="shared" si="4"/>
        <v>כפר מנדא</v>
      </c>
    </row>
    <row r="94" spans="1:16" x14ac:dyDescent="0.3">
      <c r="A94" s="61">
        <v>4</v>
      </c>
      <c r="B94" s="61">
        <v>11</v>
      </c>
      <c r="C94" s="60"/>
      <c r="G94" s="62"/>
      <c r="I94" s="86" t="e">
        <f t="shared" si="3"/>
        <v>#DIV/0!</v>
      </c>
      <c r="J94" s="87" t="e">
        <f t="shared" si="3"/>
        <v>#DIV/0!</v>
      </c>
      <c r="K94" s="87" t="e">
        <f t="shared" si="3"/>
        <v>#DIV/0!</v>
      </c>
      <c r="L94" s="87" t="e">
        <f t="shared" si="3"/>
        <v>#DIV/0!</v>
      </c>
      <c r="M94" s="88" t="e">
        <f t="shared" si="3"/>
        <v>#DIV/0!</v>
      </c>
      <c r="O94" s="121" t="str">
        <f t="shared" si="4"/>
        <v>שפרעם</v>
      </c>
      <c r="P94" s="121" t="str">
        <f t="shared" si="4"/>
        <v>זבולון</v>
      </c>
    </row>
    <row r="95" spans="1:16" x14ac:dyDescent="0.3">
      <c r="A95" s="61">
        <v>4</v>
      </c>
      <c r="B95" s="61">
        <v>12</v>
      </c>
      <c r="C95" s="60"/>
      <c r="G95" s="62"/>
      <c r="I95" s="86" t="e">
        <f t="shared" si="3"/>
        <v>#DIV/0!</v>
      </c>
      <c r="J95" s="87" t="e">
        <f t="shared" si="3"/>
        <v>#DIV/0!</v>
      </c>
      <c r="K95" s="87" t="e">
        <f t="shared" si="3"/>
        <v>#DIV/0!</v>
      </c>
      <c r="L95" s="87" t="e">
        <f t="shared" si="3"/>
        <v>#DIV/0!</v>
      </c>
      <c r="M95" s="88" t="e">
        <f t="shared" si="3"/>
        <v>#DIV/0!</v>
      </c>
      <c r="O95" s="121" t="str">
        <f t="shared" si="4"/>
        <v>שפרעם</v>
      </c>
      <c r="P95" s="121" t="str">
        <f t="shared" si="4"/>
        <v>חיפה מפרץ</v>
      </c>
    </row>
    <row r="96" spans="1:16" x14ac:dyDescent="0.3">
      <c r="A96" s="61">
        <v>4</v>
      </c>
      <c r="B96" s="61">
        <v>13</v>
      </c>
      <c r="C96" s="60"/>
      <c r="G96" s="62"/>
      <c r="I96" s="86" t="e">
        <f t="shared" si="3"/>
        <v>#DIV/0!</v>
      </c>
      <c r="J96" s="87" t="e">
        <f t="shared" si="3"/>
        <v>#DIV/0!</v>
      </c>
      <c r="K96" s="87" t="e">
        <f t="shared" si="3"/>
        <v>#DIV/0!</v>
      </c>
      <c r="L96" s="87" t="e">
        <f t="shared" si="3"/>
        <v>#DIV/0!</v>
      </c>
      <c r="M96" s="88" t="e">
        <f t="shared" si="3"/>
        <v>#DIV/0!</v>
      </c>
      <c r="O96" s="121" t="str">
        <f t="shared" si="4"/>
        <v>שפרעם</v>
      </c>
      <c r="P96" s="121" t="str">
        <f t="shared" si="4"/>
        <v>חיפה עיר תחתית</v>
      </c>
    </row>
    <row r="97" spans="1:16" x14ac:dyDescent="0.3">
      <c r="A97" s="61">
        <v>4</v>
      </c>
      <c r="B97" s="61">
        <v>14</v>
      </c>
      <c r="C97" s="60"/>
      <c r="G97" s="62"/>
      <c r="I97" s="86" t="e">
        <f t="shared" si="3"/>
        <v>#DIV/0!</v>
      </c>
      <c r="J97" s="87" t="e">
        <f t="shared" si="3"/>
        <v>#DIV/0!</v>
      </c>
      <c r="K97" s="87" t="e">
        <f t="shared" si="3"/>
        <v>#DIV/0!</v>
      </c>
      <c r="L97" s="87" t="e">
        <f t="shared" si="3"/>
        <v>#DIV/0!</v>
      </c>
      <c r="M97" s="88" t="e">
        <f t="shared" si="3"/>
        <v>#DIV/0!</v>
      </c>
      <c r="O97" s="121" t="str">
        <f t="shared" si="4"/>
        <v>שפרעם</v>
      </c>
      <c r="P97" s="121" t="str">
        <f t="shared" si="4"/>
        <v>חיפה הדר-כרמל</v>
      </c>
    </row>
    <row r="98" spans="1:16" x14ac:dyDescent="0.3">
      <c r="A98" s="61">
        <v>4</v>
      </c>
      <c r="B98" s="61">
        <v>15</v>
      </c>
      <c r="C98" s="60"/>
      <c r="G98" s="62"/>
      <c r="I98" s="86" t="e">
        <f t="shared" si="3"/>
        <v>#DIV/0!</v>
      </c>
      <c r="J98" s="87" t="e">
        <f t="shared" si="3"/>
        <v>#DIV/0!</v>
      </c>
      <c r="K98" s="87" t="e">
        <f t="shared" si="3"/>
        <v>#DIV/0!</v>
      </c>
      <c r="L98" s="87" t="e">
        <f t="shared" si="3"/>
        <v>#DIV/0!</v>
      </c>
      <c r="M98" s="88" t="e">
        <f t="shared" si="3"/>
        <v>#DIV/0!</v>
      </c>
      <c r="O98" s="121" t="str">
        <f t="shared" si="4"/>
        <v>שפרעם</v>
      </c>
      <c r="P98" s="121" t="str">
        <f t="shared" si="4"/>
        <v>חיפה מערב</v>
      </c>
    </row>
    <row r="99" spans="1:16" x14ac:dyDescent="0.3">
      <c r="A99" s="61">
        <v>4</v>
      </c>
      <c r="B99" s="61">
        <v>16</v>
      </c>
      <c r="C99" s="60"/>
      <c r="G99" s="62"/>
      <c r="I99" s="86" t="e">
        <f t="shared" si="3"/>
        <v>#DIV/0!</v>
      </c>
      <c r="J99" s="87" t="e">
        <f t="shared" si="3"/>
        <v>#DIV/0!</v>
      </c>
      <c r="K99" s="87" t="e">
        <f t="shared" si="3"/>
        <v>#DIV/0!</v>
      </c>
      <c r="L99" s="87" t="e">
        <f t="shared" si="3"/>
        <v>#DIV/0!</v>
      </c>
      <c r="M99" s="88" t="e">
        <f t="shared" si="3"/>
        <v>#DIV/0!</v>
      </c>
      <c r="O99" s="121" t="str">
        <f t="shared" si="4"/>
        <v>שפרעם</v>
      </c>
      <c r="P99" s="121" t="str">
        <f t="shared" si="4"/>
        <v>חיפה כרמל</v>
      </c>
    </row>
    <row r="100" spans="1:16" x14ac:dyDescent="0.3">
      <c r="A100" s="61">
        <v>4</v>
      </c>
      <c r="B100" s="61">
        <v>17</v>
      </c>
      <c r="C100" s="60"/>
      <c r="G100" s="62"/>
      <c r="I100" s="86" t="e">
        <f t="shared" si="3"/>
        <v>#DIV/0!</v>
      </c>
      <c r="J100" s="87" t="e">
        <f t="shared" si="3"/>
        <v>#DIV/0!</v>
      </c>
      <c r="K100" s="87" t="e">
        <f t="shared" si="3"/>
        <v>#DIV/0!</v>
      </c>
      <c r="L100" s="87" t="e">
        <f t="shared" si="3"/>
        <v>#DIV/0!</v>
      </c>
      <c r="M100" s="88" t="e">
        <f t="shared" si="3"/>
        <v>#DIV/0!</v>
      </c>
      <c r="O100" s="121" t="str">
        <f t="shared" si="4"/>
        <v>שפרעם</v>
      </c>
      <c r="P100" s="121" t="str">
        <f t="shared" si="4"/>
        <v>חיפה נווה שאנן</v>
      </c>
    </row>
    <row r="101" spans="1:16" x14ac:dyDescent="0.3">
      <c r="A101" s="61">
        <v>4</v>
      </c>
      <c r="B101" s="61">
        <v>18</v>
      </c>
      <c r="C101" s="60"/>
      <c r="G101" s="62"/>
      <c r="I101" s="86" t="e">
        <f t="shared" si="3"/>
        <v>#DIV/0!</v>
      </c>
      <c r="J101" s="87" t="e">
        <f t="shared" si="3"/>
        <v>#DIV/0!</v>
      </c>
      <c r="K101" s="87" t="e">
        <f t="shared" si="3"/>
        <v>#DIV/0!</v>
      </c>
      <c r="L101" s="87" t="e">
        <f t="shared" si="3"/>
        <v>#DIV/0!</v>
      </c>
      <c r="M101" s="88" t="e">
        <f t="shared" si="3"/>
        <v>#DIV/0!</v>
      </c>
      <c r="O101" s="121" t="str">
        <f t="shared" si="4"/>
        <v>שפרעם</v>
      </c>
      <c r="P101" s="121" t="str">
        <f t="shared" si="4"/>
        <v>נשר</v>
      </c>
    </row>
    <row r="102" spans="1:16" x14ac:dyDescent="0.3">
      <c r="A102" s="61">
        <v>4</v>
      </c>
      <c r="B102" s="61">
        <v>19</v>
      </c>
      <c r="C102" s="60"/>
      <c r="G102" s="62"/>
      <c r="I102" s="86" t="e">
        <f t="shared" si="3"/>
        <v>#DIV/0!</v>
      </c>
      <c r="J102" s="87" t="e">
        <f t="shared" si="3"/>
        <v>#DIV/0!</v>
      </c>
      <c r="K102" s="87" t="e">
        <f t="shared" si="3"/>
        <v>#DIV/0!</v>
      </c>
      <c r="L102" s="87" t="e">
        <f t="shared" si="3"/>
        <v>#DIV/0!</v>
      </c>
      <c r="M102" s="88" t="e">
        <f t="shared" si="3"/>
        <v>#DIV/0!</v>
      </c>
      <c r="O102" s="121" t="str">
        <f t="shared" si="4"/>
        <v>שפרעם</v>
      </c>
      <c r="P102" s="121" t="str">
        <f t="shared" si="4"/>
        <v>נצרת</v>
      </c>
    </row>
    <row r="103" spans="1:16" x14ac:dyDescent="0.3">
      <c r="A103" s="61">
        <v>4</v>
      </c>
      <c r="B103" s="61">
        <v>20</v>
      </c>
      <c r="C103" s="60"/>
      <c r="G103" s="62"/>
      <c r="I103" s="86" t="e">
        <f t="shared" si="3"/>
        <v>#DIV/0!</v>
      </c>
      <c r="J103" s="87" t="e">
        <f t="shared" si="3"/>
        <v>#DIV/0!</v>
      </c>
      <c r="K103" s="87" t="e">
        <f t="shared" si="3"/>
        <v>#DIV/0!</v>
      </c>
      <c r="L103" s="87" t="e">
        <f t="shared" si="3"/>
        <v>#DIV/0!</v>
      </c>
      <c r="M103" s="88" t="e">
        <f t="shared" si="3"/>
        <v>#DIV/0!</v>
      </c>
      <c r="O103" s="121" t="str">
        <f t="shared" si="4"/>
        <v>שפרעם</v>
      </c>
      <c r="P103" s="121" t="str">
        <f t="shared" si="4"/>
        <v>נצרת-עילית</v>
      </c>
    </row>
    <row r="104" spans="1:16" x14ac:dyDescent="0.3">
      <c r="A104" s="61">
        <v>4</v>
      </c>
      <c r="B104" s="61">
        <v>21</v>
      </c>
      <c r="C104" s="60"/>
      <c r="G104" s="62"/>
      <c r="I104" s="86" t="e">
        <f t="shared" si="3"/>
        <v>#DIV/0!</v>
      </c>
      <c r="J104" s="87" t="e">
        <f t="shared" si="3"/>
        <v>#DIV/0!</v>
      </c>
      <c r="K104" s="87" t="e">
        <f t="shared" si="3"/>
        <v>#DIV/0!</v>
      </c>
      <c r="L104" s="87" t="e">
        <f t="shared" si="3"/>
        <v>#DIV/0!</v>
      </c>
      <c r="M104" s="88" t="e">
        <f t="shared" si="3"/>
        <v>#DIV/0!</v>
      </c>
      <c r="O104" s="121" t="str">
        <f t="shared" si="4"/>
        <v>שפרעם</v>
      </c>
      <c r="P104" s="121" t="str">
        <f t="shared" si="4"/>
        <v>מגדל העמק</v>
      </c>
    </row>
    <row r="105" spans="1:16" x14ac:dyDescent="0.3">
      <c r="A105" s="61">
        <v>4</v>
      </c>
      <c r="B105" s="61">
        <v>22</v>
      </c>
      <c r="C105" s="60"/>
      <c r="G105" s="62"/>
      <c r="I105" s="86" t="e">
        <f t="shared" si="3"/>
        <v>#DIV/0!</v>
      </c>
      <c r="J105" s="87" t="e">
        <f t="shared" si="3"/>
        <v>#DIV/0!</v>
      </c>
      <c r="K105" s="87" t="e">
        <f t="shared" si="3"/>
        <v>#DIV/0!</v>
      </c>
      <c r="L105" s="87" t="e">
        <f t="shared" si="3"/>
        <v>#DIV/0!</v>
      </c>
      <c r="M105" s="88" t="e">
        <f t="shared" si="3"/>
        <v>#DIV/0!</v>
      </c>
      <c r="O105" s="121" t="str">
        <f t="shared" si="4"/>
        <v>שפרעם</v>
      </c>
      <c r="P105" s="121" t="str">
        <f t="shared" si="4"/>
        <v>יוקנעם</v>
      </c>
    </row>
    <row r="106" spans="1:16" x14ac:dyDescent="0.3">
      <c r="A106" s="61">
        <v>4</v>
      </c>
      <c r="B106" s="61">
        <v>23</v>
      </c>
      <c r="C106" s="60"/>
      <c r="G106" s="62"/>
      <c r="I106" s="86" t="e">
        <f t="shared" si="3"/>
        <v>#DIV/0!</v>
      </c>
      <c r="J106" s="87" t="e">
        <f t="shared" si="3"/>
        <v>#DIV/0!</v>
      </c>
      <c r="K106" s="87" t="e">
        <f t="shared" si="3"/>
        <v>#DIV/0!</v>
      </c>
      <c r="L106" s="87" t="e">
        <f t="shared" si="3"/>
        <v>#DIV/0!</v>
      </c>
      <c r="M106" s="88" t="e">
        <f t="shared" si="3"/>
        <v>#DIV/0!</v>
      </c>
      <c r="O106" s="121" t="str">
        <f t="shared" si="4"/>
        <v>שפרעם</v>
      </c>
      <c r="P106" s="121" t="str">
        <f t="shared" si="4"/>
        <v>דלית אל כרמל</v>
      </c>
    </row>
    <row r="107" spans="1:16" x14ac:dyDescent="0.3">
      <c r="A107" s="61">
        <v>4</v>
      </c>
      <c r="B107" s="61">
        <v>24</v>
      </c>
      <c r="C107" s="60"/>
      <c r="G107" s="62"/>
      <c r="I107" s="86" t="e">
        <f t="shared" si="3"/>
        <v>#DIV/0!</v>
      </c>
      <c r="J107" s="87" t="e">
        <f t="shared" si="3"/>
        <v>#DIV/0!</v>
      </c>
      <c r="K107" s="87" t="e">
        <f t="shared" si="3"/>
        <v>#DIV/0!</v>
      </c>
      <c r="L107" s="87" t="e">
        <f t="shared" si="3"/>
        <v>#DIV/0!</v>
      </c>
      <c r="M107" s="88" t="e">
        <f t="shared" si="3"/>
        <v>#DIV/0!</v>
      </c>
      <c r="O107" s="121" t="str">
        <f t="shared" si="4"/>
        <v>שפרעם</v>
      </c>
      <c r="P107" s="121" t="str">
        <f t="shared" si="4"/>
        <v>חוף הכרמל</v>
      </c>
    </row>
    <row r="108" spans="1:16" x14ac:dyDescent="0.3">
      <c r="A108" s="61">
        <v>4</v>
      </c>
      <c r="B108" s="61">
        <v>25</v>
      </c>
      <c r="C108" s="60"/>
      <c r="G108" s="62"/>
      <c r="I108" s="86" t="e">
        <f t="shared" si="3"/>
        <v>#DIV/0!</v>
      </c>
      <c r="J108" s="87" t="e">
        <f t="shared" si="3"/>
        <v>#DIV/0!</v>
      </c>
      <c r="K108" s="87" t="e">
        <f t="shared" si="3"/>
        <v>#DIV/0!</v>
      </c>
      <c r="L108" s="87" t="e">
        <f t="shared" si="3"/>
        <v>#DIV/0!</v>
      </c>
      <c r="M108" s="88" t="e">
        <f t="shared" si="3"/>
        <v>#DIV/0!</v>
      </c>
      <c r="O108" s="121" t="str">
        <f t="shared" si="4"/>
        <v>שפרעם</v>
      </c>
      <c r="P108" s="121" t="str">
        <f t="shared" si="4"/>
        <v>זכרון יעקב</v>
      </c>
    </row>
    <row r="109" spans="1:16" x14ac:dyDescent="0.3">
      <c r="A109" s="61">
        <v>4</v>
      </c>
      <c r="B109" s="61">
        <v>30</v>
      </c>
      <c r="C109" s="60"/>
      <c r="G109" s="62"/>
      <c r="I109" s="86" t="e">
        <f t="shared" si="3"/>
        <v>#DIV/0!</v>
      </c>
      <c r="J109" s="87" t="e">
        <f t="shared" si="3"/>
        <v>#DIV/0!</v>
      </c>
      <c r="K109" s="87" t="e">
        <f t="shared" si="3"/>
        <v>#DIV/0!</v>
      </c>
      <c r="L109" s="87" t="e">
        <f t="shared" si="3"/>
        <v>#DIV/0!</v>
      </c>
      <c r="M109" s="88" t="e">
        <f t="shared" si="3"/>
        <v>#DIV/0!</v>
      </c>
      <c r="O109" s="121" t="str">
        <f t="shared" si="4"/>
        <v>שפרעם</v>
      </c>
      <c r="P109" s="121" t="str">
        <f t="shared" si="4"/>
        <v>סכנין</v>
      </c>
    </row>
    <row r="110" spans="1:16" x14ac:dyDescent="0.3">
      <c r="A110" s="61">
        <v>5</v>
      </c>
      <c r="B110" s="61">
        <v>1</v>
      </c>
      <c r="C110" s="60"/>
      <c r="G110" s="62"/>
      <c r="I110" s="86" t="e">
        <f t="shared" si="3"/>
        <v>#DIV/0!</v>
      </c>
      <c r="J110" s="87" t="e">
        <f t="shared" si="3"/>
        <v>#DIV/0!</v>
      </c>
      <c r="K110" s="87" t="e">
        <f t="shared" si="3"/>
        <v>#DIV/0!</v>
      </c>
      <c r="L110" s="87" t="e">
        <f t="shared" si="3"/>
        <v>#DIV/0!</v>
      </c>
      <c r="M110" s="88" t="e">
        <f t="shared" si="3"/>
        <v>#DIV/0!</v>
      </c>
      <c r="O110" s="121" t="str">
        <f t="shared" si="4"/>
        <v>קרית ים</v>
      </c>
      <c r="P110" s="121" t="str">
        <f t="shared" si="4"/>
        <v>נהריה</v>
      </c>
    </row>
    <row r="111" spans="1:16" x14ac:dyDescent="0.3">
      <c r="A111" s="61">
        <v>5</v>
      </c>
      <c r="B111" s="61">
        <v>2</v>
      </c>
      <c r="C111" s="60"/>
      <c r="G111" s="62"/>
      <c r="I111" s="86" t="e">
        <f t="shared" si="3"/>
        <v>#DIV/0!</v>
      </c>
      <c r="J111" s="87" t="e">
        <f t="shared" si="3"/>
        <v>#DIV/0!</v>
      </c>
      <c r="K111" s="87" t="e">
        <f t="shared" si="3"/>
        <v>#DIV/0!</v>
      </c>
      <c r="L111" s="87" t="e">
        <f t="shared" si="3"/>
        <v>#DIV/0!</v>
      </c>
      <c r="M111" s="88" t="e">
        <f t="shared" si="3"/>
        <v>#DIV/0!</v>
      </c>
      <c r="O111" s="121" t="str">
        <f t="shared" si="4"/>
        <v>קרית ים</v>
      </c>
      <c r="P111" s="121" t="str">
        <f t="shared" si="4"/>
        <v>עכו</v>
      </c>
    </row>
    <row r="112" spans="1:16" x14ac:dyDescent="0.3">
      <c r="A112" s="61">
        <v>5</v>
      </c>
      <c r="B112" s="61">
        <v>3</v>
      </c>
      <c r="C112" s="60"/>
      <c r="G112" s="62"/>
      <c r="I112" s="86" t="e">
        <f t="shared" si="3"/>
        <v>#DIV/0!</v>
      </c>
      <c r="J112" s="87" t="e">
        <f t="shared" si="3"/>
        <v>#DIV/0!</v>
      </c>
      <c r="K112" s="87" t="e">
        <f t="shared" si="3"/>
        <v>#DIV/0!</v>
      </c>
      <c r="L112" s="87" t="e">
        <f t="shared" si="3"/>
        <v>#DIV/0!</v>
      </c>
      <c r="M112" s="88" t="e">
        <f t="shared" si="3"/>
        <v>#DIV/0!</v>
      </c>
      <c r="O112" s="121" t="str">
        <f t="shared" si="4"/>
        <v>קרית ים</v>
      </c>
      <c r="P112" s="121" t="str">
        <f t="shared" si="4"/>
        <v>כרמיאל</v>
      </c>
    </row>
    <row r="113" spans="1:16" x14ac:dyDescent="0.3">
      <c r="A113" s="61">
        <v>5</v>
      </c>
      <c r="B113" s="61">
        <v>4</v>
      </c>
      <c r="C113" s="60"/>
      <c r="G113" s="62"/>
      <c r="I113" s="86" t="e">
        <f t="shared" si="3"/>
        <v>#DIV/0!</v>
      </c>
      <c r="J113" s="87" t="e">
        <f t="shared" si="3"/>
        <v>#DIV/0!</v>
      </c>
      <c r="K113" s="87" t="e">
        <f t="shared" si="3"/>
        <v>#DIV/0!</v>
      </c>
      <c r="L113" s="87" t="e">
        <f t="shared" si="3"/>
        <v>#DIV/0!</v>
      </c>
      <c r="M113" s="88" t="e">
        <f t="shared" si="3"/>
        <v>#DIV/0!</v>
      </c>
      <c r="O113" s="121" t="str">
        <f t="shared" si="4"/>
        <v>קרית ים</v>
      </c>
      <c r="P113" s="121" t="str">
        <f t="shared" si="4"/>
        <v>שפרעם</v>
      </c>
    </row>
    <row r="114" spans="1:16" x14ac:dyDescent="0.3">
      <c r="A114" s="61">
        <v>5</v>
      </c>
      <c r="B114" s="61">
        <v>5</v>
      </c>
      <c r="C114" s="60"/>
      <c r="G114" s="62"/>
      <c r="I114" s="86" t="e">
        <f t="shared" si="3"/>
        <v>#DIV/0!</v>
      </c>
      <c r="J114" s="87" t="e">
        <f t="shared" si="3"/>
        <v>#DIV/0!</v>
      </c>
      <c r="K114" s="87" t="e">
        <f t="shared" si="3"/>
        <v>#DIV/0!</v>
      </c>
      <c r="L114" s="87" t="e">
        <f t="shared" si="3"/>
        <v>#DIV/0!</v>
      </c>
      <c r="M114" s="88" t="e">
        <f t="shared" si="3"/>
        <v>#DIV/0!</v>
      </c>
      <c r="O114" s="121" t="str">
        <f t="shared" si="4"/>
        <v>קרית ים</v>
      </c>
      <c r="P114" s="121" t="str">
        <f t="shared" si="4"/>
        <v>קרית ים</v>
      </c>
    </row>
    <row r="115" spans="1:16" x14ac:dyDescent="0.3">
      <c r="A115" s="61">
        <v>5</v>
      </c>
      <c r="B115" s="61">
        <v>6</v>
      </c>
      <c r="C115" s="60"/>
      <c r="G115" s="62"/>
      <c r="I115" s="86" t="e">
        <f t="shared" si="3"/>
        <v>#DIV/0!</v>
      </c>
      <c r="J115" s="87" t="e">
        <f t="shared" si="3"/>
        <v>#DIV/0!</v>
      </c>
      <c r="K115" s="87" t="e">
        <f t="shared" si="3"/>
        <v>#DIV/0!</v>
      </c>
      <c r="L115" s="87" t="e">
        <f t="shared" si="3"/>
        <v>#DIV/0!</v>
      </c>
      <c r="M115" s="88" t="e">
        <f t="shared" si="3"/>
        <v>#DIV/0!</v>
      </c>
      <c r="O115" s="121" t="str">
        <f t="shared" si="4"/>
        <v>קרית ים</v>
      </c>
      <c r="P115" s="121" t="str">
        <f t="shared" si="4"/>
        <v>קרית מוצקין</v>
      </c>
    </row>
    <row r="116" spans="1:16" x14ac:dyDescent="0.3">
      <c r="A116" s="61">
        <v>5</v>
      </c>
      <c r="B116" s="61">
        <v>7</v>
      </c>
      <c r="C116" s="60"/>
      <c r="G116" s="62"/>
      <c r="I116" s="86" t="e">
        <f t="shared" si="3"/>
        <v>#DIV/0!</v>
      </c>
      <c r="J116" s="87" t="e">
        <f t="shared" si="3"/>
        <v>#DIV/0!</v>
      </c>
      <c r="K116" s="87" t="e">
        <f t="shared" si="3"/>
        <v>#DIV/0!</v>
      </c>
      <c r="L116" s="87" t="e">
        <f t="shared" si="3"/>
        <v>#DIV/0!</v>
      </c>
      <c r="M116" s="88" t="e">
        <f t="shared" si="3"/>
        <v>#DIV/0!</v>
      </c>
      <c r="O116" s="121" t="str">
        <f t="shared" si="4"/>
        <v>קרית ים</v>
      </c>
      <c r="P116" s="121" t="str">
        <f t="shared" si="4"/>
        <v>קרית ביאליק</v>
      </c>
    </row>
    <row r="117" spans="1:16" x14ac:dyDescent="0.3">
      <c r="A117" s="61">
        <v>5</v>
      </c>
      <c r="B117" s="61">
        <v>8</v>
      </c>
      <c r="C117" s="60"/>
      <c r="G117" s="62"/>
      <c r="I117" s="86" t="e">
        <f t="shared" si="3"/>
        <v>#DIV/0!</v>
      </c>
      <c r="J117" s="87" t="e">
        <f t="shared" si="3"/>
        <v>#DIV/0!</v>
      </c>
      <c r="K117" s="87" t="e">
        <f t="shared" si="3"/>
        <v>#DIV/0!</v>
      </c>
      <c r="L117" s="87" t="e">
        <f t="shared" si="3"/>
        <v>#DIV/0!</v>
      </c>
      <c r="M117" s="88" t="e">
        <f t="shared" si="3"/>
        <v>#DIV/0!</v>
      </c>
      <c r="O117" s="121" t="str">
        <f t="shared" si="4"/>
        <v>קרית ים</v>
      </c>
      <c r="P117" s="121" t="str">
        <f t="shared" si="4"/>
        <v>קרית חיים</v>
      </c>
    </row>
    <row r="118" spans="1:16" x14ac:dyDescent="0.3">
      <c r="A118" s="61">
        <v>5</v>
      </c>
      <c r="B118" s="61">
        <v>9</v>
      </c>
      <c r="C118" s="60"/>
      <c r="G118" s="62"/>
      <c r="I118" s="86" t="e">
        <f t="shared" si="3"/>
        <v>#DIV/0!</v>
      </c>
      <c r="J118" s="87" t="e">
        <f t="shared" si="3"/>
        <v>#DIV/0!</v>
      </c>
      <c r="K118" s="87" t="e">
        <f t="shared" si="3"/>
        <v>#DIV/0!</v>
      </c>
      <c r="L118" s="87" t="e">
        <f t="shared" si="3"/>
        <v>#DIV/0!</v>
      </c>
      <c r="M118" s="88" t="e">
        <f t="shared" si="3"/>
        <v>#DIV/0!</v>
      </c>
      <c r="O118" s="121" t="str">
        <f t="shared" si="4"/>
        <v>קרית ים</v>
      </c>
      <c r="P118" s="121" t="str">
        <f t="shared" si="4"/>
        <v>קרית אתא</v>
      </c>
    </row>
    <row r="119" spans="1:16" x14ac:dyDescent="0.3">
      <c r="A119" s="61">
        <v>5</v>
      </c>
      <c r="B119" s="61">
        <v>10</v>
      </c>
      <c r="C119" s="60"/>
      <c r="G119" s="62"/>
      <c r="I119" s="86" t="e">
        <f t="shared" si="3"/>
        <v>#DIV/0!</v>
      </c>
      <c r="J119" s="87" t="e">
        <f t="shared" si="3"/>
        <v>#DIV/0!</v>
      </c>
      <c r="K119" s="87" t="e">
        <f t="shared" si="3"/>
        <v>#DIV/0!</v>
      </c>
      <c r="L119" s="87" t="e">
        <f t="shared" si="3"/>
        <v>#DIV/0!</v>
      </c>
      <c r="M119" s="88" t="e">
        <f t="shared" si="3"/>
        <v>#DIV/0!</v>
      </c>
      <c r="O119" s="121" t="str">
        <f t="shared" si="4"/>
        <v>קרית ים</v>
      </c>
      <c r="P119" s="121" t="str">
        <f t="shared" si="4"/>
        <v>כפר מנדא</v>
      </c>
    </row>
    <row r="120" spans="1:16" x14ac:dyDescent="0.3">
      <c r="A120" s="61">
        <v>5</v>
      </c>
      <c r="B120" s="61">
        <v>11</v>
      </c>
      <c r="C120" s="60"/>
      <c r="G120" s="62"/>
      <c r="I120" s="86" t="e">
        <f t="shared" si="3"/>
        <v>#DIV/0!</v>
      </c>
      <c r="J120" s="87" t="e">
        <f t="shared" si="3"/>
        <v>#DIV/0!</v>
      </c>
      <c r="K120" s="87" t="e">
        <f t="shared" si="3"/>
        <v>#DIV/0!</v>
      </c>
      <c r="L120" s="87" t="e">
        <f t="shared" si="3"/>
        <v>#DIV/0!</v>
      </c>
      <c r="M120" s="88" t="e">
        <f t="shared" si="3"/>
        <v>#DIV/0!</v>
      </c>
      <c r="O120" s="121" t="str">
        <f t="shared" si="4"/>
        <v>קרית ים</v>
      </c>
      <c r="P120" s="121" t="str">
        <f t="shared" si="4"/>
        <v>זבולון</v>
      </c>
    </row>
    <row r="121" spans="1:16" x14ac:dyDescent="0.3">
      <c r="A121" s="61">
        <v>5</v>
      </c>
      <c r="B121" s="61">
        <v>12</v>
      </c>
      <c r="C121" s="60"/>
      <c r="G121" s="62"/>
      <c r="I121" s="86" t="e">
        <f t="shared" ref="I121:M171" si="5">C121/SUM($C121:$G121)</f>
        <v>#DIV/0!</v>
      </c>
      <c r="J121" s="87" t="e">
        <f t="shared" si="5"/>
        <v>#DIV/0!</v>
      </c>
      <c r="K121" s="87" t="e">
        <f t="shared" si="5"/>
        <v>#DIV/0!</v>
      </c>
      <c r="L121" s="87" t="e">
        <f t="shared" si="5"/>
        <v>#DIV/0!</v>
      </c>
      <c r="M121" s="88" t="e">
        <f t="shared" si="5"/>
        <v>#DIV/0!</v>
      </c>
      <c r="O121" s="121" t="str">
        <f t="shared" si="4"/>
        <v>קרית ים</v>
      </c>
      <c r="P121" s="121" t="str">
        <f t="shared" si="4"/>
        <v>חיפה מפרץ</v>
      </c>
    </row>
    <row r="122" spans="1:16" x14ac:dyDescent="0.3">
      <c r="A122" s="61">
        <v>5</v>
      </c>
      <c r="B122" s="61">
        <v>13</v>
      </c>
      <c r="C122" s="60"/>
      <c r="G122" s="62"/>
      <c r="I122" s="86" t="e">
        <f t="shared" si="5"/>
        <v>#DIV/0!</v>
      </c>
      <c r="J122" s="87" t="e">
        <f t="shared" si="5"/>
        <v>#DIV/0!</v>
      </c>
      <c r="K122" s="87" t="e">
        <f t="shared" si="5"/>
        <v>#DIV/0!</v>
      </c>
      <c r="L122" s="87" t="e">
        <f t="shared" si="5"/>
        <v>#DIV/0!</v>
      </c>
      <c r="M122" s="88" t="e">
        <f t="shared" si="5"/>
        <v>#DIV/0!</v>
      </c>
      <c r="O122" s="121" t="str">
        <f t="shared" si="4"/>
        <v>קרית ים</v>
      </c>
      <c r="P122" s="121" t="str">
        <f t="shared" si="4"/>
        <v>חיפה עיר תחתית</v>
      </c>
    </row>
    <row r="123" spans="1:16" x14ac:dyDescent="0.3">
      <c r="A123" s="61">
        <v>5</v>
      </c>
      <c r="B123" s="61">
        <v>14</v>
      </c>
      <c r="C123" s="60"/>
      <c r="G123" s="62"/>
      <c r="I123" s="86" t="e">
        <f t="shared" si="5"/>
        <v>#DIV/0!</v>
      </c>
      <c r="J123" s="87" t="e">
        <f t="shared" si="5"/>
        <v>#DIV/0!</v>
      </c>
      <c r="K123" s="87" t="e">
        <f t="shared" si="5"/>
        <v>#DIV/0!</v>
      </c>
      <c r="L123" s="87" t="e">
        <f t="shared" si="5"/>
        <v>#DIV/0!</v>
      </c>
      <c r="M123" s="88" t="e">
        <f t="shared" si="5"/>
        <v>#DIV/0!</v>
      </c>
      <c r="O123" s="121" t="str">
        <f t="shared" si="4"/>
        <v>קרית ים</v>
      </c>
      <c r="P123" s="121" t="str">
        <f t="shared" si="4"/>
        <v>חיפה הדר-כרמל</v>
      </c>
    </row>
    <row r="124" spans="1:16" x14ac:dyDescent="0.3">
      <c r="A124" s="61">
        <v>5</v>
      </c>
      <c r="B124" s="61">
        <v>15</v>
      </c>
      <c r="C124" s="60"/>
      <c r="G124" s="62"/>
      <c r="I124" s="86" t="e">
        <f t="shared" si="5"/>
        <v>#DIV/0!</v>
      </c>
      <c r="J124" s="87" t="e">
        <f t="shared" si="5"/>
        <v>#DIV/0!</v>
      </c>
      <c r="K124" s="87" t="e">
        <f t="shared" si="5"/>
        <v>#DIV/0!</v>
      </c>
      <c r="L124" s="87" t="e">
        <f t="shared" si="5"/>
        <v>#DIV/0!</v>
      </c>
      <c r="M124" s="88" t="e">
        <f t="shared" si="5"/>
        <v>#DIV/0!</v>
      </c>
      <c r="O124" s="121" t="str">
        <f t="shared" si="4"/>
        <v>קרית ים</v>
      </c>
      <c r="P124" s="121" t="str">
        <f t="shared" si="4"/>
        <v>חיפה מערב</v>
      </c>
    </row>
    <row r="125" spans="1:16" x14ac:dyDescent="0.3">
      <c r="A125" s="61">
        <v>5</v>
      </c>
      <c r="B125" s="61">
        <v>16</v>
      </c>
      <c r="C125" s="60"/>
      <c r="G125" s="62"/>
      <c r="I125" s="86" t="e">
        <f t="shared" si="5"/>
        <v>#DIV/0!</v>
      </c>
      <c r="J125" s="87" t="e">
        <f t="shared" si="5"/>
        <v>#DIV/0!</v>
      </c>
      <c r="K125" s="87" t="e">
        <f t="shared" si="5"/>
        <v>#DIV/0!</v>
      </c>
      <c r="L125" s="87" t="e">
        <f t="shared" si="5"/>
        <v>#DIV/0!</v>
      </c>
      <c r="M125" s="88" t="e">
        <f t="shared" si="5"/>
        <v>#DIV/0!</v>
      </c>
      <c r="O125" s="121" t="str">
        <f t="shared" si="4"/>
        <v>קרית ים</v>
      </c>
      <c r="P125" s="121" t="str">
        <f t="shared" si="4"/>
        <v>חיפה כרמל</v>
      </c>
    </row>
    <row r="126" spans="1:16" x14ac:dyDescent="0.3">
      <c r="A126" s="61">
        <v>5</v>
      </c>
      <c r="B126" s="61">
        <v>17</v>
      </c>
      <c r="C126" s="60"/>
      <c r="G126" s="62"/>
      <c r="I126" s="86" t="e">
        <f t="shared" si="5"/>
        <v>#DIV/0!</v>
      </c>
      <c r="J126" s="87" t="e">
        <f t="shared" si="5"/>
        <v>#DIV/0!</v>
      </c>
      <c r="K126" s="87" t="e">
        <f t="shared" si="5"/>
        <v>#DIV/0!</v>
      </c>
      <c r="L126" s="87" t="e">
        <f t="shared" si="5"/>
        <v>#DIV/0!</v>
      </c>
      <c r="M126" s="88" t="e">
        <f t="shared" si="5"/>
        <v>#DIV/0!</v>
      </c>
      <c r="O126" s="121" t="str">
        <f t="shared" si="4"/>
        <v>קרית ים</v>
      </c>
      <c r="P126" s="121" t="str">
        <f t="shared" si="4"/>
        <v>חיפה נווה שאנן</v>
      </c>
    </row>
    <row r="127" spans="1:16" x14ac:dyDescent="0.3">
      <c r="A127" s="61">
        <v>5</v>
      </c>
      <c r="B127" s="61">
        <v>18</v>
      </c>
      <c r="C127" s="60"/>
      <c r="G127" s="62"/>
      <c r="I127" s="86" t="e">
        <f t="shared" si="5"/>
        <v>#DIV/0!</v>
      </c>
      <c r="J127" s="87" t="e">
        <f t="shared" si="5"/>
        <v>#DIV/0!</v>
      </c>
      <c r="K127" s="87" t="e">
        <f t="shared" si="5"/>
        <v>#DIV/0!</v>
      </c>
      <c r="L127" s="87" t="e">
        <f t="shared" si="5"/>
        <v>#DIV/0!</v>
      </c>
      <c r="M127" s="88" t="e">
        <f t="shared" si="5"/>
        <v>#DIV/0!</v>
      </c>
      <c r="O127" s="121" t="str">
        <f t="shared" si="4"/>
        <v>קרית ים</v>
      </c>
      <c r="P127" s="121" t="str">
        <f t="shared" si="4"/>
        <v>נשר</v>
      </c>
    </row>
    <row r="128" spans="1:16" x14ac:dyDescent="0.3">
      <c r="A128" s="61">
        <v>5</v>
      </c>
      <c r="B128" s="61">
        <v>19</v>
      </c>
      <c r="C128" s="60"/>
      <c r="G128" s="62"/>
      <c r="I128" s="86" t="e">
        <f t="shared" si="5"/>
        <v>#DIV/0!</v>
      </c>
      <c r="J128" s="87" t="e">
        <f t="shared" si="5"/>
        <v>#DIV/0!</v>
      </c>
      <c r="K128" s="87" t="e">
        <f t="shared" si="5"/>
        <v>#DIV/0!</v>
      </c>
      <c r="L128" s="87" t="e">
        <f t="shared" si="5"/>
        <v>#DIV/0!</v>
      </c>
      <c r="M128" s="88" t="e">
        <f t="shared" si="5"/>
        <v>#DIV/0!</v>
      </c>
      <c r="O128" s="121" t="str">
        <f t="shared" si="4"/>
        <v>קרית ים</v>
      </c>
      <c r="P128" s="121" t="str">
        <f t="shared" si="4"/>
        <v>נצרת</v>
      </c>
    </row>
    <row r="129" spans="1:16" x14ac:dyDescent="0.3">
      <c r="A129" s="61">
        <v>5</v>
      </c>
      <c r="B129" s="61">
        <v>20</v>
      </c>
      <c r="C129" s="60"/>
      <c r="G129" s="62"/>
      <c r="I129" s="86" t="e">
        <f t="shared" si="5"/>
        <v>#DIV/0!</v>
      </c>
      <c r="J129" s="87" t="e">
        <f t="shared" si="5"/>
        <v>#DIV/0!</v>
      </c>
      <c r="K129" s="87" t="e">
        <f t="shared" si="5"/>
        <v>#DIV/0!</v>
      </c>
      <c r="L129" s="87" t="e">
        <f t="shared" si="5"/>
        <v>#DIV/0!</v>
      </c>
      <c r="M129" s="88" t="e">
        <f t="shared" si="5"/>
        <v>#DIV/0!</v>
      </c>
      <c r="O129" s="121" t="str">
        <f t="shared" si="4"/>
        <v>קרית ים</v>
      </c>
      <c r="P129" s="121" t="str">
        <f t="shared" si="4"/>
        <v>נצרת-עילית</v>
      </c>
    </row>
    <row r="130" spans="1:16" x14ac:dyDescent="0.3">
      <c r="A130" s="61">
        <v>5</v>
      </c>
      <c r="B130" s="61">
        <v>21</v>
      </c>
      <c r="C130" s="60"/>
      <c r="G130" s="62"/>
      <c r="I130" s="86" t="e">
        <f t="shared" si="5"/>
        <v>#DIV/0!</v>
      </c>
      <c r="J130" s="87" t="e">
        <f t="shared" si="5"/>
        <v>#DIV/0!</v>
      </c>
      <c r="K130" s="87" t="e">
        <f t="shared" si="5"/>
        <v>#DIV/0!</v>
      </c>
      <c r="L130" s="87" t="e">
        <f t="shared" si="5"/>
        <v>#DIV/0!</v>
      </c>
      <c r="M130" s="88" t="e">
        <f t="shared" si="5"/>
        <v>#DIV/0!</v>
      </c>
      <c r="O130" s="121" t="str">
        <f t="shared" si="4"/>
        <v>קרית ים</v>
      </c>
      <c r="P130" s="121" t="str">
        <f t="shared" si="4"/>
        <v>מגדל העמק</v>
      </c>
    </row>
    <row r="131" spans="1:16" x14ac:dyDescent="0.3">
      <c r="A131" s="61">
        <v>5</v>
      </c>
      <c r="B131" s="61">
        <v>22</v>
      </c>
      <c r="C131" s="60"/>
      <c r="G131" s="62"/>
      <c r="I131" s="86" t="e">
        <f t="shared" si="5"/>
        <v>#DIV/0!</v>
      </c>
      <c r="J131" s="87" t="e">
        <f t="shared" si="5"/>
        <v>#DIV/0!</v>
      </c>
      <c r="K131" s="87" t="e">
        <f t="shared" si="5"/>
        <v>#DIV/0!</v>
      </c>
      <c r="L131" s="87" t="e">
        <f t="shared" si="5"/>
        <v>#DIV/0!</v>
      </c>
      <c r="M131" s="88" t="e">
        <f t="shared" si="5"/>
        <v>#DIV/0!</v>
      </c>
      <c r="O131" s="121" t="str">
        <f t="shared" si="4"/>
        <v>קרית ים</v>
      </c>
      <c r="P131" s="121" t="str">
        <f t="shared" si="4"/>
        <v>יוקנעם</v>
      </c>
    </row>
    <row r="132" spans="1:16" x14ac:dyDescent="0.3">
      <c r="A132" s="61">
        <v>5</v>
      </c>
      <c r="B132" s="61">
        <v>23</v>
      </c>
      <c r="C132" s="60"/>
      <c r="G132" s="62"/>
      <c r="I132" s="86" t="e">
        <f t="shared" si="5"/>
        <v>#DIV/0!</v>
      </c>
      <c r="J132" s="87" t="e">
        <f t="shared" si="5"/>
        <v>#DIV/0!</v>
      </c>
      <c r="K132" s="87" t="e">
        <f t="shared" si="5"/>
        <v>#DIV/0!</v>
      </c>
      <c r="L132" s="87" t="e">
        <f t="shared" si="5"/>
        <v>#DIV/0!</v>
      </c>
      <c r="M132" s="88" t="e">
        <f t="shared" si="5"/>
        <v>#DIV/0!</v>
      </c>
      <c r="O132" s="121" t="str">
        <f t="shared" si="4"/>
        <v>קרית ים</v>
      </c>
      <c r="P132" s="121" t="str">
        <f t="shared" si="4"/>
        <v>דלית אל כרמל</v>
      </c>
    </row>
    <row r="133" spans="1:16" x14ac:dyDescent="0.3">
      <c r="A133" s="61">
        <v>5</v>
      </c>
      <c r="B133" s="61">
        <v>24</v>
      </c>
      <c r="C133" s="60"/>
      <c r="G133" s="62"/>
      <c r="I133" s="86" t="e">
        <f t="shared" si="5"/>
        <v>#DIV/0!</v>
      </c>
      <c r="J133" s="87" t="e">
        <f t="shared" si="5"/>
        <v>#DIV/0!</v>
      </c>
      <c r="K133" s="87" t="e">
        <f t="shared" si="5"/>
        <v>#DIV/0!</v>
      </c>
      <c r="L133" s="87" t="e">
        <f t="shared" si="5"/>
        <v>#DIV/0!</v>
      </c>
      <c r="M133" s="88" t="e">
        <f t="shared" si="5"/>
        <v>#DIV/0!</v>
      </c>
      <c r="O133" s="121" t="str">
        <f t="shared" si="4"/>
        <v>קרית ים</v>
      </c>
      <c r="P133" s="121" t="str">
        <f t="shared" si="4"/>
        <v>חוף הכרמל</v>
      </c>
    </row>
    <row r="134" spans="1:16" x14ac:dyDescent="0.3">
      <c r="A134" s="61">
        <v>5</v>
      </c>
      <c r="B134" s="61">
        <v>25</v>
      </c>
      <c r="C134" s="60"/>
      <c r="G134" s="62"/>
      <c r="I134" s="86" t="e">
        <f t="shared" si="5"/>
        <v>#DIV/0!</v>
      </c>
      <c r="J134" s="87" t="e">
        <f t="shared" si="5"/>
        <v>#DIV/0!</v>
      </c>
      <c r="K134" s="87" t="e">
        <f t="shared" si="5"/>
        <v>#DIV/0!</v>
      </c>
      <c r="L134" s="87" t="e">
        <f t="shared" si="5"/>
        <v>#DIV/0!</v>
      </c>
      <c r="M134" s="88" t="e">
        <f t="shared" si="5"/>
        <v>#DIV/0!</v>
      </c>
      <c r="O134" s="121" t="str">
        <f t="shared" si="4"/>
        <v>קרית ים</v>
      </c>
      <c r="P134" s="121" t="str">
        <f t="shared" si="4"/>
        <v>זכרון יעקב</v>
      </c>
    </row>
    <row r="135" spans="1:16" x14ac:dyDescent="0.3">
      <c r="A135" s="61">
        <v>5</v>
      </c>
      <c r="B135" s="61">
        <v>30</v>
      </c>
      <c r="C135" s="60"/>
      <c r="G135" s="62"/>
      <c r="I135" s="86" t="e">
        <f t="shared" si="5"/>
        <v>#DIV/0!</v>
      </c>
      <c r="J135" s="87" t="e">
        <f t="shared" si="5"/>
        <v>#DIV/0!</v>
      </c>
      <c r="K135" s="87" t="e">
        <f t="shared" si="5"/>
        <v>#DIV/0!</v>
      </c>
      <c r="L135" s="87" t="e">
        <f t="shared" si="5"/>
        <v>#DIV/0!</v>
      </c>
      <c r="M135" s="88" t="e">
        <f t="shared" si="5"/>
        <v>#DIV/0!</v>
      </c>
      <c r="O135" s="121" t="str">
        <f t="shared" ref="O135:P198" si="6">VLOOKUP(A135,$S$6:$T$31,2,0)</f>
        <v>קרית ים</v>
      </c>
      <c r="P135" s="121" t="str">
        <f t="shared" si="6"/>
        <v>סכנין</v>
      </c>
    </row>
    <row r="136" spans="1:16" x14ac:dyDescent="0.3">
      <c r="A136" s="61">
        <v>6</v>
      </c>
      <c r="B136" s="61">
        <v>1</v>
      </c>
      <c r="C136" s="60"/>
      <c r="G136" s="62"/>
      <c r="I136" s="86" t="e">
        <f t="shared" si="5"/>
        <v>#DIV/0!</v>
      </c>
      <c r="J136" s="87" t="e">
        <f t="shared" si="5"/>
        <v>#DIV/0!</v>
      </c>
      <c r="K136" s="87" t="e">
        <f t="shared" si="5"/>
        <v>#DIV/0!</v>
      </c>
      <c r="L136" s="87" t="e">
        <f t="shared" si="5"/>
        <v>#DIV/0!</v>
      </c>
      <c r="M136" s="88" t="e">
        <f t="shared" si="5"/>
        <v>#DIV/0!</v>
      </c>
      <c r="O136" s="121" t="str">
        <f t="shared" si="6"/>
        <v>קרית מוצקין</v>
      </c>
      <c r="P136" s="121" t="str">
        <f t="shared" si="6"/>
        <v>נהריה</v>
      </c>
    </row>
    <row r="137" spans="1:16" x14ac:dyDescent="0.3">
      <c r="A137" s="61">
        <v>6</v>
      </c>
      <c r="B137" s="61">
        <v>2</v>
      </c>
      <c r="C137" s="60"/>
      <c r="G137" s="62"/>
      <c r="I137" s="86" t="e">
        <f t="shared" si="5"/>
        <v>#DIV/0!</v>
      </c>
      <c r="J137" s="87" t="e">
        <f t="shared" si="5"/>
        <v>#DIV/0!</v>
      </c>
      <c r="K137" s="87" t="e">
        <f t="shared" si="5"/>
        <v>#DIV/0!</v>
      </c>
      <c r="L137" s="87" t="e">
        <f t="shared" si="5"/>
        <v>#DIV/0!</v>
      </c>
      <c r="M137" s="88" t="e">
        <f t="shared" si="5"/>
        <v>#DIV/0!</v>
      </c>
      <c r="O137" s="121" t="str">
        <f t="shared" si="6"/>
        <v>קרית מוצקין</v>
      </c>
      <c r="P137" s="121" t="str">
        <f t="shared" si="6"/>
        <v>עכו</v>
      </c>
    </row>
    <row r="138" spans="1:16" x14ac:dyDescent="0.3">
      <c r="A138" s="61">
        <v>6</v>
      </c>
      <c r="B138" s="61">
        <v>3</v>
      </c>
      <c r="C138" s="60"/>
      <c r="G138" s="62"/>
      <c r="I138" s="86" t="e">
        <f t="shared" si="5"/>
        <v>#DIV/0!</v>
      </c>
      <c r="J138" s="87" t="e">
        <f t="shared" si="5"/>
        <v>#DIV/0!</v>
      </c>
      <c r="K138" s="87" t="e">
        <f t="shared" si="5"/>
        <v>#DIV/0!</v>
      </c>
      <c r="L138" s="87" t="e">
        <f t="shared" si="5"/>
        <v>#DIV/0!</v>
      </c>
      <c r="M138" s="88" t="e">
        <f t="shared" si="5"/>
        <v>#DIV/0!</v>
      </c>
      <c r="O138" s="121" t="str">
        <f t="shared" si="6"/>
        <v>קרית מוצקין</v>
      </c>
      <c r="P138" s="121" t="str">
        <f t="shared" si="6"/>
        <v>כרמיאל</v>
      </c>
    </row>
    <row r="139" spans="1:16" x14ac:dyDescent="0.3">
      <c r="A139" s="61">
        <v>6</v>
      </c>
      <c r="B139" s="61">
        <v>4</v>
      </c>
      <c r="C139" s="60"/>
      <c r="G139" s="62"/>
      <c r="I139" s="86" t="e">
        <f t="shared" si="5"/>
        <v>#DIV/0!</v>
      </c>
      <c r="J139" s="87" t="e">
        <f t="shared" si="5"/>
        <v>#DIV/0!</v>
      </c>
      <c r="K139" s="87" t="e">
        <f t="shared" si="5"/>
        <v>#DIV/0!</v>
      </c>
      <c r="L139" s="87" t="e">
        <f t="shared" si="5"/>
        <v>#DIV/0!</v>
      </c>
      <c r="M139" s="88" t="e">
        <f t="shared" si="5"/>
        <v>#DIV/0!</v>
      </c>
      <c r="O139" s="121" t="str">
        <f t="shared" si="6"/>
        <v>קרית מוצקין</v>
      </c>
      <c r="P139" s="121" t="str">
        <f t="shared" si="6"/>
        <v>שפרעם</v>
      </c>
    </row>
    <row r="140" spans="1:16" x14ac:dyDescent="0.3">
      <c r="A140" s="61">
        <v>6</v>
      </c>
      <c r="B140" s="61">
        <v>5</v>
      </c>
      <c r="C140" s="60"/>
      <c r="G140" s="62"/>
      <c r="I140" s="86" t="e">
        <f t="shared" si="5"/>
        <v>#DIV/0!</v>
      </c>
      <c r="J140" s="87" t="e">
        <f t="shared" si="5"/>
        <v>#DIV/0!</v>
      </c>
      <c r="K140" s="87" t="e">
        <f t="shared" si="5"/>
        <v>#DIV/0!</v>
      </c>
      <c r="L140" s="87" t="e">
        <f t="shared" si="5"/>
        <v>#DIV/0!</v>
      </c>
      <c r="M140" s="88" t="e">
        <f t="shared" si="5"/>
        <v>#DIV/0!</v>
      </c>
      <c r="O140" s="121" t="str">
        <f t="shared" si="6"/>
        <v>קרית מוצקין</v>
      </c>
      <c r="P140" s="121" t="str">
        <f t="shared" si="6"/>
        <v>קרית ים</v>
      </c>
    </row>
    <row r="141" spans="1:16" x14ac:dyDescent="0.3">
      <c r="A141" s="61">
        <v>6</v>
      </c>
      <c r="B141" s="61">
        <v>6</v>
      </c>
      <c r="C141" s="60"/>
      <c r="G141" s="62"/>
      <c r="I141" s="86" t="e">
        <f t="shared" si="5"/>
        <v>#DIV/0!</v>
      </c>
      <c r="J141" s="87" t="e">
        <f t="shared" si="5"/>
        <v>#DIV/0!</v>
      </c>
      <c r="K141" s="87" t="e">
        <f t="shared" si="5"/>
        <v>#DIV/0!</v>
      </c>
      <c r="L141" s="87" t="e">
        <f t="shared" si="5"/>
        <v>#DIV/0!</v>
      </c>
      <c r="M141" s="88" t="e">
        <f t="shared" si="5"/>
        <v>#DIV/0!</v>
      </c>
      <c r="O141" s="121" t="str">
        <f t="shared" si="6"/>
        <v>קרית מוצקין</v>
      </c>
      <c r="P141" s="121" t="str">
        <f t="shared" si="6"/>
        <v>קרית מוצקין</v>
      </c>
    </row>
    <row r="142" spans="1:16" x14ac:dyDescent="0.3">
      <c r="A142" s="61">
        <v>6</v>
      </c>
      <c r="B142" s="61">
        <v>7</v>
      </c>
      <c r="C142" s="60"/>
      <c r="G142" s="62"/>
      <c r="I142" s="86" t="e">
        <f t="shared" si="5"/>
        <v>#DIV/0!</v>
      </c>
      <c r="J142" s="87" t="e">
        <f t="shared" si="5"/>
        <v>#DIV/0!</v>
      </c>
      <c r="K142" s="87" t="e">
        <f t="shared" si="5"/>
        <v>#DIV/0!</v>
      </c>
      <c r="L142" s="87" t="e">
        <f t="shared" si="5"/>
        <v>#DIV/0!</v>
      </c>
      <c r="M142" s="88" t="e">
        <f t="shared" si="5"/>
        <v>#DIV/0!</v>
      </c>
      <c r="O142" s="121" t="str">
        <f t="shared" si="6"/>
        <v>קרית מוצקין</v>
      </c>
      <c r="P142" s="121" t="str">
        <f t="shared" si="6"/>
        <v>קרית ביאליק</v>
      </c>
    </row>
    <row r="143" spans="1:16" x14ac:dyDescent="0.3">
      <c r="A143" s="61">
        <v>6</v>
      </c>
      <c r="B143" s="61">
        <v>8</v>
      </c>
      <c r="C143" s="60"/>
      <c r="G143" s="62"/>
      <c r="I143" s="86" t="e">
        <f t="shared" si="5"/>
        <v>#DIV/0!</v>
      </c>
      <c r="J143" s="87" t="e">
        <f t="shared" si="5"/>
        <v>#DIV/0!</v>
      </c>
      <c r="K143" s="87" t="e">
        <f t="shared" si="5"/>
        <v>#DIV/0!</v>
      </c>
      <c r="L143" s="87" t="e">
        <f t="shared" si="5"/>
        <v>#DIV/0!</v>
      </c>
      <c r="M143" s="88" t="e">
        <f t="shared" si="5"/>
        <v>#DIV/0!</v>
      </c>
      <c r="O143" s="121" t="str">
        <f t="shared" si="6"/>
        <v>קרית מוצקין</v>
      </c>
      <c r="P143" s="121" t="str">
        <f t="shared" si="6"/>
        <v>קרית חיים</v>
      </c>
    </row>
    <row r="144" spans="1:16" x14ac:dyDescent="0.3">
      <c r="A144" s="61">
        <v>6</v>
      </c>
      <c r="B144" s="61">
        <v>9</v>
      </c>
      <c r="C144" s="60"/>
      <c r="G144" s="62"/>
      <c r="I144" s="86" t="e">
        <f t="shared" si="5"/>
        <v>#DIV/0!</v>
      </c>
      <c r="J144" s="87" t="e">
        <f t="shared" si="5"/>
        <v>#DIV/0!</v>
      </c>
      <c r="K144" s="87" t="e">
        <f t="shared" si="5"/>
        <v>#DIV/0!</v>
      </c>
      <c r="L144" s="87" t="e">
        <f t="shared" si="5"/>
        <v>#DIV/0!</v>
      </c>
      <c r="M144" s="88" t="e">
        <f t="shared" si="5"/>
        <v>#DIV/0!</v>
      </c>
      <c r="O144" s="121" t="str">
        <f t="shared" si="6"/>
        <v>קרית מוצקין</v>
      </c>
      <c r="P144" s="121" t="str">
        <f t="shared" si="6"/>
        <v>קרית אתא</v>
      </c>
    </row>
    <row r="145" spans="1:16" x14ac:dyDescent="0.3">
      <c r="A145" s="61">
        <v>6</v>
      </c>
      <c r="B145" s="61">
        <v>10</v>
      </c>
      <c r="C145" s="60"/>
      <c r="G145" s="62"/>
      <c r="I145" s="86" t="e">
        <f t="shared" si="5"/>
        <v>#DIV/0!</v>
      </c>
      <c r="J145" s="87" t="e">
        <f t="shared" si="5"/>
        <v>#DIV/0!</v>
      </c>
      <c r="K145" s="87" t="e">
        <f t="shared" si="5"/>
        <v>#DIV/0!</v>
      </c>
      <c r="L145" s="87" t="e">
        <f t="shared" si="5"/>
        <v>#DIV/0!</v>
      </c>
      <c r="M145" s="88" t="e">
        <f t="shared" si="5"/>
        <v>#DIV/0!</v>
      </c>
      <c r="O145" s="121" t="str">
        <f t="shared" si="6"/>
        <v>קרית מוצקין</v>
      </c>
      <c r="P145" s="121" t="str">
        <f t="shared" si="6"/>
        <v>כפר מנדא</v>
      </c>
    </row>
    <row r="146" spans="1:16" x14ac:dyDescent="0.3">
      <c r="A146" s="61">
        <v>6</v>
      </c>
      <c r="B146" s="61">
        <v>11</v>
      </c>
      <c r="C146" s="60"/>
      <c r="G146" s="62"/>
      <c r="I146" s="86" t="e">
        <f t="shared" si="5"/>
        <v>#DIV/0!</v>
      </c>
      <c r="J146" s="87" t="e">
        <f t="shared" si="5"/>
        <v>#DIV/0!</v>
      </c>
      <c r="K146" s="87" t="e">
        <f t="shared" si="5"/>
        <v>#DIV/0!</v>
      </c>
      <c r="L146" s="87" t="e">
        <f t="shared" si="5"/>
        <v>#DIV/0!</v>
      </c>
      <c r="M146" s="88" t="e">
        <f t="shared" si="5"/>
        <v>#DIV/0!</v>
      </c>
      <c r="O146" s="121" t="str">
        <f t="shared" si="6"/>
        <v>קרית מוצקין</v>
      </c>
      <c r="P146" s="121" t="str">
        <f t="shared" si="6"/>
        <v>זבולון</v>
      </c>
    </row>
    <row r="147" spans="1:16" x14ac:dyDescent="0.3">
      <c r="A147" s="61">
        <v>6</v>
      </c>
      <c r="B147" s="61">
        <v>12</v>
      </c>
      <c r="C147" s="60"/>
      <c r="G147" s="62"/>
      <c r="I147" s="86" t="e">
        <f t="shared" si="5"/>
        <v>#DIV/0!</v>
      </c>
      <c r="J147" s="87" t="e">
        <f t="shared" si="5"/>
        <v>#DIV/0!</v>
      </c>
      <c r="K147" s="87" t="e">
        <f t="shared" si="5"/>
        <v>#DIV/0!</v>
      </c>
      <c r="L147" s="87" t="e">
        <f t="shared" si="5"/>
        <v>#DIV/0!</v>
      </c>
      <c r="M147" s="88" t="e">
        <f t="shared" si="5"/>
        <v>#DIV/0!</v>
      </c>
      <c r="O147" s="121" t="str">
        <f t="shared" si="6"/>
        <v>קרית מוצקין</v>
      </c>
      <c r="P147" s="121" t="str">
        <f t="shared" si="6"/>
        <v>חיפה מפרץ</v>
      </c>
    </row>
    <row r="148" spans="1:16" x14ac:dyDescent="0.3">
      <c r="A148" s="61">
        <v>6</v>
      </c>
      <c r="B148" s="61">
        <v>13</v>
      </c>
      <c r="C148" s="60"/>
      <c r="G148" s="62"/>
      <c r="I148" s="86" t="e">
        <f t="shared" si="5"/>
        <v>#DIV/0!</v>
      </c>
      <c r="J148" s="87" t="e">
        <f t="shared" si="5"/>
        <v>#DIV/0!</v>
      </c>
      <c r="K148" s="87" t="e">
        <f t="shared" si="5"/>
        <v>#DIV/0!</v>
      </c>
      <c r="L148" s="87" t="e">
        <f t="shared" si="5"/>
        <v>#DIV/0!</v>
      </c>
      <c r="M148" s="88" t="e">
        <f t="shared" si="5"/>
        <v>#DIV/0!</v>
      </c>
      <c r="O148" s="121" t="str">
        <f t="shared" si="6"/>
        <v>קרית מוצקין</v>
      </c>
      <c r="P148" s="121" t="str">
        <f t="shared" si="6"/>
        <v>חיפה עיר תחתית</v>
      </c>
    </row>
    <row r="149" spans="1:16" x14ac:dyDescent="0.3">
      <c r="A149" s="61">
        <v>6</v>
      </c>
      <c r="B149" s="61">
        <v>14</v>
      </c>
      <c r="C149" s="60"/>
      <c r="G149" s="62"/>
      <c r="I149" s="86" t="e">
        <f t="shared" si="5"/>
        <v>#DIV/0!</v>
      </c>
      <c r="J149" s="87" t="e">
        <f t="shared" si="5"/>
        <v>#DIV/0!</v>
      </c>
      <c r="K149" s="87" t="e">
        <f t="shared" si="5"/>
        <v>#DIV/0!</v>
      </c>
      <c r="L149" s="87" t="e">
        <f t="shared" si="5"/>
        <v>#DIV/0!</v>
      </c>
      <c r="M149" s="88" t="e">
        <f t="shared" si="5"/>
        <v>#DIV/0!</v>
      </c>
      <c r="O149" s="121" t="str">
        <f t="shared" si="6"/>
        <v>קרית מוצקין</v>
      </c>
      <c r="P149" s="121" t="str">
        <f t="shared" si="6"/>
        <v>חיפה הדר-כרמל</v>
      </c>
    </row>
    <row r="150" spans="1:16" x14ac:dyDescent="0.3">
      <c r="A150" s="61">
        <v>6</v>
      </c>
      <c r="B150" s="61">
        <v>15</v>
      </c>
      <c r="C150" s="60"/>
      <c r="G150" s="62"/>
      <c r="I150" s="86" t="e">
        <f t="shared" si="5"/>
        <v>#DIV/0!</v>
      </c>
      <c r="J150" s="87" t="e">
        <f t="shared" si="5"/>
        <v>#DIV/0!</v>
      </c>
      <c r="K150" s="87" t="e">
        <f t="shared" si="5"/>
        <v>#DIV/0!</v>
      </c>
      <c r="L150" s="87" t="e">
        <f t="shared" si="5"/>
        <v>#DIV/0!</v>
      </c>
      <c r="M150" s="88" t="e">
        <f t="shared" si="5"/>
        <v>#DIV/0!</v>
      </c>
      <c r="O150" s="121" t="str">
        <f t="shared" si="6"/>
        <v>קרית מוצקין</v>
      </c>
      <c r="P150" s="121" t="str">
        <f t="shared" si="6"/>
        <v>חיפה מערב</v>
      </c>
    </row>
    <row r="151" spans="1:16" x14ac:dyDescent="0.3">
      <c r="A151" s="61">
        <v>6</v>
      </c>
      <c r="B151" s="61">
        <v>16</v>
      </c>
      <c r="C151" s="60"/>
      <c r="G151" s="62"/>
      <c r="I151" s="86" t="e">
        <f t="shared" si="5"/>
        <v>#DIV/0!</v>
      </c>
      <c r="J151" s="87" t="e">
        <f t="shared" si="5"/>
        <v>#DIV/0!</v>
      </c>
      <c r="K151" s="87" t="e">
        <f t="shared" si="5"/>
        <v>#DIV/0!</v>
      </c>
      <c r="L151" s="87" t="e">
        <f t="shared" si="5"/>
        <v>#DIV/0!</v>
      </c>
      <c r="M151" s="88" t="e">
        <f t="shared" si="5"/>
        <v>#DIV/0!</v>
      </c>
      <c r="O151" s="121" t="str">
        <f t="shared" si="6"/>
        <v>קרית מוצקין</v>
      </c>
      <c r="P151" s="121" t="str">
        <f t="shared" si="6"/>
        <v>חיפה כרמל</v>
      </c>
    </row>
    <row r="152" spans="1:16" x14ac:dyDescent="0.3">
      <c r="A152" s="61">
        <v>6</v>
      </c>
      <c r="B152" s="61">
        <v>17</v>
      </c>
      <c r="C152" s="60"/>
      <c r="G152" s="62"/>
      <c r="I152" s="86" t="e">
        <f t="shared" si="5"/>
        <v>#DIV/0!</v>
      </c>
      <c r="J152" s="87" t="e">
        <f t="shared" si="5"/>
        <v>#DIV/0!</v>
      </c>
      <c r="K152" s="87" t="e">
        <f t="shared" si="5"/>
        <v>#DIV/0!</v>
      </c>
      <c r="L152" s="87" t="e">
        <f t="shared" si="5"/>
        <v>#DIV/0!</v>
      </c>
      <c r="M152" s="88" t="e">
        <f t="shared" si="5"/>
        <v>#DIV/0!</v>
      </c>
      <c r="O152" s="121" t="str">
        <f t="shared" si="6"/>
        <v>קרית מוצקין</v>
      </c>
      <c r="P152" s="121" t="str">
        <f t="shared" si="6"/>
        <v>חיפה נווה שאנן</v>
      </c>
    </row>
    <row r="153" spans="1:16" x14ac:dyDescent="0.3">
      <c r="A153" s="61">
        <v>6</v>
      </c>
      <c r="B153" s="61">
        <v>18</v>
      </c>
      <c r="C153" s="60"/>
      <c r="G153" s="62"/>
      <c r="I153" s="86" t="e">
        <f t="shared" si="5"/>
        <v>#DIV/0!</v>
      </c>
      <c r="J153" s="87" t="e">
        <f t="shared" si="5"/>
        <v>#DIV/0!</v>
      </c>
      <c r="K153" s="87" t="e">
        <f t="shared" si="5"/>
        <v>#DIV/0!</v>
      </c>
      <c r="L153" s="87" t="e">
        <f t="shared" si="5"/>
        <v>#DIV/0!</v>
      </c>
      <c r="M153" s="88" t="e">
        <f t="shared" si="5"/>
        <v>#DIV/0!</v>
      </c>
      <c r="O153" s="121" t="str">
        <f t="shared" si="6"/>
        <v>קרית מוצקין</v>
      </c>
      <c r="P153" s="121" t="str">
        <f t="shared" si="6"/>
        <v>נשר</v>
      </c>
    </row>
    <row r="154" spans="1:16" x14ac:dyDescent="0.3">
      <c r="A154" s="61">
        <v>6</v>
      </c>
      <c r="B154" s="61">
        <v>19</v>
      </c>
      <c r="C154" s="60"/>
      <c r="G154" s="62"/>
      <c r="I154" s="86" t="e">
        <f t="shared" si="5"/>
        <v>#DIV/0!</v>
      </c>
      <c r="J154" s="87" t="e">
        <f t="shared" si="5"/>
        <v>#DIV/0!</v>
      </c>
      <c r="K154" s="87" t="e">
        <f t="shared" si="5"/>
        <v>#DIV/0!</v>
      </c>
      <c r="L154" s="87" t="e">
        <f t="shared" si="5"/>
        <v>#DIV/0!</v>
      </c>
      <c r="M154" s="88" t="e">
        <f t="shared" si="5"/>
        <v>#DIV/0!</v>
      </c>
      <c r="O154" s="121" t="str">
        <f t="shared" si="6"/>
        <v>קרית מוצקין</v>
      </c>
      <c r="P154" s="121" t="str">
        <f t="shared" si="6"/>
        <v>נצרת</v>
      </c>
    </row>
    <row r="155" spans="1:16" x14ac:dyDescent="0.3">
      <c r="A155" s="61">
        <v>6</v>
      </c>
      <c r="B155" s="61">
        <v>20</v>
      </c>
      <c r="C155" s="60"/>
      <c r="G155" s="62"/>
      <c r="I155" s="86" t="e">
        <f t="shared" si="5"/>
        <v>#DIV/0!</v>
      </c>
      <c r="J155" s="87" t="e">
        <f t="shared" si="5"/>
        <v>#DIV/0!</v>
      </c>
      <c r="K155" s="87" t="e">
        <f t="shared" si="5"/>
        <v>#DIV/0!</v>
      </c>
      <c r="L155" s="87" t="e">
        <f t="shared" si="5"/>
        <v>#DIV/0!</v>
      </c>
      <c r="M155" s="88" t="e">
        <f t="shared" si="5"/>
        <v>#DIV/0!</v>
      </c>
      <c r="O155" s="121" t="str">
        <f t="shared" si="6"/>
        <v>קרית מוצקין</v>
      </c>
      <c r="P155" s="121" t="str">
        <f t="shared" si="6"/>
        <v>נצרת-עילית</v>
      </c>
    </row>
    <row r="156" spans="1:16" x14ac:dyDescent="0.3">
      <c r="A156" s="61">
        <v>6</v>
      </c>
      <c r="B156" s="61">
        <v>21</v>
      </c>
      <c r="C156" s="60"/>
      <c r="G156" s="62"/>
      <c r="I156" s="86" t="e">
        <f t="shared" si="5"/>
        <v>#DIV/0!</v>
      </c>
      <c r="J156" s="87" t="e">
        <f t="shared" si="5"/>
        <v>#DIV/0!</v>
      </c>
      <c r="K156" s="87" t="e">
        <f t="shared" si="5"/>
        <v>#DIV/0!</v>
      </c>
      <c r="L156" s="87" t="e">
        <f t="shared" si="5"/>
        <v>#DIV/0!</v>
      </c>
      <c r="M156" s="88" t="e">
        <f t="shared" si="5"/>
        <v>#DIV/0!</v>
      </c>
      <c r="O156" s="121" t="str">
        <f t="shared" si="6"/>
        <v>קרית מוצקין</v>
      </c>
      <c r="P156" s="121" t="str">
        <f t="shared" si="6"/>
        <v>מגדל העמק</v>
      </c>
    </row>
    <row r="157" spans="1:16" x14ac:dyDescent="0.3">
      <c r="A157" s="61">
        <v>6</v>
      </c>
      <c r="B157" s="61">
        <v>22</v>
      </c>
      <c r="C157" s="60"/>
      <c r="G157" s="62"/>
      <c r="I157" s="86" t="e">
        <f t="shared" si="5"/>
        <v>#DIV/0!</v>
      </c>
      <c r="J157" s="87" t="e">
        <f t="shared" si="5"/>
        <v>#DIV/0!</v>
      </c>
      <c r="K157" s="87" t="e">
        <f t="shared" si="5"/>
        <v>#DIV/0!</v>
      </c>
      <c r="L157" s="87" t="e">
        <f t="shared" si="5"/>
        <v>#DIV/0!</v>
      </c>
      <c r="M157" s="88" t="e">
        <f t="shared" si="5"/>
        <v>#DIV/0!</v>
      </c>
      <c r="O157" s="121" t="str">
        <f t="shared" si="6"/>
        <v>קרית מוצקין</v>
      </c>
      <c r="P157" s="121" t="str">
        <f t="shared" si="6"/>
        <v>יוקנעם</v>
      </c>
    </row>
    <row r="158" spans="1:16" x14ac:dyDescent="0.3">
      <c r="A158" s="61">
        <v>6</v>
      </c>
      <c r="B158" s="61">
        <v>23</v>
      </c>
      <c r="C158" s="60"/>
      <c r="G158" s="62"/>
      <c r="I158" s="86" t="e">
        <f t="shared" si="5"/>
        <v>#DIV/0!</v>
      </c>
      <c r="J158" s="87" t="e">
        <f t="shared" si="5"/>
        <v>#DIV/0!</v>
      </c>
      <c r="K158" s="87" t="e">
        <f t="shared" si="5"/>
        <v>#DIV/0!</v>
      </c>
      <c r="L158" s="87" t="e">
        <f t="shared" si="5"/>
        <v>#DIV/0!</v>
      </c>
      <c r="M158" s="88" t="e">
        <f t="shared" si="5"/>
        <v>#DIV/0!</v>
      </c>
      <c r="O158" s="121" t="str">
        <f t="shared" si="6"/>
        <v>קרית מוצקין</v>
      </c>
      <c r="P158" s="121" t="str">
        <f t="shared" si="6"/>
        <v>דלית אל כרמל</v>
      </c>
    </row>
    <row r="159" spans="1:16" x14ac:dyDescent="0.3">
      <c r="A159" s="61">
        <v>6</v>
      </c>
      <c r="B159" s="61">
        <v>24</v>
      </c>
      <c r="C159" s="60"/>
      <c r="G159" s="62"/>
      <c r="I159" s="86" t="e">
        <f t="shared" si="5"/>
        <v>#DIV/0!</v>
      </c>
      <c r="J159" s="87" t="e">
        <f t="shared" si="5"/>
        <v>#DIV/0!</v>
      </c>
      <c r="K159" s="87" t="e">
        <f t="shared" si="5"/>
        <v>#DIV/0!</v>
      </c>
      <c r="L159" s="87" t="e">
        <f t="shared" si="5"/>
        <v>#DIV/0!</v>
      </c>
      <c r="M159" s="88" t="e">
        <f t="shared" si="5"/>
        <v>#DIV/0!</v>
      </c>
      <c r="O159" s="121" t="str">
        <f t="shared" si="6"/>
        <v>קרית מוצקין</v>
      </c>
      <c r="P159" s="121" t="str">
        <f t="shared" si="6"/>
        <v>חוף הכרמל</v>
      </c>
    </row>
    <row r="160" spans="1:16" x14ac:dyDescent="0.3">
      <c r="A160" s="61">
        <v>6</v>
      </c>
      <c r="B160" s="61">
        <v>25</v>
      </c>
      <c r="C160" s="60"/>
      <c r="G160" s="62"/>
      <c r="I160" s="86" t="e">
        <f t="shared" si="5"/>
        <v>#DIV/0!</v>
      </c>
      <c r="J160" s="87" t="e">
        <f t="shared" si="5"/>
        <v>#DIV/0!</v>
      </c>
      <c r="K160" s="87" t="e">
        <f t="shared" si="5"/>
        <v>#DIV/0!</v>
      </c>
      <c r="L160" s="87" t="e">
        <f t="shared" si="5"/>
        <v>#DIV/0!</v>
      </c>
      <c r="M160" s="88" t="e">
        <f t="shared" si="5"/>
        <v>#DIV/0!</v>
      </c>
      <c r="O160" s="121" t="str">
        <f t="shared" si="6"/>
        <v>קרית מוצקין</v>
      </c>
      <c r="P160" s="121" t="str">
        <f t="shared" si="6"/>
        <v>זכרון יעקב</v>
      </c>
    </row>
    <row r="161" spans="1:16" x14ac:dyDescent="0.3">
      <c r="A161" s="61">
        <v>6</v>
      </c>
      <c r="B161" s="61">
        <v>30</v>
      </c>
      <c r="C161" s="60"/>
      <c r="G161" s="62"/>
      <c r="I161" s="86" t="e">
        <f t="shared" si="5"/>
        <v>#DIV/0!</v>
      </c>
      <c r="J161" s="87" t="e">
        <f t="shared" si="5"/>
        <v>#DIV/0!</v>
      </c>
      <c r="K161" s="87" t="e">
        <f t="shared" si="5"/>
        <v>#DIV/0!</v>
      </c>
      <c r="L161" s="87" t="e">
        <f t="shared" si="5"/>
        <v>#DIV/0!</v>
      </c>
      <c r="M161" s="88" t="e">
        <f t="shared" si="5"/>
        <v>#DIV/0!</v>
      </c>
      <c r="O161" s="121" t="str">
        <f t="shared" si="6"/>
        <v>קרית מוצקין</v>
      </c>
      <c r="P161" s="121" t="str">
        <f t="shared" si="6"/>
        <v>סכנין</v>
      </c>
    </row>
    <row r="162" spans="1:16" x14ac:dyDescent="0.3">
      <c r="A162" s="61">
        <v>7</v>
      </c>
      <c r="B162" s="61">
        <v>1</v>
      </c>
      <c r="C162" s="60"/>
      <c r="G162" s="62"/>
      <c r="I162" s="86" t="e">
        <f t="shared" si="5"/>
        <v>#DIV/0!</v>
      </c>
      <c r="J162" s="87" t="e">
        <f t="shared" si="5"/>
        <v>#DIV/0!</v>
      </c>
      <c r="K162" s="87" t="e">
        <f t="shared" si="5"/>
        <v>#DIV/0!</v>
      </c>
      <c r="L162" s="87" t="e">
        <f t="shared" si="5"/>
        <v>#DIV/0!</v>
      </c>
      <c r="M162" s="88" t="e">
        <f t="shared" si="5"/>
        <v>#DIV/0!</v>
      </c>
      <c r="O162" s="121" t="str">
        <f t="shared" si="6"/>
        <v>קרית ביאליק</v>
      </c>
      <c r="P162" s="121" t="str">
        <f t="shared" si="6"/>
        <v>נהריה</v>
      </c>
    </row>
    <row r="163" spans="1:16" x14ac:dyDescent="0.3">
      <c r="A163" s="61">
        <v>7</v>
      </c>
      <c r="B163" s="61">
        <v>2</v>
      </c>
      <c r="C163" s="60"/>
      <c r="G163" s="62"/>
      <c r="I163" s="86" t="e">
        <f t="shared" si="5"/>
        <v>#DIV/0!</v>
      </c>
      <c r="J163" s="87" t="e">
        <f t="shared" si="5"/>
        <v>#DIV/0!</v>
      </c>
      <c r="K163" s="87" t="e">
        <f t="shared" si="5"/>
        <v>#DIV/0!</v>
      </c>
      <c r="L163" s="87" t="e">
        <f t="shared" si="5"/>
        <v>#DIV/0!</v>
      </c>
      <c r="M163" s="88" t="e">
        <f t="shared" si="5"/>
        <v>#DIV/0!</v>
      </c>
      <c r="O163" s="121" t="str">
        <f t="shared" si="6"/>
        <v>קרית ביאליק</v>
      </c>
      <c r="P163" s="121" t="str">
        <f t="shared" si="6"/>
        <v>עכו</v>
      </c>
    </row>
    <row r="164" spans="1:16" x14ac:dyDescent="0.3">
      <c r="A164" s="61">
        <v>7</v>
      </c>
      <c r="B164" s="61">
        <v>3</v>
      </c>
      <c r="C164" s="60"/>
      <c r="G164" s="62"/>
      <c r="I164" s="86" t="e">
        <f t="shared" si="5"/>
        <v>#DIV/0!</v>
      </c>
      <c r="J164" s="87" t="e">
        <f t="shared" si="5"/>
        <v>#DIV/0!</v>
      </c>
      <c r="K164" s="87" t="e">
        <f t="shared" si="5"/>
        <v>#DIV/0!</v>
      </c>
      <c r="L164" s="87" t="e">
        <f t="shared" si="5"/>
        <v>#DIV/0!</v>
      </c>
      <c r="M164" s="88" t="e">
        <f t="shared" si="5"/>
        <v>#DIV/0!</v>
      </c>
      <c r="O164" s="121" t="str">
        <f t="shared" si="6"/>
        <v>קרית ביאליק</v>
      </c>
      <c r="P164" s="121" t="str">
        <f t="shared" si="6"/>
        <v>כרמיאל</v>
      </c>
    </row>
    <row r="165" spans="1:16" x14ac:dyDescent="0.3">
      <c r="A165" s="61">
        <v>7</v>
      </c>
      <c r="B165" s="61">
        <v>4</v>
      </c>
      <c r="C165" s="60"/>
      <c r="G165" s="62"/>
      <c r="I165" s="86" t="e">
        <f t="shared" si="5"/>
        <v>#DIV/0!</v>
      </c>
      <c r="J165" s="87" t="e">
        <f t="shared" si="5"/>
        <v>#DIV/0!</v>
      </c>
      <c r="K165" s="87" t="e">
        <f t="shared" si="5"/>
        <v>#DIV/0!</v>
      </c>
      <c r="L165" s="87" t="e">
        <f t="shared" si="5"/>
        <v>#DIV/0!</v>
      </c>
      <c r="M165" s="88" t="e">
        <f t="shared" si="5"/>
        <v>#DIV/0!</v>
      </c>
      <c r="O165" s="121" t="str">
        <f t="shared" si="6"/>
        <v>קרית ביאליק</v>
      </c>
      <c r="P165" s="121" t="str">
        <f t="shared" si="6"/>
        <v>שפרעם</v>
      </c>
    </row>
    <row r="166" spans="1:16" x14ac:dyDescent="0.3">
      <c r="A166" s="61">
        <v>7</v>
      </c>
      <c r="B166" s="61">
        <v>5</v>
      </c>
      <c r="C166" s="60"/>
      <c r="G166" s="62"/>
      <c r="I166" s="86" t="e">
        <f t="shared" si="5"/>
        <v>#DIV/0!</v>
      </c>
      <c r="J166" s="87" t="e">
        <f t="shared" si="5"/>
        <v>#DIV/0!</v>
      </c>
      <c r="K166" s="87" t="e">
        <f t="shared" si="5"/>
        <v>#DIV/0!</v>
      </c>
      <c r="L166" s="87" t="e">
        <f t="shared" si="5"/>
        <v>#DIV/0!</v>
      </c>
      <c r="M166" s="88" t="e">
        <f t="shared" si="5"/>
        <v>#DIV/0!</v>
      </c>
      <c r="O166" s="121" t="str">
        <f t="shared" si="6"/>
        <v>קרית ביאליק</v>
      </c>
      <c r="P166" s="121" t="str">
        <f t="shared" si="6"/>
        <v>קרית ים</v>
      </c>
    </row>
    <row r="167" spans="1:16" x14ac:dyDescent="0.3">
      <c r="A167" s="61">
        <v>7</v>
      </c>
      <c r="B167" s="61">
        <v>6</v>
      </c>
      <c r="C167" s="60"/>
      <c r="G167" s="62"/>
      <c r="I167" s="86" t="e">
        <f t="shared" si="5"/>
        <v>#DIV/0!</v>
      </c>
      <c r="J167" s="87" t="e">
        <f t="shared" si="5"/>
        <v>#DIV/0!</v>
      </c>
      <c r="K167" s="87" t="e">
        <f t="shared" si="5"/>
        <v>#DIV/0!</v>
      </c>
      <c r="L167" s="87" t="e">
        <f t="shared" si="5"/>
        <v>#DIV/0!</v>
      </c>
      <c r="M167" s="88" t="e">
        <f t="shared" si="5"/>
        <v>#DIV/0!</v>
      </c>
      <c r="O167" s="121" t="str">
        <f t="shared" si="6"/>
        <v>קרית ביאליק</v>
      </c>
      <c r="P167" s="121" t="str">
        <f t="shared" si="6"/>
        <v>קרית מוצקין</v>
      </c>
    </row>
    <row r="168" spans="1:16" x14ac:dyDescent="0.3">
      <c r="A168" s="61">
        <v>7</v>
      </c>
      <c r="B168" s="61">
        <v>7</v>
      </c>
      <c r="C168" s="60"/>
      <c r="G168" s="62"/>
      <c r="I168" s="86" t="e">
        <f t="shared" si="5"/>
        <v>#DIV/0!</v>
      </c>
      <c r="J168" s="87" t="e">
        <f t="shared" si="5"/>
        <v>#DIV/0!</v>
      </c>
      <c r="K168" s="87" t="e">
        <f t="shared" si="5"/>
        <v>#DIV/0!</v>
      </c>
      <c r="L168" s="87" t="e">
        <f t="shared" si="5"/>
        <v>#DIV/0!</v>
      </c>
      <c r="M168" s="88" t="e">
        <f t="shared" si="5"/>
        <v>#DIV/0!</v>
      </c>
      <c r="O168" s="121" t="str">
        <f t="shared" si="6"/>
        <v>קרית ביאליק</v>
      </c>
      <c r="P168" s="121" t="str">
        <f t="shared" si="6"/>
        <v>קרית ביאליק</v>
      </c>
    </row>
    <row r="169" spans="1:16" x14ac:dyDescent="0.3">
      <c r="A169" s="61">
        <v>7</v>
      </c>
      <c r="B169" s="61">
        <v>8</v>
      </c>
      <c r="C169" s="60"/>
      <c r="G169" s="62"/>
      <c r="I169" s="86" t="e">
        <f t="shared" si="5"/>
        <v>#DIV/0!</v>
      </c>
      <c r="J169" s="87" t="e">
        <f t="shared" si="5"/>
        <v>#DIV/0!</v>
      </c>
      <c r="K169" s="87" t="e">
        <f t="shared" si="5"/>
        <v>#DIV/0!</v>
      </c>
      <c r="L169" s="87" t="e">
        <f t="shared" si="5"/>
        <v>#DIV/0!</v>
      </c>
      <c r="M169" s="88" t="e">
        <f t="shared" si="5"/>
        <v>#DIV/0!</v>
      </c>
      <c r="O169" s="121" t="str">
        <f t="shared" si="6"/>
        <v>קרית ביאליק</v>
      </c>
      <c r="P169" s="121" t="str">
        <f t="shared" si="6"/>
        <v>קרית חיים</v>
      </c>
    </row>
    <row r="170" spans="1:16" x14ac:dyDescent="0.3">
      <c r="A170" s="61">
        <v>7</v>
      </c>
      <c r="B170" s="61">
        <v>9</v>
      </c>
      <c r="C170" s="60"/>
      <c r="G170" s="62"/>
      <c r="I170" s="86" t="e">
        <f t="shared" si="5"/>
        <v>#DIV/0!</v>
      </c>
      <c r="J170" s="87" t="e">
        <f t="shared" si="5"/>
        <v>#DIV/0!</v>
      </c>
      <c r="K170" s="87" t="e">
        <f t="shared" si="5"/>
        <v>#DIV/0!</v>
      </c>
      <c r="L170" s="87" t="e">
        <f t="shared" si="5"/>
        <v>#DIV/0!</v>
      </c>
      <c r="M170" s="88" t="e">
        <f t="shared" si="5"/>
        <v>#DIV/0!</v>
      </c>
      <c r="O170" s="121" t="str">
        <f t="shared" si="6"/>
        <v>קרית ביאליק</v>
      </c>
      <c r="P170" s="121" t="str">
        <f t="shared" si="6"/>
        <v>קרית אתא</v>
      </c>
    </row>
    <row r="171" spans="1:16" x14ac:dyDescent="0.3">
      <c r="A171" s="61">
        <v>7</v>
      </c>
      <c r="B171" s="61">
        <v>10</v>
      </c>
      <c r="C171" s="60"/>
      <c r="G171" s="62"/>
      <c r="I171" s="86" t="e">
        <f t="shared" si="5"/>
        <v>#DIV/0!</v>
      </c>
      <c r="J171" s="87" t="e">
        <f t="shared" si="5"/>
        <v>#DIV/0!</v>
      </c>
      <c r="K171" s="87" t="e">
        <f t="shared" si="5"/>
        <v>#DIV/0!</v>
      </c>
      <c r="L171" s="87" t="e">
        <f t="shared" si="5"/>
        <v>#DIV/0!</v>
      </c>
      <c r="M171" s="88" t="e">
        <f t="shared" si="5"/>
        <v>#DIV/0!</v>
      </c>
      <c r="O171" s="121" t="str">
        <f t="shared" si="6"/>
        <v>קרית ביאליק</v>
      </c>
      <c r="P171" s="121" t="str">
        <f t="shared" si="6"/>
        <v>כפר מנדא</v>
      </c>
    </row>
    <row r="172" spans="1:16" x14ac:dyDescent="0.3">
      <c r="A172" s="61">
        <v>7</v>
      </c>
      <c r="B172" s="61">
        <v>11</v>
      </c>
      <c r="C172" s="60"/>
      <c r="G172" s="62"/>
      <c r="I172" s="86" t="e">
        <f t="shared" ref="I172:M222" si="7">C172/SUM($C172:$G172)</f>
        <v>#DIV/0!</v>
      </c>
      <c r="J172" s="87" t="e">
        <f t="shared" si="7"/>
        <v>#DIV/0!</v>
      </c>
      <c r="K172" s="87" t="e">
        <f t="shared" si="7"/>
        <v>#DIV/0!</v>
      </c>
      <c r="L172" s="87" t="e">
        <f t="shared" si="7"/>
        <v>#DIV/0!</v>
      </c>
      <c r="M172" s="88" t="e">
        <f t="shared" si="7"/>
        <v>#DIV/0!</v>
      </c>
      <c r="O172" s="121" t="str">
        <f t="shared" si="6"/>
        <v>קרית ביאליק</v>
      </c>
      <c r="P172" s="121" t="str">
        <f t="shared" si="6"/>
        <v>זבולון</v>
      </c>
    </row>
    <row r="173" spans="1:16" x14ac:dyDescent="0.3">
      <c r="A173" s="61">
        <v>7</v>
      </c>
      <c r="B173" s="61">
        <v>12</v>
      </c>
      <c r="C173" s="60"/>
      <c r="G173" s="62"/>
      <c r="I173" s="86" t="e">
        <f t="shared" si="7"/>
        <v>#DIV/0!</v>
      </c>
      <c r="J173" s="87" t="e">
        <f t="shared" si="7"/>
        <v>#DIV/0!</v>
      </c>
      <c r="K173" s="87" t="e">
        <f t="shared" si="7"/>
        <v>#DIV/0!</v>
      </c>
      <c r="L173" s="87" t="e">
        <f t="shared" si="7"/>
        <v>#DIV/0!</v>
      </c>
      <c r="M173" s="88" t="e">
        <f t="shared" si="7"/>
        <v>#DIV/0!</v>
      </c>
      <c r="O173" s="121" t="str">
        <f t="shared" si="6"/>
        <v>קרית ביאליק</v>
      </c>
      <c r="P173" s="121" t="str">
        <f t="shared" si="6"/>
        <v>חיפה מפרץ</v>
      </c>
    </row>
    <row r="174" spans="1:16" x14ac:dyDescent="0.3">
      <c r="A174" s="61">
        <v>7</v>
      </c>
      <c r="B174" s="61">
        <v>13</v>
      </c>
      <c r="C174" s="60"/>
      <c r="G174" s="62"/>
      <c r="I174" s="86" t="e">
        <f t="shared" si="7"/>
        <v>#DIV/0!</v>
      </c>
      <c r="J174" s="87" t="e">
        <f t="shared" si="7"/>
        <v>#DIV/0!</v>
      </c>
      <c r="K174" s="87" t="e">
        <f t="shared" si="7"/>
        <v>#DIV/0!</v>
      </c>
      <c r="L174" s="87" t="e">
        <f t="shared" si="7"/>
        <v>#DIV/0!</v>
      </c>
      <c r="M174" s="88" t="e">
        <f t="shared" si="7"/>
        <v>#DIV/0!</v>
      </c>
      <c r="O174" s="121" t="str">
        <f t="shared" si="6"/>
        <v>קרית ביאליק</v>
      </c>
      <c r="P174" s="121" t="str">
        <f t="shared" si="6"/>
        <v>חיפה עיר תחתית</v>
      </c>
    </row>
    <row r="175" spans="1:16" x14ac:dyDescent="0.3">
      <c r="A175" s="61">
        <v>7</v>
      </c>
      <c r="B175" s="61">
        <v>14</v>
      </c>
      <c r="C175" s="60"/>
      <c r="G175" s="62"/>
      <c r="I175" s="86" t="e">
        <f t="shared" si="7"/>
        <v>#DIV/0!</v>
      </c>
      <c r="J175" s="87" t="e">
        <f t="shared" si="7"/>
        <v>#DIV/0!</v>
      </c>
      <c r="K175" s="87" t="e">
        <f t="shared" si="7"/>
        <v>#DIV/0!</v>
      </c>
      <c r="L175" s="87" t="e">
        <f t="shared" si="7"/>
        <v>#DIV/0!</v>
      </c>
      <c r="M175" s="88" t="e">
        <f t="shared" si="7"/>
        <v>#DIV/0!</v>
      </c>
      <c r="O175" s="121" t="str">
        <f t="shared" si="6"/>
        <v>קרית ביאליק</v>
      </c>
      <c r="P175" s="121" t="str">
        <f t="shared" si="6"/>
        <v>חיפה הדר-כרמל</v>
      </c>
    </row>
    <row r="176" spans="1:16" x14ac:dyDescent="0.3">
      <c r="A176" s="61">
        <v>7</v>
      </c>
      <c r="B176" s="61">
        <v>15</v>
      </c>
      <c r="C176" s="60"/>
      <c r="G176" s="62"/>
      <c r="I176" s="86" t="e">
        <f t="shared" si="7"/>
        <v>#DIV/0!</v>
      </c>
      <c r="J176" s="87" t="e">
        <f t="shared" si="7"/>
        <v>#DIV/0!</v>
      </c>
      <c r="K176" s="87" t="e">
        <f t="shared" si="7"/>
        <v>#DIV/0!</v>
      </c>
      <c r="L176" s="87" t="e">
        <f t="shared" si="7"/>
        <v>#DIV/0!</v>
      </c>
      <c r="M176" s="88" t="e">
        <f t="shared" si="7"/>
        <v>#DIV/0!</v>
      </c>
      <c r="O176" s="121" t="str">
        <f t="shared" si="6"/>
        <v>קרית ביאליק</v>
      </c>
      <c r="P176" s="121" t="str">
        <f t="shared" si="6"/>
        <v>חיפה מערב</v>
      </c>
    </row>
    <row r="177" spans="1:16" x14ac:dyDescent="0.3">
      <c r="A177" s="61">
        <v>7</v>
      </c>
      <c r="B177" s="61">
        <v>16</v>
      </c>
      <c r="C177" s="60"/>
      <c r="G177" s="62"/>
      <c r="I177" s="86" t="e">
        <f t="shared" si="7"/>
        <v>#DIV/0!</v>
      </c>
      <c r="J177" s="87" t="e">
        <f t="shared" si="7"/>
        <v>#DIV/0!</v>
      </c>
      <c r="K177" s="87" t="e">
        <f t="shared" si="7"/>
        <v>#DIV/0!</v>
      </c>
      <c r="L177" s="87" t="e">
        <f t="shared" si="7"/>
        <v>#DIV/0!</v>
      </c>
      <c r="M177" s="88" t="e">
        <f t="shared" si="7"/>
        <v>#DIV/0!</v>
      </c>
      <c r="O177" s="121" t="str">
        <f t="shared" si="6"/>
        <v>קרית ביאליק</v>
      </c>
      <c r="P177" s="121" t="str">
        <f t="shared" si="6"/>
        <v>חיפה כרמל</v>
      </c>
    </row>
    <row r="178" spans="1:16" x14ac:dyDescent="0.3">
      <c r="A178" s="61">
        <v>7</v>
      </c>
      <c r="B178" s="61">
        <v>17</v>
      </c>
      <c r="C178" s="60"/>
      <c r="G178" s="62"/>
      <c r="I178" s="86" t="e">
        <f t="shared" si="7"/>
        <v>#DIV/0!</v>
      </c>
      <c r="J178" s="87" t="e">
        <f t="shared" si="7"/>
        <v>#DIV/0!</v>
      </c>
      <c r="K178" s="87" t="e">
        <f t="shared" si="7"/>
        <v>#DIV/0!</v>
      </c>
      <c r="L178" s="87" t="e">
        <f t="shared" si="7"/>
        <v>#DIV/0!</v>
      </c>
      <c r="M178" s="88" t="e">
        <f t="shared" si="7"/>
        <v>#DIV/0!</v>
      </c>
      <c r="O178" s="121" t="str">
        <f t="shared" si="6"/>
        <v>קרית ביאליק</v>
      </c>
      <c r="P178" s="121" t="str">
        <f t="shared" si="6"/>
        <v>חיפה נווה שאנן</v>
      </c>
    </row>
    <row r="179" spans="1:16" x14ac:dyDescent="0.3">
      <c r="A179" s="61">
        <v>7</v>
      </c>
      <c r="B179" s="61">
        <v>18</v>
      </c>
      <c r="C179" s="60"/>
      <c r="G179" s="62"/>
      <c r="I179" s="86" t="e">
        <f t="shared" si="7"/>
        <v>#DIV/0!</v>
      </c>
      <c r="J179" s="87" t="e">
        <f t="shared" si="7"/>
        <v>#DIV/0!</v>
      </c>
      <c r="K179" s="87" t="e">
        <f t="shared" si="7"/>
        <v>#DIV/0!</v>
      </c>
      <c r="L179" s="87" t="e">
        <f t="shared" si="7"/>
        <v>#DIV/0!</v>
      </c>
      <c r="M179" s="88" t="e">
        <f t="shared" si="7"/>
        <v>#DIV/0!</v>
      </c>
      <c r="O179" s="121" t="str">
        <f t="shared" si="6"/>
        <v>קרית ביאליק</v>
      </c>
      <c r="P179" s="121" t="str">
        <f t="shared" si="6"/>
        <v>נשר</v>
      </c>
    </row>
    <row r="180" spans="1:16" x14ac:dyDescent="0.3">
      <c r="A180" s="61">
        <v>7</v>
      </c>
      <c r="B180" s="61">
        <v>19</v>
      </c>
      <c r="C180" s="60"/>
      <c r="G180" s="62"/>
      <c r="I180" s="86" t="e">
        <f t="shared" si="7"/>
        <v>#DIV/0!</v>
      </c>
      <c r="J180" s="87" t="e">
        <f t="shared" si="7"/>
        <v>#DIV/0!</v>
      </c>
      <c r="K180" s="87" t="e">
        <f t="shared" si="7"/>
        <v>#DIV/0!</v>
      </c>
      <c r="L180" s="87" t="e">
        <f t="shared" si="7"/>
        <v>#DIV/0!</v>
      </c>
      <c r="M180" s="88" t="e">
        <f t="shared" si="7"/>
        <v>#DIV/0!</v>
      </c>
      <c r="O180" s="121" t="str">
        <f t="shared" si="6"/>
        <v>קרית ביאליק</v>
      </c>
      <c r="P180" s="121" t="str">
        <f t="shared" si="6"/>
        <v>נצרת</v>
      </c>
    </row>
    <row r="181" spans="1:16" x14ac:dyDescent="0.3">
      <c r="A181" s="61">
        <v>7</v>
      </c>
      <c r="B181" s="61">
        <v>20</v>
      </c>
      <c r="C181" s="60"/>
      <c r="G181" s="62"/>
      <c r="I181" s="86" t="e">
        <f t="shared" si="7"/>
        <v>#DIV/0!</v>
      </c>
      <c r="J181" s="87" t="e">
        <f t="shared" si="7"/>
        <v>#DIV/0!</v>
      </c>
      <c r="K181" s="87" t="e">
        <f t="shared" si="7"/>
        <v>#DIV/0!</v>
      </c>
      <c r="L181" s="87" t="e">
        <f t="shared" si="7"/>
        <v>#DIV/0!</v>
      </c>
      <c r="M181" s="88" t="e">
        <f t="shared" si="7"/>
        <v>#DIV/0!</v>
      </c>
      <c r="O181" s="121" t="str">
        <f t="shared" si="6"/>
        <v>קרית ביאליק</v>
      </c>
      <c r="P181" s="121" t="str">
        <f t="shared" si="6"/>
        <v>נצרת-עילית</v>
      </c>
    </row>
    <row r="182" spans="1:16" x14ac:dyDescent="0.3">
      <c r="A182" s="61">
        <v>7</v>
      </c>
      <c r="B182" s="61">
        <v>21</v>
      </c>
      <c r="C182" s="60"/>
      <c r="G182" s="62"/>
      <c r="I182" s="86" t="e">
        <f t="shared" si="7"/>
        <v>#DIV/0!</v>
      </c>
      <c r="J182" s="87" t="e">
        <f t="shared" si="7"/>
        <v>#DIV/0!</v>
      </c>
      <c r="K182" s="87" t="e">
        <f t="shared" si="7"/>
        <v>#DIV/0!</v>
      </c>
      <c r="L182" s="87" t="e">
        <f t="shared" si="7"/>
        <v>#DIV/0!</v>
      </c>
      <c r="M182" s="88" t="e">
        <f t="shared" si="7"/>
        <v>#DIV/0!</v>
      </c>
      <c r="O182" s="121" t="str">
        <f t="shared" si="6"/>
        <v>קרית ביאליק</v>
      </c>
      <c r="P182" s="121" t="str">
        <f t="shared" si="6"/>
        <v>מגדל העמק</v>
      </c>
    </row>
    <row r="183" spans="1:16" x14ac:dyDescent="0.3">
      <c r="A183" s="61">
        <v>7</v>
      </c>
      <c r="B183" s="61">
        <v>22</v>
      </c>
      <c r="C183" s="60"/>
      <c r="G183" s="62"/>
      <c r="I183" s="86" t="e">
        <f t="shared" si="7"/>
        <v>#DIV/0!</v>
      </c>
      <c r="J183" s="87" t="e">
        <f t="shared" si="7"/>
        <v>#DIV/0!</v>
      </c>
      <c r="K183" s="87" t="e">
        <f t="shared" si="7"/>
        <v>#DIV/0!</v>
      </c>
      <c r="L183" s="87" t="e">
        <f t="shared" si="7"/>
        <v>#DIV/0!</v>
      </c>
      <c r="M183" s="88" t="e">
        <f t="shared" si="7"/>
        <v>#DIV/0!</v>
      </c>
      <c r="O183" s="121" t="str">
        <f t="shared" si="6"/>
        <v>קרית ביאליק</v>
      </c>
      <c r="P183" s="121" t="str">
        <f t="shared" si="6"/>
        <v>יוקנעם</v>
      </c>
    </row>
    <row r="184" spans="1:16" x14ac:dyDescent="0.3">
      <c r="A184" s="61">
        <v>7</v>
      </c>
      <c r="B184" s="61">
        <v>23</v>
      </c>
      <c r="C184" s="60"/>
      <c r="G184" s="62"/>
      <c r="I184" s="86" t="e">
        <f t="shared" si="7"/>
        <v>#DIV/0!</v>
      </c>
      <c r="J184" s="87" t="e">
        <f t="shared" si="7"/>
        <v>#DIV/0!</v>
      </c>
      <c r="K184" s="87" t="e">
        <f t="shared" si="7"/>
        <v>#DIV/0!</v>
      </c>
      <c r="L184" s="87" t="e">
        <f t="shared" si="7"/>
        <v>#DIV/0!</v>
      </c>
      <c r="M184" s="88" t="e">
        <f t="shared" si="7"/>
        <v>#DIV/0!</v>
      </c>
      <c r="O184" s="121" t="str">
        <f t="shared" si="6"/>
        <v>קרית ביאליק</v>
      </c>
      <c r="P184" s="121" t="str">
        <f t="shared" si="6"/>
        <v>דלית אל כרמל</v>
      </c>
    </row>
    <row r="185" spans="1:16" x14ac:dyDescent="0.3">
      <c r="A185" s="61">
        <v>7</v>
      </c>
      <c r="B185" s="61">
        <v>24</v>
      </c>
      <c r="C185" s="60"/>
      <c r="G185" s="62"/>
      <c r="I185" s="86" t="e">
        <f t="shared" si="7"/>
        <v>#DIV/0!</v>
      </c>
      <c r="J185" s="87" t="e">
        <f t="shared" si="7"/>
        <v>#DIV/0!</v>
      </c>
      <c r="K185" s="87" t="e">
        <f t="shared" si="7"/>
        <v>#DIV/0!</v>
      </c>
      <c r="L185" s="87" t="e">
        <f t="shared" si="7"/>
        <v>#DIV/0!</v>
      </c>
      <c r="M185" s="88" t="e">
        <f t="shared" si="7"/>
        <v>#DIV/0!</v>
      </c>
      <c r="O185" s="121" t="str">
        <f t="shared" si="6"/>
        <v>קרית ביאליק</v>
      </c>
      <c r="P185" s="121" t="str">
        <f t="shared" si="6"/>
        <v>חוף הכרמל</v>
      </c>
    </row>
    <row r="186" spans="1:16" x14ac:dyDescent="0.3">
      <c r="A186" s="61">
        <v>7</v>
      </c>
      <c r="B186" s="61">
        <v>25</v>
      </c>
      <c r="C186" s="60"/>
      <c r="G186" s="62"/>
      <c r="I186" s="86" t="e">
        <f t="shared" si="7"/>
        <v>#DIV/0!</v>
      </c>
      <c r="J186" s="87" t="e">
        <f t="shared" si="7"/>
        <v>#DIV/0!</v>
      </c>
      <c r="K186" s="87" t="e">
        <f t="shared" si="7"/>
        <v>#DIV/0!</v>
      </c>
      <c r="L186" s="87" t="e">
        <f t="shared" si="7"/>
        <v>#DIV/0!</v>
      </c>
      <c r="M186" s="88" t="e">
        <f t="shared" si="7"/>
        <v>#DIV/0!</v>
      </c>
      <c r="O186" s="121" t="str">
        <f t="shared" si="6"/>
        <v>קרית ביאליק</v>
      </c>
      <c r="P186" s="121" t="str">
        <f t="shared" si="6"/>
        <v>זכרון יעקב</v>
      </c>
    </row>
    <row r="187" spans="1:16" x14ac:dyDescent="0.3">
      <c r="A187" s="61">
        <v>7</v>
      </c>
      <c r="B187" s="61">
        <v>30</v>
      </c>
      <c r="C187" s="60"/>
      <c r="G187" s="62"/>
      <c r="I187" s="86" t="e">
        <f t="shared" si="7"/>
        <v>#DIV/0!</v>
      </c>
      <c r="J187" s="87" t="e">
        <f t="shared" si="7"/>
        <v>#DIV/0!</v>
      </c>
      <c r="K187" s="87" t="e">
        <f t="shared" si="7"/>
        <v>#DIV/0!</v>
      </c>
      <c r="L187" s="87" t="e">
        <f t="shared" si="7"/>
        <v>#DIV/0!</v>
      </c>
      <c r="M187" s="88" t="e">
        <f t="shared" si="7"/>
        <v>#DIV/0!</v>
      </c>
      <c r="O187" s="121" t="str">
        <f t="shared" si="6"/>
        <v>קרית ביאליק</v>
      </c>
      <c r="P187" s="121" t="str">
        <f t="shared" si="6"/>
        <v>סכנין</v>
      </c>
    </row>
    <row r="188" spans="1:16" x14ac:dyDescent="0.3">
      <c r="A188" s="61">
        <v>8</v>
      </c>
      <c r="B188" s="61">
        <v>1</v>
      </c>
      <c r="C188" s="60"/>
      <c r="G188" s="62"/>
      <c r="I188" s="86" t="e">
        <f t="shared" si="7"/>
        <v>#DIV/0!</v>
      </c>
      <c r="J188" s="87" t="e">
        <f t="shared" si="7"/>
        <v>#DIV/0!</v>
      </c>
      <c r="K188" s="87" t="e">
        <f t="shared" si="7"/>
        <v>#DIV/0!</v>
      </c>
      <c r="L188" s="87" t="e">
        <f t="shared" si="7"/>
        <v>#DIV/0!</v>
      </c>
      <c r="M188" s="88" t="e">
        <f t="shared" si="7"/>
        <v>#DIV/0!</v>
      </c>
      <c r="O188" s="121" t="str">
        <f t="shared" si="6"/>
        <v>קרית חיים</v>
      </c>
      <c r="P188" s="121" t="str">
        <f t="shared" si="6"/>
        <v>נהריה</v>
      </c>
    </row>
    <row r="189" spans="1:16" x14ac:dyDescent="0.3">
      <c r="A189" s="61">
        <v>8</v>
      </c>
      <c r="B189" s="61">
        <v>2</v>
      </c>
      <c r="C189" s="60"/>
      <c r="G189" s="62"/>
      <c r="I189" s="86" t="e">
        <f t="shared" si="7"/>
        <v>#DIV/0!</v>
      </c>
      <c r="J189" s="87" t="e">
        <f t="shared" si="7"/>
        <v>#DIV/0!</v>
      </c>
      <c r="K189" s="87" t="e">
        <f t="shared" si="7"/>
        <v>#DIV/0!</v>
      </c>
      <c r="L189" s="87" t="e">
        <f t="shared" si="7"/>
        <v>#DIV/0!</v>
      </c>
      <c r="M189" s="88" t="e">
        <f t="shared" si="7"/>
        <v>#DIV/0!</v>
      </c>
      <c r="O189" s="121" t="str">
        <f t="shared" si="6"/>
        <v>קרית חיים</v>
      </c>
      <c r="P189" s="121" t="str">
        <f t="shared" si="6"/>
        <v>עכו</v>
      </c>
    </row>
    <row r="190" spans="1:16" x14ac:dyDescent="0.3">
      <c r="A190" s="61">
        <v>8</v>
      </c>
      <c r="B190" s="61">
        <v>3</v>
      </c>
      <c r="C190" s="60"/>
      <c r="G190" s="62"/>
      <c r="I190" s="86" t="e">
        <f t="shared" si="7"/>
        <v>#DIV/0!</v>
      </c>
      <c r="J190" s="87" t="e">
        <f t="shared" si="7"/>
        <v>#DIV/0!</v>
      </c>
      <c r="K190" s="87" t="e">
        <f t="shared" si="7"/>
        <v>#DIV/0!</v>
      </c>
      <c r="L190" s="87" t="e">
        <f t="shared" si="7"/>
        <v>#DIV/0!</v>
      </c>
      <c r="M190" s="88" t="e">
        <f t="shared" si="7"/>
        <v>#DIV/0!</v>
      </c>
      <c r="O190" s="121" t="str">
        <f t="shared" si="6"/>
        <v>קרית חיים</v>
      </c>
      <c r="P190" s="121" t="str">
        <f t="shared" si="6"/>
        <v>כרמיאל</v>
      </c>
    </row>
    <row r="191" spans="1:16" x14ac:dyDescent="0.3">
      <c r="A191" s="61">
        <v>8</v>
      </c>
      <c r="B191" s="61">
        <v>4</v>
      </c>
      <c r="C191" s="60"/>
      <c r="G191" s="62"/>
      <c r="I191" s="86" t="e">
        <f t="shared" si="7"/>
        <v>#DIV/0!</v>
      </c>
      <c r="J191" s="87" t="e">
        <f t="shared" si="7"/>
        <v>#DIV/0!</v>
      </c>
      <c r="K191" s="87" t="e">
        <f t="shared" si="7"/>
        <v>#DIV/0!</v>
      </c>
      <c r="L191" s="87" t="e">
        <f t="shared" si="7"/>
        <v>#DIV/0!</v>
      </c>
      <c r="M191" s="88" t="e">
        <f t="shared" si="7"/>
        <v>#DIV/0!</v>
      </c>
      <c r="O191" s="121" t="str">
        <f t="shared" si="6"/>
        <v>קרית חיים</v>
      </c>
      <c r="P191" s="121" t="str">
        <f t="shared" si="6"/>
        <v>שפרעם</v>
      </c>
    </row>
    <row r="192" spans="1:16" x14ac:dyDescent="0.3">
      <c r="A192" s="61">
        <v>8</v>
      </c>
      <c r="B192" s="61">
        <v>5</v>
      </c>
      <c r="C192" s="60"/>
      <c r="G192" s="62"/>
      <c r="I192" s="86" t="e">
        <f t="shared" si="7"/>
        <v>#DIV/0!</v>
      </c>
      <c r="J192" s="87" t="e">
        <f t="shared" si="7"/>
        <v>#DIV/0!</v>
      </c>
      <c r="K192" s="87" t="e">
        <f t="shared" si="7"/>
        <v>#DIV/0!</v>
      </c>
      <c r="L192" s="87" t="e">
        <f t="shared" si="7"/>
        <v>#DIV/0!</v>
      </c>
      <c r="M192" s="88" t="e">
        <f t="shared" si="7"/>
        <v>#DIV/0!</v>
      </c>
      <c r="O192" s="121" t="str">
        <f t="shared" si="6"/>
        <v>קרית חיים</v>
      </c>
      <c r="P192" s="121" t="str">
        <f t="shared" si="6"/>
        <v>קרית ים</v>
      </c>
    </row>
    <row r="193" spans="1:16" x14ac:dyDescent="0.3">
      <c r="A193" s="61">
        <v>8</v>
      </c>
      <c r="B193" s="61">
        <v>6</v>
      </c>
      <c r="C193" s="60"/>
      <c r="G193" s="62"/>
      <c r="I193" s="86" t="e">
        <f t="shared" si="7"/>
        <v>#DIV/0!</v>
      </c>
      <c r="J193" s="87" t="e">
        <f t="shared" si="7"/>
        <v>#DIV/0!</v>
      </c>
      <c r="K193" s="87" t="e">
        <f t="shared" si="7"/>
        <v>#DIV/0!</v>
      </c>
      <c r="L193" s="87" t="e">
        <f t="shared" si="7"/>
        <v>#DIV/0!</v>
      </c>
      <c r="M193" s="88" t="e">
        <f t="shared" si="7"/>
        <v>#DIV/0!</v>
      </c>
      <c r="O193" s="121" t="str">
        <f t="shared" si="6"/>
        <v>קרית חיים</v>
      </c>
      <c r="P193" s="121" t="str">
        <f t="shared" si="6"/>
        <v>קרית מוצקין</v>
      </c>
    </row>
    <row r="194" spans="1:16" x14ac:dyDescent="0.3">
      <c r="A194" s="61">
        <v>8</v>
      </c>
      <c r="B194" s="61">
        <v>7</v>
      </c>
      <c r="C194" s="60"/>
      <c r="G194" s="62"/>
      <c r="I194" s="86" t="e">
        <f t="shared" si="7"/>
        <v>#DIV/0!</v>
      </c>
      <c r="J194" s="87" t="e">
        <f t="shared" si="7"/>
        <v>#DIV/0!</v>
      </c>
      <c r="K194" s="87" t="e">
        <f t="shared" si="7"/>
        <v>#DIV/0!</v>
      </c>
      <c r="L194" s="87" t="e">
        <f t="shared" si="7"/>
        <v>#DIV/0!</v>
      </c>
      <c r="M194" s="88" t="e">
        <f t="shared" si="7"/>
        <v>#DIV/0!</v>
      </c>
      <c r="O194" s="121" t="str">
        <f t="shared" si="6"/>
        <v>קרית חיים</v>
      </c>
      <c r="P194" s="121" t="str">
        <f t="shared" si="6"/>
        <v>קרית ביאליק</v>
      </c>
    </row>
    <row r="195" spans="1:16" x14ac:dyDescent="0.3">
      <c r="A195" s="61">
        <v>8</v>
      </c>
      <c r="B195" s="61">
        <v>8</v>
      </c>
      <c r="C195" s="60"/>
      <c r="G195" s="62"/>
      <c r="I195" s="86" t="e">
        <f t="shared" si="7"/>
        <v>#DIV/0!</v>
      </c>
      <c r="J195" s="87" t="e">
        <f t="shared" si="7"/>
        <v>#DIV/0!</v>
      </c>
      <c r="K195" s="87" t="e">
        <f t="shared" si="7"/>
        <v>#DIV/0!</v>
      </c>
      <c r="L195" s="87" t="e">
        <f t="shared" si="7"/>
        <v>#DIV/0!</v>
      </c>
      <c r="M195" s="88" t="e">
        <f t="shared" si="7"/>
        <v>#DIV/0!</v>
      </c>
      <c r="O195" s="121" t="str">
        <f t="shared" si="6"/>
        <v>קרית חיים</v>
      </c>
      <c r="P195" s="121" t="str">
        <f t="shared" si="6"/>
        <v>קרית חיים</v>
      </c>
    </row>
    <row r="196" spans="1:16" x14ac:dyDescent="0.3">
      <c r="A196" s="61">
        <v>8</v>
      </c>
      <c r="B196" s="61">
        <v>9</v>
      </c>
      <c r="C196" s="60"/>
      <c r="G196" s="62"/>
      <c r="I196" s="86" t="e">
        <f t="shared" si="7"/>
        <v>#DIV/0!</v>
      </c>
      <c r="J196" s="87" t="e">
        <f t="shared" si="7"/>
        <v>#DIV/0!</v>
      </c>
      <c r="K196" s="87" t="e">
        <f t="shared" si="7"/>
        <v>#DIV/0!</v>
      </c>
      <c r="L196" s="87" t="e">
        <f t="shared" si="7"/>
        <v>#DIV/0!</v>
      </c>
      <c r="M196" s="88" t="e">
        <f t="shared" si="7"/>
        <v>#DIV/0!</v>
      </c>
      <c r="O196" s="121" t="str">
        <f t="shared" si="6"/>
        <v>קרית חיים</v>
      </c>
      <c r="P196" s="121" t="str">
        <f t="shared" si="6"/>
        <v>קרית אתא</v>
      </c>
    </row>
    <row r="197" spans="1:16" x14ac:dyDescent="0.3">
      <c r="A197" s="61">
        <v>8</v>
      </c>
      <c r="B197" s="61">
        <v>10</v>
      </c>
      <c r="C197" s="60"/>
      <c r="G197" s="62"/>
      <c r="I197" s="86" t="e">
        <f t="shared" si="7"/>
        <v>#DIV/0!</v>
      </c>
      <c r="J197" s="87" t="e">
        <f t="shared" si="7"/>
        <v>#DIV/0!</v>
      </c>
      <c r="K197" s="87" t="e">
        <f t="shared" si="7"/>
        <v>#DIV/0!</v>
      </c>
      <c r="L197" s="87" t="e">
        <f t="shared" si="7"/>
        <v>#DIV/0!</v>
      </c>
      <c r="M197" s="88" t="e">
        <f t="shared" si="7"/>
        <v>#DIV/0!</v>
      </c>
      <c r="O197" s="121" t="str">
        <f t="shared" si="6"/>
        <v>קרית חיים</v>
      </c>
      <c r="P197" s="121" t="str">
        <f t="shared" si="6"/>
        <v>כפר מנדא</v>
      </c>
    </row>
    <row r="198" spans="1:16" x14ac:dyDescent="0.3">
      <c r="A198" s="61">
        <v>8</v>
      </c>
      <c r="B198" s="61">
        <v>11</v>
      </c>
      <c r="C198" s="60"/>
      <c r="G198" s="62"/>
      <c r="I198" s="86" t="e">
        <f t="shared" si="7"/>
        <v>#DIV/0!</v>
      </c>
      <c r="J198" s="87" t="e">
        <f t="shared" si="7"/>
        <v>#DIV/0!</v>
      </c>
      <c r="K198" s="87" t="e">
        <f t="shared" si="7"/>
        <v>#DIV/0!</v>
      </c>
      <c r="L198" s="87" t="e">
        <f t="shared" si="7"/>
        <v>#DIV/0!</v>
      </c>
      <c r="M198" s="88" t="e">
        <f t="shared" si="7"/>
        <v>#DIV/0!</v>
      </c>
      <c r="O198" s="121" t="str">
        <f t="shared" si="6"/>
        <v>קרית חיים</v>
      </c>
      <c r="P198" s="121" t="str">
        <f t="shared" si="6"/>
        <v>זבולון</v>
      </c>
    </row>
    <row r="199" spans="1:16" x14ac:dyDescent="0.3">
      <c r="A199" s="61">
        <v>8</v>
      </c>
      <c r="B199" s="61">
        <v>12</v>
      </c>
      <c r="C199" s="60"/>
      <c r="G199" s="62"/>
      <c r="I199" s="86" t="e">
        <f t="shared" si="7"/>
        <v>#DIV/0!</v>
      </c>
      <c r="J199" s="87" t="e">
        <f t="shared" si="7"/>
        <v>#DIV/0!</v>
      </c>
      <c r="K199" s="87" t="e">
        <f t="shared" si="7"/>
        <v>#DIV/0!</v>
      </c>
      <c r="L199" s="87" t="e">
        <f t="shared" si="7"/>
        <v>#DIV/0!</v>
      </c>
      <c r="M199" s="88" t="e">
        <f t="shared" si="7"/>
        <v>#DIV/0!</v>
      </c>
      <c r="O199" s="121" t="str">
        <f t="shared" ref="O199:P262" si="8">VLOOKUP(A199,$S$6:$T$31,2,0)</f>
        <v>קרית חיים</v>
      </c>
      <c r="P199" s="121" t="str">
        <f t="shared" si="8"/>
        <v>חיפה מפרץ</v>
      </c>
    </row>
    <row r="200" spans="1:16" x14ac:dyDescent="0.3">
      <c r="A200" s="61">
        <v>8</v>
      </c>
      <c r="B200" s="61">
        <v>13</v>
      </c>
      <c r="C200" s="60"/>
      <c r="G200" s="62"/>
      <c r="I200" s="86" t="e">
        <f t="shared" si="7"/>
        <v>#DIV/0!</v>
      </c>
      <c r="J200" s="87" t="e">
        <f t="shared" si="7"/>
        <v>#DIV/0!</v>
      </c>
      <c r="K200" s="87" t="e">
        <f t="shared" si="7"/>
        <v>#DIV/0!</v>
      </c>
      <c r="L200" s="87" t="e">
        <f t="shared" si="7"/>
        <v>#DIV/0!</v>
      </c>
      <c r="M200" s="88" t="e">
        <f t="shared" si="7"/>
        <v>#DIV/0!</v>
      </c>
      <c r="O200" s="121" t="str">
        <f t="shared" si="8"/>
        <v>קרית חיים</v>
      </c>
      <c r="P200" s="121" t="str">
        <f t="shared" si="8"/>
        <v>חיפה עיר תחתית</v>
      </c>
    </row>
    <row r="201" spans="1:16" x14ac:dyDescent="0.3">
      <c r="A201" s="61">
        <v>8</v>
      </c>
      <c r="B201" s="61">
        <v>14</v>
      </c>
      <c r="C201" s="60"/>
      <c r="G201" s="62"/>
      <c r="I201" s="86" t="e">
        <f t="shared" si="7"/>
        <v>#DIV/0!</v>
      </c>
      <c r="J201" s="87" t="e">
        <f t="shared" si="7"/>
        <v>#DIV/0!</v>
      </c>
      <c r="K201" s="87" t="e">
        <f t="shared" si="7"/>
        <v>#DIV/0!</v>
      </c>
      <c r="L201" s="87" t="e">
        <f t="shared" si="7"/>
        <v>#DIV/0!</v>
      </c>
      <c r="M201" s="88" t="e">
        <f t="shared" si="7"/>
        <v>#DIV/0!</v>
      </c>
      <c r="O201" s="121" t="str">
        <f t="shared" si="8"/>
        <v>קרית חיים</v>
      </c>
      <c r="P201" s="121" t="str">
        <f t="shared" si="8"/>
        <v>חיפה הדר-כרמל</v>
      </c>
    </row>
    <row r="202" spans="1:16" x14ac:dyDescent="0.3">
      <c r="A202" s="61">
        <v>8</v>
      </c>
      <c r="B202" s="61">
        <v>15</v>
      </c>
      <c r="C202" s="60"/>
      <c r="G202" s="62"/>
      <c r="I202" s="86" t="e">
        <f t="shared" si="7"/>
        <v>#DIV/0!</v>
      </c>
      <c r="J202" s="87" t="e">
        <f t="shared" si="7"/>
        <v>#DIV/0!</v>
      </c>
      <c r="K202" s="87" t="e">
        <f t="shared" si="7"/>
        <v>#DIV/0!</v>
      </c>
      <c r="L202" s="87" t="e">
        <f t="shared" si="7"/>
        <v>#DIV/0!</v>
      </c>
      <c r="M202" s="88" t="e">
        <f t="shared" si="7"/>
        <v>#DIV/0!</v>
      </c>
      <c r="O202" s="121" t="str">
        <f t="shared" si="8"/>
        <v>קרית חיים</v>
      </c>
      <c r="P202" s="121" t="str">
        <f t="shared" si="8"/>
        <v>חיפה מערב</v>
      </c>
    </row>
    <row r="203" spans="1:16" x14ac:dyDescent="0.3">
      <c r="A203" s="61">
        <v>8</v>
      </c>
      <c r="B203" s="61">
        <v>16</v>
      </c>
      <c r="C203" s="60"/>
      <c r="G203" s="62"/>
      <c r="I203" s="86" t="e">
        <f t="shared" si="7"/>
        <v>#DIV/0!</v>
      </c>
      <c r="J203" s="87" t="e">
        <f t="shared" si="7"/>
        <v>#DIV/0!</v>
      </c>
      <c r="K203" s="87" t="e">
        <f t="shared" si="7"/>
        <v>#DIV/0!</v>
      </c>
      <c r="L203" s="87" t="e">
        <f t="shared" si="7"/>
        <v>#DIV/0!</v>
      </c>
      <c r="M203" s="88" t="e">
        <f t="shared" si="7"/>
        <v>#DIV/0!</v>
      </c>
      <c r="O203" s="121" t="str">
        <f t="shared" si="8"/>
        <v>קרית חיים</v>
      </c>
      <c r="P203" s="121" t="str">
        <f t="shared" si="8"/>
        <v>חיפה כרמל</v>
      </c>
    </row>
    <row r="204" spans="1:16" x14ac:dyDescent="0.3">
      <c r="A204" s="61">
        <v>8</v>
      </c>
      <c r="B204" s="61">
        <v>17</v>
      </c>
      <c r="C204" s="60"/>
      <c r="G204" s="62"/>
      <c r="I204" s="86" t="e">
        <f t="shared" si="7"/>
        <v>#DIV/0!</v>
      </c>
      <c r="J204" s="87" t="e">
        <f t="shared" si="7"/>
        <v>#DIV/0!</v>
      </c>
      <c r="K204" s="87" t="e">
        <f t="shared" si="7"/>
        <v>#DIV/0!</v>
      </c>
      <c r="L204" s="87" t="e">
        <f t="shared" si="7"/>
        <v>#DIV/0!</v>
      </c>
      <c r="M204" s="88" t="e">
        <f t="shared" si="7"/>
        <v>#DIV/0!</v>
      </c>
      <c r="O204" s="121" t="str">
        <f t="shared" si="8"/>
        <v>קרית חיים</v>
      </c>
      <c r="P204" s="121" t="str">
        <f t="shared" si="8"/>
        <v>חיפה נווה שאנן</v>
      </c>
    </row>
    <row r="205" spans="1:16" x14ac:dyDescent="0.3">
      <c r="A205" s="61">
        <v>8</v>
      </c>
      <c r="B205" s="61">
        <v>18</v>
      </c>
      <c r="C205" s="60"/>
      <c r="G205" s="62"/>
      <c r="I205" s="86" t="e">
        <f t="shared" si="7"/>
        <v>#DIV/0!</v>
      </c>
      <c r="J205" s="87" t="e">
        <f t="shared" si="7"/>
        <v>#DIV/0!</v>
      </c>
      <c r="K205" s="87" t="e">
        <f t="shared" si="7"/>
        <v>#DIV/0!</v>
      </c>
      <c r="L205" s="87" t="e">
        <f t="shared" si="7"/>
        <v>#DIV/0!</v>
      </c>
      <c r="M205" s="88" t="e">
        <f t="shared" si="7"/>
        <v>#DIV/0!</v>
      </c>
      <c r="O205" s="121" t="str">
        <f t="shared" si="8"/>
        <v>קרית חיים</v>
      </c>
      <c r="P205" s="121" t="str">
        <f t="shared" si="8"/>
        <v>נשר</v>
      </c>
    </row>
    <row r="206" spans="1:16" x14ac:dyDescent="0.3">
      <c r="A206" s="61">
        <v>8</v>
      </c>
      <c r="B206" s="61">
        <v>19</v>
      </c>
      <c r="C206" s="60"/>
      <c r="G206" s="62"/>
      <c r="I206" s="86" t="e">
        <f t="shared" si="7"/>
        <v>#DIV/0!</v>
      </c>
      <c r="J206" s="87" t="e">
        <f t="shared" si="7"/>
        <v>#DIV/0!</v>
      </c>
      <c r="K206" s="87" t="e">
        <f t="shared" si="7"/>
        <v>#DIV/0!</v>
      </c>
      <c r="L206" s="87" t="e">
        <f t="shared" si="7"/>
        <v>#DIV/0!</v>
      </c>
      <c r="M206" s="88" t="e">
        <f t="shared" si="7"/>
        <v>#DIV/0!</v>
      </c>
      <c r="O206" s="121" t="str">
        <f t="shared" si="8"/>
        <v>קרית חיים</v>
      </c>
      <c r="P206" s="121" t="str">
        <f t="shared" si="8"/>
        <v>נצרת</v>
      </c>
    </row>
    <row r="207" spans="1:16" x14ac:dyDescent="0.3">
      <c r="A207" s="61">
        <v>8</v>
      </c>
      <c r="B207" s="61">
        <v>20</v>
      </c>
      <c r="C207" s="60"/>
      <c r="G207" s="62"/>
      <c r="I207" s="86" t="e">
        <f t="shared" si="7"/>
        <v>#DIV/0!</v>
      </c>
      <c r="J207" s="87" t="e">
        <f t="shared" si="7"/>
        <v>#DIV/0!</v>
      </c>
      <c r="K207" s="87" t="e">
        <f t="shared" si="7"/>
        <v>#DIV/0!</v>
      </c>
      <c r="L207" s="87" t="e">
        <f t="shared" si="7"/>
        <v>#DIV/0!</v>
      </c>
      <c r="M207" s="88" t="e">
        <f t="shared" si="7"/>
        <v>#DIV/0!</v>
      </c>
      <c r="O207" s="121" t="str">
        <f t="shared" si="8"/>
        <v>קרית חיים</v>
      </c>
      <c r="P207" s="121" t="str">
        <f t="shared" si="8"/>
        <v>נצרת-עילית</v>
      </c>
    </row>
    <row r="208" spans="1:16" x14ac:dyDescent="0.3">
      <c r="A208" s="61">
        <v>8</v>
      </c>
      <c r="B208" s="61">
        <v>21</v>
      </c>
      <c r="C208" s="60"/>
      <c r="G208" s="62"/>
      <c r="I208" s="86" t="e">
        <f t="shared" si="7"/>
        <v>#DIV/0!</v>
      </c>
      <c r="J208" s="87" t="e">
        <f t="shared" si="7"/>
        <v>#DIV/0!</v>
      </c>
      <c r="K208" s="87" t="e">
        <f t="shared" si="7"/>
        <v>#DIV/0!</v>
      </c>
      <c r="L208" s="87" t="e">
        <f t="shared" si="7"/>
        <v>#DIV/0!</v>
      </c>
      <c r="M208" s="88" t="e">
        <f t="shared" si="7"/>
        <v>#DIV/0!</v>
      </c>
      <c r="O208" s="121" t="str">
        <f t="shared" si="8"/>
        <v>קרית חיים</v>
      </c>
      <c r="P208" s="121" t="str">
        <f t="shared" si="8"/>
        <v>מגדל העמק</v>
      </c>
    </row>
    <row r="209" spans="1:16" x14ac:dyDescent="0.3">
      <c r="A209" s="61">
        <v>8</v>
      </c>
      <c r="B209" s="61">
        <v>22</v>
      </c>
      <c r="C209" s="60"/>
      <c r="G209" s="62"/>
      <c r="I209" s="86" t="e">
        <f t="shared" si="7"/>
        <v>#DIV/0!</v>
      </c>
      <c r="J209" s="87" t="e">
        <f t="shared" si="7"/>
        <v>#DIV/0!</v>
      </c>
      <c r="K209" s="87" t="e">
        <f t="shared" si="7"/>
        <v>#DIV/0!</v>
      </c>
      <c r="L209" s="87" t="e">
        <f t="shared" si="7"/>
        <v>#DIV/0!</v>
      </c>
      <c r="M209" s="88" t="e">
        <f t="shared" si="7"/>
        <v>#DIV/0!</v>
      </c>
      <c r="O209" s="121" t="str">
        <f t="shared" si="8"/>
        <v>קרית חיים</v>
      </c>
      <c r="P209" s="121" t="str">
        <f t="shared" si="8"/>
        <v>יוקנעם</v>
      </c>
    </row>
    <row r="210" spans="1:16" x14ac:dyDescent="0.3">
      <c r="A210" s="61">
        <v>8</v>
      </c>
      <c r="B210" s="61">
        <v>23</v>
      </c>
      <c r="C210" s="60"/>
      <c r="G210" s="62"/>
      <c r="I210" s="86" t="e">
        <f t="shared" si="7"/>
        <v>#DIV/0!</v>
      </c>
      <c r="J210" s="87" t="e">
        <f t="shared" si="7"/>
        <v>#DIV/0!</v>
      </c>
      <c r="K210" s="87" t="e">
        <f t="shared" si="7"/>
        <v>#DIV/0!</v>
      </c>
      <c r="L210" s="87" t="e">
        <f t="shared" si="7"/>
        <v>#DIV/0!</v>
      </c>
      <c r="M210" s="88" t="e">
        <f t="shared" si="7"/>
        <v>#DIV/0!</v>
      </c>
      <c r="O210" s="121" t="str">
        <f t="shared" si="8"/>
        <v>קרית חיים</v>
      </c>
      <c r="P210" s="121" t="str">
        <f t="shared" si="8"/>
        <v>דלית אל כרמל</v>
      </c>
    </row>
    <row r="211" spans="1:16" x14ac:dyDescent="0.3">
      <c r="A211" s="61">
        <v>8</v>
      </c>
      <c r="B211" s="61">
        <v>24</v>
      </c>
      <c r="C211" s="60"/>
      <c r="G211" s="62"/>
      <c r="I211" s="86" t="e">
        <f t="shared" si="7"/>
        <v>#DIV/0!</v>
      </c>
      <c r="J211" s="87" t="e">
        <f t="shared" si="7"/>
        <v>#DIV/0!</v>
      </c>
      <c r="K211" s="87" t="e">
        <f t="shared" si="7"/>
        <v>#DIV/0!</v>
      </c>
      <c r="L211" s="87" t="e">
        <f t="shared" si="7"/>
        <v>#DIV/0!</v>
      </c>
      <c r="M211" s="88" t="e">
        <f t="shared" si="7"/>
        <v>#DIV/0!</v>
      </c>
      <c r="O211" s="121" t="str">
        <f t="shared" si="8"/>
        <v>קרית חיים</v>
      </c>
      <c r="P211" s="121" t="str">
        <f t="shared" si="8"/>
        <v>חוף הכרמל</v>
      </c>
    </row>
    <row r="212" spans="1:16" x14ac:dyDescent="0.3">
      <c r="A212" s="61">
        <v>8</v>
      </c>
      <c r="B212" s="61">
        <v>25</v>
      </c>
      <c r="C212" s="60"/>
      <c r="G212" s="62"/>
      <c r="I212" s="86" t="e">
        <f t="shared" si="7"/>
        <v>#DIV/0!</v>
      </c>
      <c r="J212" s="87" t="e">
        <f t="shared" si="7"/>
        <v>#DIV/0!</v>
      </c>
      <c r="K212" s="87" t="e">
        <f t="shared" si="7"/>
        <v>#DIV/0!</v>
      </c>
      <c r="L212" s="87" t="e">
        <f t="shared" si="7"/>
        <v>#DIV/0!</v>
      </c>
      <c r="M212" s="88" t="e">
        <f t="shared" si="7"/>
        <v>#DIV/0!</v>
      </c>
      <c r="O212" s="121" t="str">
        <f t="shared" si="8"/>
        <v>קרית חיים</v>
      </c>
      <c r="P212" s="121" t="str">
        <f t="shared" si="8"/>
        <v>זכרון יעקב</v>
      </c>
    </row>
    <row r="213" spans="1:16" x14ac:dyDescent="0.3">
      <c r="A213" s="61">
        <v>8</v>
      </c>
      <c r="B213" s="61">
        <v>30</v>
      </c>
      <c r="C213" s="60"/>
      <c r="G213" s="62"/>
      <c r="I213" s="86" t="e">
        <f t="shared" si="7"/>
        <v>#DIV/0!</v>
      </c>
      <c r="J213" s="87" t="e">
        <f t="shared" si="7"/>
        <v>#DIV/0!</v>
      </c>
      <c r="K213" s="87" t="e">
        <f t="shared" si="7"/>
        <v>#DIV/0!</v>
      </c>
      <c r="L213" s="87" t="e">
        <f t="shared" si="7"/>
        <v>#DIV/0!</v>
      </c>
      <c r="M213" s="88" t="e">
        <f t="shared" si="7"/>
        <v>#DIV/0!</v>
      </c>
      <c r="O213" s="121" t="str">
        <f t="shared" si="8"/>
        <v>קרית חיים</v>
      </c>
      <c r="P213" s="121" t="str">
        <f t="shared" si="8"/>
        <v>סכנין</v>
      </c>
    </row>
    <row r="214" spans="1:16" x14ac:dyDescent="0.3">
      <c r="A214" s="61">
        <v>9</v>
      </c>
      <c r="B214" s="61">
        <v>1</v>
      </c>
      <c r="C214" s="60"/>
      <c r="G214" s="62"/>
      <c r="I214" s="86" t="e">
        <f t="shared" si="7"/>
        <v>#DIV/0!</v>
      </c>
      <c r="J214" s="87" t="e">
        <f t="shared" si="7"/>
        <v>#DIV/0!</v>
      </c>
      <c r="K214" s="87" t="e">
        <f t="shared" si="7"/>
        <v>#DIV/0!</v>
      </c>
      <c r="L214" s="87" t="e">
        <f t="shared" si="7"/>
        <v>#DIV/0!</v>
      </c>
      <c r="M214" s="88" t="e">
        <f t="shared" si="7"/>
        <v>#DIV/0!</v>
      </c>
      <c r="O214" s="121" t="str">
        <f t="shared" si="8"/>
        <v>קרית אתא</v>
      </c>
      <c r="P214" s="121" t="str">
        <f t="shared" si="8"/>
        <v>נהריה</v>
      </c>
    </row>
    <row r="215" spans="1:16" x14ac:dyDescent="0.3">
      <c r="A215" s="61">
        <v>9</v>
      </c>
      <c r="B215" s="61">
        <v>2</v>
      </c>
      <c r="C215" s="60"/>
      <c r="G215" s="62"/>
      <c r="I215" s="86" t="e">
        <f t="shared" si="7"/>
        <v>#DIV/0!</v>
      </c>
      <c r="J215" s="87" t="e">
        <f t="shared" si="7"/>
        <v>#DIV/0!</v>
      </c>
      <c r="K215" s="87" t="e">
        <f t="shared" si="7"/>
        <v>#DIV/0!</v>
      </c>
      <c r="L215" s="87" t="e">
        <f t="shared" si="7"/>
        <v>#DIV/0!</v>
      </c>
      <c r="M215" s="88" t="e">
        <f t="shared" si="7"/>
        <v>#DIV/0!</v>
      </c>
      <c r="O215" s="121" t="str">
        <f t="shared" si="8"/>
        <v>קרית אתא</v>
      </c>
      <c r="P215" s="121" t="str">
        <f t="shared" si="8"/>
        <v>עכו</v>
      </c>
    </row>
    <row r="216" spans="1:16" x14ac:dyDescent="0.3">
      <c r="A216" s="61">
        <v>9</v>
      </c>
      <c r="B216" s="61">
        <v>3</v>
      </c>
      <c r="C216" s="60"/>
      <c r="G216" s="62"/>
      <c r="I216" s="86" t="e">
        <f t="shared" si="7"/>
        <v>#DIV/0!</v>
      </c>
      <c r="J216" s="87" t="e">
        <f t="shared" si="7"/>
        <v>#DIV/0!</v>
      </c>
      <c r="K216" s="87" t="e">
        <f t="shared" si="7"/>
        <v>#DIV/0!</v>
      </c>
      <c r="L216" s="87" t="e">
        <f t="shared" si="7"/>
        <v>#DIV/0!</v>
      </c>
      <c r="M216" s="88" t="e">
        <f t="shared" si="7"/>
        <v>#DIV/0!</v>
      </c>
      <c r="O216" s="121" t="str">
        <f t="shared" si="8"/>
        <v>קרית אתא</v>
      </c>
      <c r="P216" s="121" t="str">
        <f t="shared" si="8"/>
        <v>כרמיאל</v>
      </c>
    </row>
    <row r="217" spans="1:16" x14ac:dyDescent="0.3">
      <c r="A217" s="61">
        <v>9</v>
      </c>
      <c r="B217" s="61">
        <v>4</v>
      </c>
      <c r="C217" s="60"/>
      <c r="G217" s="62"/>
      <c r="I217" s="86" t="e">
        <f t="shared" si="7"/>
        <v>#DIV/0!</v>
      </c>
      <c r="J217" s="87" t="e">
        <f t="shared" si="7"/>
        <v>#DIV/0!</v>
      </c>
      <c r="K217" s="87" t="e">
        <f t="shared" si="7"/>
        <v>#DIV/0!</v>
      </c>
      <c r="L217" s="87" t="e">
        <f t="shared" si="7"/>
        <v>#DIV/0!</v>
      </c>
      <c r="M217" s="88" t="e">
        <f t="shared" si="7"/>
        <v>#DIV/0!</v>
      </c>
      <c r="O217" s="121" t="str">
        <f t="shared" si="8"/>
        <v>קרית אתא</v>
      </c>
      <c r="P217" s="121" t="str">
        <f t="shared" si="8"/>
        <v>שפרעם</v>
      </c>
    </row>
    <row r="218" spans="1:16" x14ac:dyDescent="0.3">
      <c r="A218" s="61">
        <v>9</v>
      </c>
      <c r="B218" s="61">
        <v>5</v>
      </c>
      <c r="C218" s="60"/>
      <c r="G218" s="62"/>
      <c r="I218" s="86" t="e">
        <f t="shared" si="7"/>
        <v>#DIV/0!</v>
      </c>
      <c r="J218" s="87" t="e">
        <f t="shared" si="7"/>
        <v>#DIV/0!</v>
      </c>
      <c r="K218" s="87" t="e">
        <f t="shared" si="7"/>
        <v>#DIV/0!</v>
      </c>
      <c r="L218" s="87" t="e">
        <f t="shared" si="7"/>
        <v>#DIV/0!</v>
      </c>
      <c r="M218" s="88" t="e">
        <f t="shared" si="7"/>
        <v>#DIV/0!</v>
      </c>
      <c r="O218" s="121" t="str">
        <f t="shared" si="8"/>
        <v>קרית אתא</v>
      </c>
      <c r="P218" s="121" t="str">
        <f t="shared" si="8"/>
        <v>קרית ים</v>
      </c>
    </row>
    <row r="219" spans="1:16" x14ac:dyDescent="0.3">
      <c r="A219" s="61">
        <v>9</v>
      </c>
      <c r="B219" s="61">
        <v>6</v>
      </c>
      <c r="C219" s="60"/>
      <c r="G219" s="62"/>
      <c r="I219" s="86" t="e">
        <f t="shared" si="7"/>
        <v>#DIV/0!</v>
      </c>
      <c r="J219" s="87" t="e">
        <f t="shared" si="7"/>
        <v>#DIV/0!</v>
      </c>
      <c r="K219" s="87" t="e">
        <f t="shared" si="7"/>
        <v>#DIV/0!</v>
      </c>
      <c r="L219" s="87" t="e">
        <f t="shared" si="7"/>
        <v>#DIV/0!</v>
      </c>
      <c r="M219" s="88" t="e">
        <f t="shared" si="7"/>
        <v>#DIV/0!</v>
      </c>
      <c r="O219" s="121" t="str">
        <f t="shared" si="8"/>
        <v>קרית אתא</v>
      </c>
      <c r="P219" s="121" t="str">
        <f t="shared" si="8"/>
        <v>קרית מוצקין</v>
      </c>
    </row>
    <row r="220" spans="1:16" x14ac:dyDescent="0.3">
      <c r="A220" s="61">
        <v>9</v>
      </c>
      <c r="B220" s="61">
        <v>7</v>
      </c>
      <c r="C220" s="60"/>
      <c r="G220" s="62"/>
      <c r="I220" s="86" t="e">
        <f t="shared" si="7"/>
        <v>#DIV/0!</v>
      </c>
      <c r="J220" s="87" t="e">
        <f t="shared" si="7"/>
        <v>#DIV/0!</v>
      </c>
      <c r="K220" s="87" t="e">
        <f t="shared" si="7"/>
        <v>#DIV/0!</v>
      </c>
      <c r="L220" s="87" t="e">
        <f t="shared" si="7"/>
        <v>#DIV/0!</v>
      </c>
      <c r="M220" s="88" t="e">
        <f t="shared" si="7"/>
        <v>#DIV/0!</v>
      </c>
      <c r="O220" s="121" t="str">
        <f t="shared" si="8"/>
        <v>קרית אתא</v>
      </c>
      <c r="P220" s="121" t="str">
        <f t="shared" si="8"/>
        <v>קרית ביאליק</v>
      </c>
    </row>
    <row r="221" spans="1:16" x14ac:dyDescent="0.3">
      <c r="A221" s="61">
        <v>9</v>
      </c>
      <c r="B221" s="61">
        <v>8</v>
      </c>
      <c r="C221" s="60"/>
      <c r="G221" s="62"/>
      <c r="I221" s="86" t="e">
        <f t="shared" si="7"/>
        <v>#DIV/0!</v>
      </c>
      <c r="J221" s="87" t="e">
        <f t="shared" si="7"/>
        <v>#DIV/0!</v>
      </c>
      <c r="K221" s="87" t="e">
        <f t="shared" si="7"/>
        <v>#DIV/0!</v>
      </c>
      <c r="L221" s="87" t="e">
        <f t="shared" si="7"/>
        <v>#DIV/0!</v>
      </c>
      <c r="M221" s="88" t="e">
        <f t="shared" si="7"/>
        <v>#DIV/0!</v>
      </c>
      <c r="O221" s="121" t="str">
        <f t="shared" si="8"/>
        <v>קרית אתא</v>
      </c>
      <c r="P221" s="121" t="str">
        <f t="shared" si="8"/>
        <v>קרית חיים</v>
      </c>
    </row>
    <row r="222" spans="1:16" x14ac:dyDescent="0.3">
      <c r="A222" s="61">
        <v>9</v>
      </c>
      <c r="B222" s="61">
        <v>9</v>
      </c>
      <c r="C222" s="60"/>
      <c r="G222" s="62"/>
      <c r="I222" s="86" t="e">
        <f t="shared" si="7"/>
        <v>#DIV/0!</v>
      </c>
      <c r="J222" s="87" t="e">
        <f t="shared" si="7"/>
        <v>#DIV/0!</v>
      </c>
      <c r="K222" s="87" t="e">
        <f t="shared" si="7"/>
        <v>#DIV/0!</v>
      </c>
      <c r="L222" s="87" t="e">
        <f t="shared" si="7"/>
        <v>#DIV/0!</v>
      </c>
      <c r="M222" s="88" t="e">
        <f t="shared" si="7"/>
        <v>#DIV/0!</v>
      </c>
      <c r="O222" s="121" t="str">
        <f t="shared" si="8"/>
        <v>קרית אתא</v>
      </c>
      <c r="P222" s="121" t="str">
        <f t="shared" si="8"/>
        <v>קרית אתא</v>
      </c>
    </row>
    <row r="223" spans="1:16" x14ac:dyDescent="0.3">
      <c r="A223" s="61">
        <v>9</v>
      </c>
      <c r="B223" s="61">
        <v>10</v>
      </c>
      <c r="C223" s="60"/>
      <c r="G223" s="62"/>
      <c r="I223" s="86" t="e">
        <f t="shared" ref="I223:M273" si="9">C223/SUM($C223:$G223)</f>
        <v>#DIV/0!</v>
      </c>
      <c r="J223" s="87" t="e">
        <f t="shared" si="9"/>
        <v>#DIV/0!</v>
      </c>
      <c r="K223" s="87" t="e">
        <f t="shared" si="9"/>
        <v>#DIV/0!</v>
      </c>
      <c r="L223" s="87" t="e">
        <f t="shared" si="9"/>
        <v>#DIV/0!</v>
      </c>
      <c r="M223" s="88" t="e">
        <f t="shared" si="9"/>
        <v>#DIV/0!</v>
      </c>
      <c r="O223" s="121" t="str">
        <f t="shared" si="8"/>
        <v>קרית אתא</v>
      </c>
      <c r="P223" s="121" t="str">
        <f t="shared" si="8"/>
        <v>כפר מנדא</v>
      </c>
    </row>
    <row r="224" spans="1:16" x14ac:dyDescent="0.3">
      <c r="A224" s="61">
        <v>9</v>
      </c>
      <c r="B224" s="61">
        <v>11</v>
      </c>
      <c r="C224" s="60"/>
      <c r="G224" s="62"/>
      <c r="I224" s="86" t="e">
        <f t="shared" si="9"/>
        <v>#DIV/0!</v>
      </c>
      <c r="J224" s="87" t="e">
        <f t="shared" si="9"/>
        <v>#DIV/0!</v>
      </c>
      <c r="K224" s="87" t="e">
        <f t="shared" si="9"/>
        <v>#DIV/0!</v>
      </c>
      <c r="L224" s="87" t="e">
        <f t="shared" si="9"/>
        <v>#DIV/0!</v>
      </c>
      <c r="M224" s="88" t="e">
        <f t="shared" si="9"/>
        <v>#DIV/0!</v>
      </c>
      <c r="O224" s="121" t="str">
        <f t="shared" si="8"/>
        <v>קרית אתא</v>
      </c>
      <c r="P224" s="121" t="str">
        <f t="shared" si="8"/>
        <v>זבולון</v>
      </c>
    </row>
    <row r="225" spans="1:16" x14ac:dyDescent="0.3">
      <c r="A225" s="61">
        <v>9</v>
      </c>
      <c r="B225" s="61">
        <v>12</v>
      </c>
      <c r="C225" s="60"/>
      <c r="G225" s="62"/>
      <c r="I225" s="86" t="e">
        <f t="shared" si="9"/>
        <v>#DIV/0!</v>
      </c>
      <c r="J225" s="87" t="e">
        <f t="shared" si="9"/>
        <v>#DIV/0!</v>
      </c>
      <c r="K225" s="87" t="e">
        <f t="shared" si="9"/>
        <v>#DIV/0!</v>
      </c>
      <c r="L225" s="87" t="e">
        <f t="shared" si="9"/>
        <v>#DIV/0!</v>
      </c>
      <c r="M225" s="88" t="e">
        <f t="shared" si="9"/>
        <v>#DIV/0!</v>
      </c>
      <c r="O225" s="121" t="str">
        <f t="shared" si="8"/>
        <v>קרית אתא</v>
      </c>
      <c r="P225" s="121" t="str">
        <f t="shared" si="8"/>
        <v>חיפה מפרץ</v>
      </c>
    </row>
    <row r="226" spans="1:16" x14ac:dyDescent="0.3">
      <c r="A226" s="61">
        <v>9</v>
      </c>
      <c r="B226" s="61">
        <v>13</v>
      </c>
      <c r="C226" s="60"/>
      <c r="G226" s="62"/>
      <c r="I226" s="86" t="e">
        <f t="shared" si="9"/>
        <v>#DIV/0!</v>
      </c>
      <c r="J226" s="87" t="e">
        <f t="shared" si="9"/>
        <v>#DIV/0!</v>
      </c>
      <c r="K226" s="87" t="e">
        <f t="shared" si="9"/>
        <v>#DIV/0!</v>
      </c>
      <c r="L226" s="87" t="e">
        <f t="shared" si="9"/>
        <v>#DIV/0!</v>
      </c>
      <c r="M226" s="88" t="e">
        <f t="shared" si="9"/>
        <v>#DIV/0!</v>
      </c>
      <c r="O226" s="121" t="str">
        <f t="shared" si="8"/>
        <v>קרית אתא</v>
      </c>
      <c r="P226" s="121" t="str">
        <f t="shared" si="8"/>
        <v>חיפה עיר תחתית</v>
      </c>
    </row>
    <row r="227" spans="1:16" x14ac:dyDescent="0.3">
      <c r="A227" s="61">
        <v>9</v>
      </c>
      <c r="B227" s="61">
        <v>14</v>
      </c>
      <c r="C227" s="60"/>
      <c r="G227" s="62"/>
      <c r="I227" s="86" t="e">
        <f t="shared" si="9"/>
        <v>#DIV/0!</v>
      </c>
      <c r="J227" s="87" t="e">
        <f t="shared" si="9"/>
        <v>#DIV/0!</v>
      </c>
      <c r="K227" s="87" t="e">
        <f t="shared" si="9"/>
        <v>#DIV/0!</v>
      </c>
      <c r="L227" s="87" t="e">
        <f t="shared" si="9"/>
        <v>#DIV/0!</v>
      </c>
      <c r="M227" s="88" t="e">
        <f t="shared" si="9"/>
        <v>#DIV/0!</v>
      </c>
      <c r="O227" s="121" t="str">
        <f t="shared" si="8"/>
        <v>קרית אתא</v>
      </c>
      <c r="P227" s="121" t="str">
        <f t="shared" si="8"/>
        <v>חיפה הדר-כרמל</v>
      </c>
    </row>
    <row r="228" spans="1:16" x14ac:dyDescent="0.3">
      <c r="A228" s="61">
        <v>9</v>
      </c>
      <c r="B228" s="61">
        <v>15</v>
      </c>
      <c r="C228" s="60"/>
      <c r="G228" s="62"/>
      <c r="I228" s="86" t="e">
        <f t="shared" si="9"/>
        <v>#DIV/0!</v>
      </c>
      <c r="J228" s="87" t="e">
        <f t="shared" si="9"/>
        <v>#DIV/0!</v>
      </c>
      <c r="K228" s="87" t="e">
        <f t="shared" si="9"/>
        <v>#DIV/0!</v>
      </c>
      <c r="L228" s="87" t="e">
        <f t="shared" si="9"/>
        <v>#DIV/0!</v>
      </c>
      <c r="M228" s="88" t="e">
        <f t="shared" si="9"/>
        <v>#DIV/0!</v>
      </c>
      <c r="O228" s="121" t="str">
        <f t="shared" si="8"/>
        <v>קרית אתא</v>
      </c>
      <c r="P228" s="121" t="str">
        <f t="shared" si="8"/>
        <v>חיפה מערב</v>
      </c>
    </row>
    <row r="229" spans="1:16" x14ac:dyDescent="0.3">
      <c r="A229" s="61">
        <v>9</v>
      </c>
      <c r="B229" s="61">
        <v>16</v>
      </c>
      <c r="C229" s="60"/>
      <c r="G229" s="62"/>
      <c r="I229" s="86" t="e">
        <f t="shared" si="9"/>
        <v>#DIV/0!</v>
      </c>
      <c r="J229" s="87" t="e">
        <f t="shared" si="9"/>
        <v>#DIV/0!</v>
      </c>
      <c r="K229" s="87" t="e">
        <f t="shared" si="9"/>
        <v>#DIV/0!</v>
      </c>
      <c r="L229" s="87" t="e">
        <f t="shared" si="9"/>
        <v>#DIV/0!</v>
      </c>
      <c r="M229" s="88" t="e">
        <f t="shared" si="9"/>
        <v>#DIV/0!</v>
      </c>
      <c r="O229" s="121" t="str">
        <f t="shared" si="8"/>
        <v>קרית אתא</v>
      </c>
      <c r="P229" s="121" t="str">
        <f t="shared" si="8"/>
        <v>חיפה כרמל</v>
      </c>
    </row>
    <row r="230" spans="1:16" x14ac:dyDescent="0.3">
      <c r="A230" s="61">
        <v>9</v>
      </c>
      <c r="B230" s="61">
        <v>17</v>
      </c>
      <c r="C230" s="60"/>
      <c r="G230" s="62"/>
      <c r="I230" s="86" t="e">
        <f t="shared" si="9"/>
        <v>#DIV/0!</v>
      </c>
      <c r="J230" s="87" t="e">
        <f t="shared" si="9"/>
        <v>#DIV/0!</v>
      </c>
      <c r="K230" s="87" t="e">
        <f t="shared" si="9"/>
        <v>#DIV/0!</v>
      </c>
      <c r="L230" s="87" t="e">
        <f t="shared" si="9"/>
        <v>#DIV/0!</v>
      </c>
      <c r="M230" s="88" t="e">
        <f t="shared" si="9"/>
        <v>#DIV/0!</v>
      </c>
      <c r="O230" s="121" t="str">
        <f t="shared" si="8"/>
        <v>קרית אתא</v>
      </c>
      <c r="P230" s="121" t="str">
        <f t="shared" si="8"/>
        <v>חיפה נווה שאנן</v>
      </c>
    </row>
    <row r="231" spans="1:16" x14ac:dyDescent="0.3">
      <c r="A231" s="61">
        <v>9</v>
      </c>
      <c r="B231" s="61">
        <v>18</v>
      </c>
      <c r="C231" s="60"/>
      <c r="G231" s="62"/>
      <c r="I231" s="86" t="e">
        <f t="shared" si="9"/>
        <v>#DIV/0!</v>
      </c>
      <c r="J231" s="87" t="e">
        <f t="shared" si="9"/>
        <v>#DIV/0!</v>
      </c>
      <c r="K231" s="87" t="e">
        <f t="shared" si="9"/>
        <v>#DIV/0!</v>
      </c>
      <c r="L231" s="87" t="e">
        <f t="shared" si="9"/>
        <v>#DIV/0!</v>
      </c>
      <c r="M231" s="88" t="e">
        <f t="shared" si="9"/>
        <v>#DIV/0!</v>
      </c>
      <c r="O231" s="121" t="str">
        <f t="shared" si="8"/>
        <v>קרית אתא</v>
      </c>
      <c r="P231" s="121" t="str">
        <f t="shared" si="8"/>
        <v>נשר</v>
      </c>
    </row>
    <row r="232" spans="1:16" x14ac:dyDescent="0.3">
      <c r="A232" s="61">
        <v>9</v>
      </c>
      <c r="B232" s="61">
        <v>19</v>
      </c>
      <c r="C232" s="60"/>
      <c r="G232" s="62"/>
      <c r="I232" s="86" t="e">
        <f t="shared" si="9"/>
        <v>#DIV/0!</v>
      </c>
      <c r="J232" s="87" t="e">
        <f t="shared" si="9"/>
        <v>#DIV/0!</v>
      </c>
      <c r="K232" s="87" t="e">
        <f t="shared" si="9"/>
        <v>#DIV/0!</v>
      </c>
      <c r="L232" s="87" t="e">
        <f t="shared" si="9"/>
        <v>#DIV/0!</v>
      </c>
      <c r="M232" s="88" t="e">
        <f t="shared" si="9"/>
        <v>#DIV/0!</v>
      </c>
      <c r="O232" s="121" t="str">
        <f t="shared" si="8"/>
        <v>קרית אתא</v>
      </c>
      <c r="P232" s="121" t="str">
        <f t="shared" si="8"/>
        <v>נצרת</v>
      </c>
    </row>
    <row r="233" spans="1:16" x14ac:dyDescent="0.3">
      <c r="A233" s="61">
        <v>9</v>
      </c>
      <c r="B233" s="61">
        <v>20</v>
      </c>
      <c r="C233" s="60"/>
      <c r="G233" s="62"/>
      <c r="I233" s="86" t="e">
        <f t="shared" si="9"/>
        <v>#DIV/0!</v>
      </c>
      <c r="J233" s="87" t="e">
        <f t="shared" si="9"/>
        <v>#DIV/0!</v>
      </c>
      <c r="K233" s="87" t="e">
        <f t="shared" si="9"/>
        <v>#DIV/0!</v>
      </c>
      <c r="L233" s="87" t="e">
        <f t="shared" si="9"/>
        <v>#DIV/0!</v>
      </c>
      <c r="M233" s="88" t="e">
        <f t="shared" si="9"/>
        <v>#DIV/0!</v>
      </c>
      <c r="O233" s="121" t="str">
        <f t="shared" si="8"/>
        <v>קרית אתא</v>
      </c>
      <c r="P233" s="121" t="str">
        <f t="shared" si="8"/>
        <v>נצרת-עילית</v>
      </c>
    </row>
    <row r="234" spans="1:16" x14ac:dyDescent="0.3">
      <c r="A234" s="61">
        <v>9</v>
      </c>
      <c r="B234" s="61">
        <v>21</v>
      </c>
      <c r="C234" s="60"/>
      <c r="G234" s="62"/>
      <c r="I234" s="86" t="e">
        <f t="shared" si="9"/>
        <v>#DIV/0!</v>
      </c>
      <c r="J234" s="87" t="e">
        <f t="shared" si="9"/>
        <v>#DIV/0!</v>
      </c>
      <c r="K234" s="87" t="e">
        <f t="shared" si="9"/>
        <v>#DIV/0!</v>
      </c>
      <c r="L234" s="87" t="e">
        <f t="shared" si="9"/>
        <v>#DIV/0!</v>
      </c>
      <c r="M234" s="88" t="e">
        <f t="shared" si="9"/>
        <v>#DIV/0!</v>
      </c>
      <c r="O234" s="121" t="str">
        <f t="shared" si="8"/>
        <v>קרית אתא</v>
      </c>
      <c r="P234" s="121" t="str">
        <f t="shared" si="8"/>
        <v>מגדל העמק</v>
      </c>
    </row>
    <row r="235" spans="1:16" x14ac:dyDescent="0.3">
      <c r="A235" s="61">
        <v>9</v>
      </c>
      <c r="B235" s="61">
        <v>22</v>
      </c>
      <c r="C235" s="60"/>
      <c r="G235" s="62"/>
      <c r="I235" s="86" t="e">
        <f t="shared" si="9"/>
        <v>#DIV/0!</v>
      </c>
      <c r="J235" s="87" t="e">
        <f t="shared" si="9"/>
        <v>#DIV/0!</v>
      </c>
      <c r="K235" s="87" t="e">
        <f t="shared" si="9"/>
        <v>#DIV/0!</v>
      </c>
      <c r="L235" s="87" t="e">
        <f t="shared" si="9"/>
        <v>#DIV/0!</v>
      </c>
      <c r="M235" s="88" t="e">
        <f t="shared" si="9"/>
        <v>#DIV/0!</v>
      </c>
      <c r="O235" s="121" t="str">
        <f t="shared" si="8"/>
        <v>קרית אתא</v>
      </c>
      <c r="P235" s="121" t="str">
        <f t="shared" si="8"/>
        <v>יוקנעם</v>
      </c>
    </row>
    <row r="236" spans="1:16" x14ac:dyDescent="0.3">
      <c r="A236" s="61">
        <v>9</v>
      </c>
      <c r="B236" s="61">
        <v>23</v>
      </c>
      <c r="C236" s="60"/>
      <c r="G236" s="62"/>
      <c r="I236" s="86" t="e">
        <f t="shared" si="9"/>
        <v>#DIV/0!</v>
      </c>
      <c r="J236" s="87" t="e">
        <f t="shared" si="9"/>
        <v>#DIV/0!</v>
      </c>
      <c r="K236" s="87" t="e">
        <f t="shared" si="9"/>
        <v>#DIV/0!</v>
      </c>
      <c r="L236" s="87" t="e">
        <f t="shared" si="9"/>
        <v>#DIV/0!</v>
      </c>
      <c r="M236" s="88" t="e">
        <f t="shared" si="9"/>
        <v>#DIV/0!</v>
      </c>
      <c r="O236" s="121" t="str">
        <f t="shared" si="8"/>
        <v>קרית אתא</v>
      </c>
      <c r="P236" s="121" t="str">
        <f t="shared" si="8"/>
        <v>דלית אל כרמל</v>
      </c>
    </row>
    <row r="237" spans="1:16" x14ac:dyDescent="0.3">
      <c r="A237" s="61">
        <v>9</v>
      </c>
      <c r="B237" s="61">
        <v>24</v>
      </c>
      <c r="C237" s="60"/>
      <c r="G237" s="62"/>
      <c r="I237" s="86" t="e">
        <f t="shared" si="9"/>
        <v>#DIV/0!</v>
      </c>
      <c r="J237" s="87" t="e">
        <f t="shared" si="9"/>
        <v>#DIV/0!</v>
      </c>
      <c r="K237" s="87" t="e">
        <f t="shared" si="9"/>
        <v>#DIV/0!</v>
      </c>
      <c r="L237" s="87" t="e">
        <f t="shared" si="9"/>
        <v>#DIV/0!</v>
      </c>
      <c r="M237" s="88" t="e">
        <f t="shared" si="9"/>
        <v>#DIV/0!</v>
      </c>
      <c r="O237" s="121" t="str">
        <f t="shared" si="8"/>
        <v>קרית אתא</v>
      </c>
      <c r="P237" s="121" t="str">
        <f t="shared" si="8"/>
        <v>חוף הכרמל</v>
      </c>
    </row>
    <row r="238" spans="1:16" x14ac:dyDescent="0.3">
      <c r="A238" s="61">
        <v>9</v>
      </c>
      <c r="B238" s="61">
        <v>25</v>
      </c>
      <c r="C238" s="60"/>
      <c r="G238" s="62"/>
      <c r="I238" s="86" t="e">
        <f t="shared" si="9"/>
        <v>#DIV/0!</v>
      </c>
      <c r="J238" s="87" t="e">
        <f t="shared" si="9"/>
        <v>#DIV/0!</v>
      </c>
      <c r="K238" s="87" t="e">
        <f t="shared" si="9"/>
        <v>#DIV/0!</v>
      </c>
      <c r="L238" s="87" t="e">
        <f t="shared" si="9"/>
        <v>#DIV/0!</v>
      </c>
      <c r="M238" s="88" t="e">
        <f t="shared" si="9"/>
        <v>#DIV/0!</v>
      </c>
      <c r="O238" s="121" t="str">
        <f t="shared" si="8"/>
        <v>קרית אתא</v>
      </c>
      <c r="P238" s="121" t="str">
        <f t="shared" si="8"/>
        <v>זכרון יעקב</v>
      </c>
    </row>
    <row r="239" spans="1:16" x14ac:dyDescent="0.3">
      <c r="A239" s="61">
        <v>9</v>
      </c>
      <c r="B239" s="61">
        <v>30</v>
      </c>
      <c r="C239" s="60"/>
      <c r="G239" s="62"/>
      <c r="I239" s="86" t="e">
        <f t="shared" si="9"/>
        <v>#DIV/0!</v>
      </c>
      <c r="J239" s="87" t="e">
        <f t="shared" si="9"/>
        <v>#DIV/0!</v>
      </c>
      <c r="K239" s="87" t="e">
        <f t="shared" si="9"/>
        <v>#DIV/0!</v>
      </c>
      <c r="L239" s="87" t="e">
        <f t="shared" si="9"/>
        <v>#DIV/0!</v>
      </c>
      <c r="M239" s="88" t="e">
        <f t="shared" si="9"/>
        <v>#DIV/0!</v>
      </c>
      <c r="O239" s="121" t="str">
        <f t="shared" si="8"/>
        <v>קרית אתא</v>
      </c>
      <c r="P239" s="121" t="str">
        <f t="shared" si="8"/>
        <v>סכנין</v>
      </c>
    </row>
    <row r="240" spans="1:16" x14ac:dyDescent="0.3">
      <c r="A240" s="61">
        <v>10</v>
      </c>
      <c r="B240" s="61">
        <v>1</v>
      </c>
      <c r="C240" s="60"/>
      <c r="G240" s="62"/>
      <c r="I240" s="86" t="e">
        <f t="shared" si="9"/>
        <v>#DIV/0!</v>
      </c>
      <c r="J240" s="87" t="e">
        <f t="shared" si="9"/>
        <v>#DIV/0!</v>
      </c>
      <c r="K240" s="87" t="e">
        <f t="shared" si="9"/>
        <v>#DIV/0!</v>
      </c>
      <c r="L240" s="87" t="e">
        <f t="shared" si="9"/>
        <v>#DIV/0!</v>
      </c>
      <c r="M240" s="88" t="e">
        <f t="shared" si="9"/>
        <v>#DIV/0!</v>
      </c>
      <c r="O240" s="121" t="str">
        <f t="shared" si="8"/>
        <v>כפר מנדא</v>
      </c>
      <c r="P240" s="121" t="str">
        <f t="shared" si="8"/>
        <v>נהריה</v>
      </c>
    </row>
    <row r="241" spans="1:16" x14ac:dyDescent="0.3">
      <c r="A241" s="61">
        <v>10</v>
      </c>
      <c r="B241" s="61">
        <v>2</v>
      </c>
      <c r="C241" s="60"/>
      <c r="G241" s="62"/>
      <c r="I241" s="86" t="e">
        <f t="shared" si="9"/>
        <v>#DIV/0!</v>
      </c>
      <c r="J241" s="87" t="e">
        <f t="shared" si="9"/>
        <v>#DIV/0!</v>
      </c>
      <c r="K241" s="87" t="e">
        <f t="shared" si="9"/>
        <v>#DIV/0!</v>
      </c>
      <c r="L241" s="87" t="e">
        <f t="shared" si="9"/>
        <v>#DIV/0!</v>
      </c>
      <c r="M241" s="88" t="e">
        <f t="shared" si="9"/>
        <v>#DIV/0!</v>
      </c>
      <c r="O241" s="121" t="str">
        <f t="shared" si="8"/>
        <v>כפר מנדא</v>
      </c>
      <c r="P241" s="121" t="str">
        <f t="shared" si="8"/>
        <v>עכו</v>
      </c>
    </row>
    <row r="242" spans="1:16" x14ac:dyDescent="0.3">
      <c r="A242" s="61">
        <v>10</v>
      </c>
      <c r="B242" s="61">
        <v>3</v>
      </c>
      <c r="C242" s="60"/>
      <c r="G242" s="62"/>
      <c r="I242" s="86" t="e">
        <f t="shared" si="9"/>
        <v>#DIV/0!</v>
      </c>
      <c r="J242" s="87" t="e">
        <f t="shared" si="9"/>
        <v>#DIV/0!</v>
      </c>
      <c r="K242" s="87" t="e">
        <f t="shared" si="9"/>
        <v>#DIV/0!</v>
      </c>
      <c r="L242" s="87" t="e">
        <f t="shared" si="9"/>
        <v>#DIV/0!</v>
      </c>
      <c r="M242" s="88" t="e">
        <f t="shared" si="9"/>
        <v>#DIV/0!</v>
      </c>
      <c r="O242" s="121" t="str">
        <f t="shared" si="8"/>
        <v>כפר מנדא</v>
      </c>
      <c r="P242" s="121" t="str">
        <f t="shared" si="8"/>
        <v>כרמיאל</v>
      </c>
    </row>
    <row r="243" spans="1:16" x14ac:dyDescent="0.3">
      <c r="A243" s="61">
        <v>10</v>
      </c>
      <c r="B243" s="61">
        <v>4</v>
      </c>
      <c r="C243" s="60"/>
      <c r="G243" s="62"/>
      <c r="I243" s="86" t="e">
        <f t="shared" si="9"/>
        <v>#DIV/0!</v>
      </c>
      <c r="J243" s="87" t="e">
        <f t="shared" si="9"/>
        <v>#DIV/0!</v>
      </c>
      <c r="K243" s="87" t="e">
        <f t="shared" si="9"/>
        <v>#DIV/0!</v>
      </c>
      <c r="L243" s="87" t="e">
        <f t="shared" si="9"/>
        <v>#DIV/0!</v>
      </c>
      <c r="M243" s="88" t="e">
        <f t="shared" si="9"/>
        <v>#DIV/0!</v>
      </c>
      <c r="O243" s="121" t="str">
        <f t="shared" si="8"/>
        <v>כפר מנדא</v>
      </c>
      <c r="P243" s="121" t="str">
        <f t="shared" si="8"/>
        <v>שפרעם</v>
      </c>
    </row>
    <row r="244" spans="1:16" x14ac:dyDescent="0.3">
      <c r="A244" s="61">
        <v>10</v>
      </c>
      <c r="B244" s="61">
        <v>5</v>
      </c>
      <c r="C244" s="60"/>
      <c r="G244" s="62"/>
      <c r="I244" s="86" t="e">
        <f t="shared" si="9"/>
        <v>#DIV/0!</v>
      </c>
      <c r="J244" s="87" t="e">
        <f t="shared" si="9"/>
        <v>#DIV/0!</v>
      </c>
      <c r="K244" s="87" t="e">
        <f t="shared" si="9"/>
        <v>#DIV/0!</v>
      </c>
      <c r="L244" s="87" t="e">
        <f t="shared" si="9"/>
        <v>#DIV/0!</v>
      </c>
      <c r="M244" s="88" t="e">
        <f t="shared" si="9"/>
        <v>#DIV/0!</v>
      </c>
      <c r="O244" s="121" t="str">
        <f t="shared" si="8"/>
        <v>כפר מנדא</v>
      </c>
      <c r="P244" s="121" t="str">
        <f t="shared" si="8"/>
        <v>קרית ים</v>
      </c>
    </row>
    <row r="245" spans="1:16" x14ac:dyDescent="0.3">
      <c r="A245" s="61">
        <v>10</v>
      </c>
      <c r="B245" s="61">
        <v>6</v>
      </c>
      <c r="C245" s="60"/>
      <c r="G245" s="62"/>
      <c r="I245" s="86" t="e">
        <f t="shared" si="9"/>
        <v>#DIV/0!</v>
      </c>
      <c r="J245" s="87" t="e">
        <f t="shared" si="9"/>
        <v>#DIV/0!</v>
      </c>
      <c r="K245" s="87" t="e">
        <f t="shared" si="9"/>
        <v>#DIV/0!</v>
      </c>
      <c r="L245" s="87" t="e">
        <f t="shared" si="9"/>
        <v>#DIV/0!</v>
      </c>
      <c r="M245" s="88" t="e">
        <f t="shared" si="9"/>
        <v>#DIV/0!</v>
      </c>
      <c r="O245" s="121" t="str">
        <f t="shared" si="8"/>
        <v>כפר מנדא</v>
      </c>
      <c r="P245" s="121" t="str">
        <f t="shared" si="8"/>
        <v>קרית מוצקין</v>
      </c>
    </row>
    <row r="246" spans="1:16" x14ac:dyDescent="0.3">
      <c r="A246" s="61">
        <v>10</v>
      </c>
      <c r="B246" s="61">
        <v>7</v>
      </c>
      <c r="C246" s="60"/>
      <c r="G246" s="62"/>
      <c r="I246" s="86" t="e">
        <f t="shared" si="9"/>
        <v>#DIV/0!</v>
      </c>
      <c r="J246" s="87" t="e">
        <f t="shared" si="9"/>
        <v>#DIV/0!</v>
      </c>
      <c r="K246" s="87" t="e">
        <f t="shared" si="9"/>
        <v>#DIV/0!</v>
      </c>
      <c r="L246" s="87" t="e">
        <f t="shared" si="9"/>
        <v>#DIV/0!</v>
      </c>
      <c r="M246" s="88" t="e">
        <f t="shared" si="9"/>
        <v>#DIV/0!</v>
      </c>
      <c r="O246" s="121" t="str">
        <f t="shared" si="8"/>
        <v>כפר מנדא</v>
      </c>
      <c r="P246" s="121" t="str">
        <f t="shared" si="8"/>
        <v>קרית ביאליק</v>
      </c>
    </row>
    <row r="247" spans="1:16" x14ac:dyDescent="0.3">
      <c r="A247" s="61">
        <v>10</v>
      </c>
      <c r="B247" s="61">
        <v>8</v>
      </c>
      <c r="C247" s="60"/>
      <c r="G247" s="62"/>
      <c r="I247" s="86" t="e">
        <f t="shared" si="9"/>
        <v>#DIV/0!</v>
      </c>
      <c r="J247" s="87" t="e">
        <f t="shared" si="9"/>
        <v>#DIV/0!</v>
      </c>
      <c r="K247" s="87" t="e">
        <f t="shared" si="9"/>
        <v>#DIV/0!</v>
      </c>
      <c r="L247" s="87" t="e">
        <f t="shared" si="9"/>
        <v>#DIV/0!</v>
      </c>
      <c r="M247" s="88" t="e">
        <f t="shared" si="9"/>
        <v>#DIV/0!</v>
      </c>
      <c r="O247" s="121" t="str">
        <f t="shared" si="8"/>
        <v>כפר מנדא</v>
      </c>
      <c r="P247" s="121" t="str">
        <f t="shared" si="8"/>
        <v>קרית חיים</v>
      </c>
    </row>
    <row r="248" spans="1:16" x14ac:dyDescent="0.3">
      <c r="A248" s="61">
        <v>10</v>
      </c>
      <c r="B248" s="61">
        <v>9</v>
      </c>
      <c r="C248" s="60"/>
      <c r="G248" s="62"/>
      <c r="I248" s="86" t="e">
        <f t="shared" si="9"/>
        <v>#DIV/0!</v>
      </c>
      <c r="J248" s="87" t="e">
        <f t="shared" si="9"/>
        <v>#DIV/0!</v>
      </c>
      <c r="K248" s="87" t="e">
        <f t="shared" si="9"/>
        <v>#DIV/0!</v>
      </c>
      <c r="L248" s="87" t="e">
        <f t="shared" si="9"/>
        <v>#DIV/0!</v>
      </c>
      <c r="M248" s="88" t="e">
        <f t="shared" si="9"/>
        <v>#DIV/0!</v>
      </c>
      <c r="O248" s="121" t="str">
        <f t="shared" si="8"/>
        <v>כפר מנדא</v>
      </c>
      <c r="P248" s="121" t="str">
        <f t="shared" si="8"/>
        <v>קרית אתא</v>
      </c>
    </row>
    <row r="249" spans="1:16" x14ac:dyDescent="0.3">
      <c r="A249" s="61">
        <v>10</v>
      </c>
      <c r="B249" s="61">
        <v>10</v>
      </c>
      <c r="C249" s="60"/>
      <c r="G249" s="62"/>
      <c r="I249" s="86" t="e">
        <f t="shared" si="9"/>
        <v>#DIV/0!</v>
      </c>
      <c r="J249" s="87" t="e">
        <f t="shared" si="9"/>
        <v>#DIV/0!</v>
      </c>
      <c r="K249" s="87" t="e">
        <f t="shared" si="9"/>
        <v>#DIV/0!</v>
      </c>
      <c r="L249" s="87" t="e">
        <f t="shared" si="9"/>
        <v>#DIV/0!</v>
      </c>
      <c r="M249" s="88" t="e">
        <f t="shared" si="9"/>
        <v>#DIV/0!</v>
      </c>
      <c r="O249" s="121" t="str">
        <f t="shared" si="8"/>
        <v>כפר מנדא</v>
      </c>
      <c r="P249" s="121" t="str">
        <f t="shared" si="8"/>
        <v>כפר מנדא</v>
      </c>
    </row>
    <row r="250" spans="1:16" x14ac:dyDescent="0.3">
      <c r="A250" s="61">
        <v>10</v>
      </c>
      <c r="B250" s="61">
        <v>11</v>
      </c>
      <c r="C250" s="60"/>
      <c r="G250" s="62"/>
      <c r="I250" s="86" t="e">
        <f t="shared" si="9"/>
        <v>#DIV/0!</v>
      </c>
      <c r="J250" s="87" t="e">
        <f t="shared" si="9"/>
        <v>#DIV/0!</v>
      </c>
      <c r="K250" s="87" t="e">
        <f t="shared" si="9"/>
        <v>#DIV/0!</v>
      </c>
      <c r="L250" s="87" t="e">
        <f t="shared" si="9"/>
        <v>#DIV/0!</v>
      </c>
      <c r="M250" s="88" t="e">
        <f t="shared" si="9"/>
        <v>#DIV/0!</v>
      </c>
      <c r="O250" s="121" t="str">
        <f t="shared" si="8"/>
        <v>כפר מנדא</v>
      </c>
      <c r="P250" s="121" t="str">
        <f t="shared" si="8"/>
        <v>זבולון</v>
      </c>
    </row>
    <row r="251" spans="1:16" x14ac:dyDescent="0.3">
      <c r="A251" s="61">
        <v>10</v>
      </c>
      <c r="B251" s="61">
        <v>12</v>
      </c>
      <c r="C251" s="60"/>
      <c r="G251" s="62"/>
      <c r="I251" s="86" t="e">
        <f t="shared" si="9"/>
        <v>#DIV/0!</v>
      </c>
      <c r="J251" s="87" t="e">
        <f t="shared" si="9"/>
        <v>#DIV/0!</v>
      </c>
      <c r="K251" s="87" t="e">
        <f t="shared" si="9"/>
        <v>#DIV/0!</v>
      </c>
      <c r="L251" s="87" t="e">
        <f t="shared" si="9"/>
        <v>#DIV/0!</v>
      </c>
      <c r="M251" s="88" t="e">
        <f t="shared" si="9"/>
        <v>#DIV/0!</v>
      </c>
      <c r="O251" s="121" t="str">
        <f t="shared" si="8"/>
        <v>כפר מנדא</v>
      </c>
      <c r="P251" s="121" t="str">
        <f t="shared" si="8"/>
        <v>חיפה מפרץ</v>
      </c>
    </row>
    <row r="252" spans="1:16" x14ac:dyDescent="0.3">
      <c r="A252" s="61">
        <v>10</v>
      </c>
      <c r="B252" s="61">
        <v>13</v>
      </c>
      <c r="C252" s="60"/>
      <c r="G252" s="62"/>
      <c r="I252" s="86" t="e">
        <f t="shared" si="9"/>
        <v>#DIV/0!</v>
      </c>
      <c r="J252" s="87" t="e">
        <f t="shared" si="9"/>
        <v>#DIV/0!</v>
      </c>
      <c r="K252" s="87" t="e">
        <f t="shared" si="9"/>
        <v>#DIV/0!</v>
      </c>
      <c r="L252" s="87" t="e">
        <f t="shared" si="9"/>
        <v>#DIV/0!</v>
      </c>
      <c r="M252" s="88" t="e">
        <f t="shared" si="9"/>
        <v>#DIV/0!</v>
      </c>
      <c r="O252" s="121" t="str">
        <f t="shared" si="8"/>
        <v>כפר מנדא</v>
      </c>
      <c r="P252" s="121" t="str">
        <f t="shared" si="8"/>
        <v>חיפה עיר תחתית</v>
      </c>
    </row>
    <row r="253" spans="1:16" x14ac:dyDescent="0.3">
      <c r="A253" s="61">
        <v>10</v>
      </c>
      <c r="B253" s="61">
        <v>14</v>
      </c>
      <c r="C253" s="60"/>
      <c r="G253" s="62"/>
      <c r="I253" s="86" t="e">
        <f t="shared" si="9"/>
        <v>#DIV/0!</v>
      </c>
      <c r="J253" s="87" t="e">
        <f t="shared" si="9"/>
        <v>#DIV/0!</v>
      </c>
      <c r="K253" s="87" t="e">
        <f t="shared" si="9"/>
        <v>#DIV/0!</v>
      </c>
      <c r="L253" s="87" t="e">
        <f t="shared" si="9"/>
        <v>#DIV/0!</v>
      </c>
      <c r="M253" s="88" t="e">
        <f t="shared" si="9"/>
        <v>#DIV/0!</v>
      </c>
      <c r="O253" s="121" t="str">
        <f t="shared" si="8"/>
        <v>כפר מנדא</v>
      </c>
      <c r="P253" s="121" t="str">
        <f t="shared" si="8"/>
        <v>חיפה הדר-כרמל</v>
      </c>
    </row>
    <row r="254" spans="1:16" x14ac:dyDescent="0.3">
      <c r="A254" s="61">
        <v>10</v>
      </c>
      <c r="B254" s="61">
        <v>15</v>
      </c>
      <c r="C254" s="60"/>
      <c r="G254" s="62"/>
      <c r="I254" s="86" t="e">
        <f t="shared" si="9"/>
        <v>#DIV/0!</v>
      </c>
      <c r="J254" s="87" t="e">
        <f t="shared" si="9"/>
        <v>#DIV/0!</v>
      </c>
      <c r="K254" s="87" t="e">
        <f t="shared" si="9"/>
        <v>#DIV/0!</v>
      </c>
      <c r="L254" s="87" t="e">
        <f t="shared" si="9"/>
        <v>#DIV/0!</v>
      </c>
      <c r="M254" s="88" t="e">
        <f t="shared" si="9"/>
        <v>#DIV/0!</v>
      </c>
      <c r="O254" s="121" t="str">
        <f t="shared" si="8"/>
        <v>כפר מנדא</v>
      </c>
      <c r="P254" s="121" t="str">
        <f t="shared" si="8"/>
        <v>חיפה מערב</v>
      </c>
    </row>
    <row r="255" spans="1:16" x14ac:dyDescent="0.3">
      <c r="A255" s="61">
        <v>10</v>
      </c>
      <c r="B255" s="61">
        <v>16</v>
      </c>
      <c r="C255" s="60"/>
      <c r="G255" s="62"/>
      <c r="I255" s="86" t="e">
        <f t="shared" si="9"/>
        <v>#DIV/0!</v>
      </c>
      <c r="J255" s="87" t="e">
        <f t="shared" si="9"/>
        <v>#DIV/0!</v>
      </c>
      <c r="K255" s="87" t="e">
        <f t="shared" si="9"/>
        <v>#DIV/0!</v>
      </c>
      <c r="L255" s="87" t="e">
        <f t="shared" si="9"/>
        <v>#DIV/0!</v>
      </c>
      <c r="M255" s="88" t="e">
        <f t="shared" si="9"/>
        <v>#DIV/0!</v>
      </c>
      <c r="O255" s="121" t="str">
        <f t="shared" si="8"/>
        <v>כפר מנדא</v>
      </c>
      <c r="P255" s="121" t="str">
        <f t="shared" si="8"/>
        <v>חיפה כרמל</v>
      </c>
    </row>
    <row r="256" spans="1:16" x14ac:dyDescent="0.3">
      <c r="A256" s="61">
        <v>10</v>
      </c>
      <c r="B256" s="61">
        <v>17</v>
      </c>
      <c r="C256" s="60"/>
      <c r="G256" s="62"/>
      <c r="I256" s="86" t="e">
        <f t="shared" si="9"/>
        <v>#DIV/0!</v>
      </c>
      <c r="J256" s="87" t="e">
        <f t="shared" si="9"/>
        <v>#DIV/0!</v>
      </c>
      <c r="K256" s="87" t="e">
        <f t="shared" si="9"/>
        <v>#DIV/0!</v>
      </c>
      <c r="L256" s="87" t="e">
        <f t="shared" si="9"/>
        <v>#DIV/0!</v>
      </c>
      <c r="M256" s="88" t="e">
        <f t="shared" si="9"/>
        <v>#DIV/0!</v>
      </c>
      <c r="O256" s="121" t="str">
        <f t="shared" si="8"/>
        <v>כפר מנדא</v>
      </c>
      <c r="P256" s="121" t="str">
        <f t="shared" si="8"/>
        <v>חיפה נווה שאנן</v>
      </c>
    </row>
    <row r="257" spans="1:16" x14ac:dyDescent="0.3">
      <c r="A257" s="61">
        <v>10</v>
      </c>
      <c r="B257" s="61">
        <v>18</v>
      </c>
      <c r="C257" s="60"/>
      <c r="G257" s="62"/>
      <c r="I257" s="86" t="e">
        <f t="shared" si="9"/>
        <v>#DIV/0!</v>
      </c>
      <c r="J257" s="87" t="e">
        <f t="shared" si="9"/>
        <v>#DIV/0!</v>
      </c>
      <c r="K257" s="87" t="e">
        <f t="shared" si="9"/>
        <v>#DIV/0!</v>
      </c>
      <c r="L257" s="87" t="e">
        <f t="shared" si="9"/>
        <v>#DIV/0!</v>
      </c>
      <c r="M257" s="88" t="e">
        <f t="shared" si="9"/>
        <v>#DIV/0!</v>
      </c>
      <c r="O257" s="121" t="str">
        <f t="shared" si="8"/>
        <v>כפר מנדא</v>
      </c>
      <c r="P257" s="121" t="str">
        <f t="shared" si="8"/>
        <v>נשר</v>
      </c>
    </row>
    <row r="258" spans="1:16" x14ac:dyDescent="0.3">
      <c r="A258" s="61">
        <v>10</v>
      </c>
      <c r="B258" s="61">
        <v>19</v>
      </c>
      <c r="C258" s="60"/>
      <c r="G258" s="62"/>
      <c r="I258" s="86" t="e">
        <f t="shared" si="9"/>
        <v>#DIV/0!</v>
      </c>
      <c r="J258" s="87" t="e">
        <f t="shared" si="9"/>
        <v>#DIV/0!</v>
      </c>
      <c r="K258" s="87" t="e">
        <f t="shared" si="9"/>
        <v>#DIV/0!</v>
      </c>
      <c r="L258" s="87" t="e">
        <f t="shared" si="9"/>
        <v>#DIV/0!</v>
      </c>
      <c r="M258" s="88" t="e">
        <f t="shared" si="9"/>
        <v>#DIV/0!</v>
      </c>
      <c r="O258" s="121" t="str">
        <f t="shared" si="8"/>
        <v>כפר מנדא</v>
      </c>
      <c r="P258" s="121" t="str">
        <f t="shared" si="8"/>
        <v>נצרת</v>
      </c>
    </row>
    <row r="259" spans="1:16" x14ac:dyDescent="0.3">
      <c r="A259" s="61">
        <v>10</v>
      </c>
      <c r="B259" s="61">
        <v>20</v>
      </c>
      <c r="C259" s="60"/>
      <c r="G259" s="62"/>
      <c r="I259" s="86" t="e">
        <f t="shared" si="9"/>
        <v>#DIV/0!</v>
      </c>
      <c r="J259" s="87" t="e">
        <f t="shared" si="9"/>
        <v>#DIV/0!</v>
      </c>
      <c r="K259" s="87" t="e">
        <f t="shared" si="9"/>
        <v>#DIV/0!</v>
      </c>
      <c r="L259" s="87" t="e">
        <f t="shared" si="9"/>
        <v>#DIV/0!</v>
      </c>
      <c r="M259" s="88" t="e">
        <f t="shared" si="9"/>
        <v>#DIV/0!</v>
      </c>
      <c r="O259" s="121" t="str">
        <f t="shared" si="8"/>
        <v>כפר מנדא</v>
      </c>
      <c r="P259" s="121" t="str">
        <f t="shared" si="8"/>
        <v>נצרת-עילית</v>
      </c>
    </row>
    <row r="260" spans="1:16" x14ac:dyDescent="0.3">
      <c r="A260" s="61">
        <v>10</v>
      </c>
      <c r="B260" s="61">
        <v>21</v>
      </c>
      <c r="C260" s="60"/>
      <c r="G260" s="62"/>
      <c r="I260" s="86" t="e">
        <f t="shared" si="9"/>
        <v>#DIV/0!</v>
      </c>
      <c r="J260" s="87" t="e">
        <f t="shared" si="9"/>
        <v>#DIV/0!</v>
      </c>
      <c r="K260" s="87" t="e">
        <f t="shared" si="9"/>
        <v>#DIV/0!</v>
      </c>
      <c r="L260" s="87" t="e">
        <f t="shared" si="9"/>
        <v>#DIV/0!</v>
      </c>
      <c r="M260" s="88" t="e">
        <f t="shared" si="9"/>
        <v>#DIV/0!</v>
      </c>
      <c r="O260" s="121" t="str">
        <f t="shared" si="8"/>
        <v>כפר מנדא</v>
      </c>
      <c r="P260" s="121" t="str">
        <f t="shared" si="8"/>
        <v>מגדל העמק</v>
      </c>
    </row>
    <row r="261" spans="1:16" x14ac:dyDescent="0.3">
      <c r="A261" s="61">
        <v>10</v>
      </c>
      <c r="B261" s="61">
        <v>22</v>
      </c>
      <c r="C261" s="60"/>
      <c r="G261" s="62"/>
      <c r="I261" s="86" t="e">
        <f t="shared" si="9"/>
        <v>#DIV/0!</v>
      </c>
      <c r="J261" s="87" t="e">
        <f t="shared" si="9"/>
        <v>#DIV/0!</v>
      </c>
      <c r="K261" s="87" t="e">
        <f t="shared" si="9"/>
        <v>#DIV/0!</v>
      </c>
      <c r="L261" s="87" t="e">
        <f t="shared" si="9"/>
        <v>#DIV/0!</v>
      </c>
      <c r="M261" s="88" t="e">
        <f t="shared" si="9"/>
        <v>#DIV/0!</v>
      </c>
      <c r="O261" s="121" t="str">
        <f t="shared" si="8"/>
        <v>כפר מנדא</v>
      </c>
      <c r="P261" s="121" t="str">
        <f t="shared" si="8"/>
        <v>יוקנעם</v>
      </c>
    </row>
    <row r="262" spans="1:16" x14ac:dyDescent="0.3">
      <c r="A262" s="61">
        <v>10</v>
      </c>
      <c r="B262" s="61">
        <v>23</v>
      </c>
      <c r="C262" s="60"/>
      <c r="G262" s="62"/>
      <c r="I262" s="86" t="e">
        <f t="shared" si="9"/>
        <v>#DIV/0!</v>
      </c>
      <c r="J262" s="87" t="e">
        <f t="shared" si="9"/>
        <v>#DIV/0!</v>
      </c>
      <c r="K262" s="87" t="e">
        <f t="shared" si="9"/>
        <v>#DIV/0!</v>
      </c>
      <c r="L262" s="87" t="e">
        <f t="shared" si="9"/>
        <v>#DIV/0!</v>
      </c>
      <c r="M262" s="88" t="e">
        <f t="shared" si="9"/>
        <v>#DIV/0!</v>
      </c>
      <c r="O262" s="121" t="str">
        <f t="shared" si="8"/>
        <v>כפר מנדא</v>
      </c>
      <c r="P262" s="121" t="str">
        <f t="shared" si="8"/>
        <v>דלית אל כרמל</v>
      </c>
    </row>
    <row r="263" spans="1:16" x14ac:dyDescent="0.3">
      <c r="A263" s="61">
        <v>10</v>
      </c>
      <c r="B263" s="61">
        <v>24</v>
      </c>
      <c r="C263" s="60"/>
      <c r="G263" s="62"/>
      <c r="I263" s="86" t="e">
        <f t="shared" si="9"/>
        <v>#DIV/0!</v>
      </c>
      <c r="J263" s="87" t="e">
        <f t="shared" si="9"/>
        <v>#DIV/0!</v>
      </c>
      <c r="K263" s="87" t="e">
        <f t="shared" si="9"/>
        <v>#DIV/0!</v>
      </c>
      <c r="L263" s="87" t="e">
        <f t="shared" si="9"/>
        <v>#DIV/0!</v>
      </c>
      <c r="M263" s="88" t="e">
        <f t="shared" si="9"/>
        <v>#DIV/0!</v>
      </c>
      <c r="O263" s="121" t="str">
        <f t="shared" ref="O263:P326" si="10">VLOOKUP(A263,$S$6:$T$31,2,0)</f>
        <v>כפר מנדא</v>
      </c>
      <c r="P263" s="121" t="str">
        <f t="shared" si="10"/>
        <v>חוף הכרמל</v>
      </c>
    </row>
    <row r="264" spans="1:16" x14ac:dyDescent="0.3">
      <c r="A264" s="61">
        <v>10</v>
      </c>
      <c r="B264" s="61">
        <v>25</v>
      </c>
      <c r="C264" s="60"/>
      <c r="G264" s="62"/>
      <c r="I264" s="86" t="e">
        <f t="shared" si="9"/>
        <v>#DIV/0!</v>
      </c>
      <c r="J264" s="87" t="e">
        <f t="shared" si="9"/>
        <v>#DIV/0!</v>
      </c>
      <c r="K264" s="87" t="e">
        <f t="shared" si="9"/>
        <v>#DIV/0!</v>
      </c>
      <c r="L264" s="87" t="e">
        <f t="shared" si="9"/>
        <v>#DIV/0!</v>
      </c>
      <c r="M264" s="88" t="e">
        <f t="shared" si="9"/>
        <v>#DIV/0!</v>
      </c>
      <c r="O264" s="121" t="str">
        <f t="shared" si="10"/>
        <v>כפר מנדא</v>
      </c>
      <c r="P264" s="121" t="str">
        <f t="shared" si="10"/>
        <v>זכרון יעקב</v>
      </c>
    </row>
    <row r="265" spans="1:16" x14ac:dyDescent="0.3">
      <c r="A265" s="61">
        <v>10</v>
      </c>
      <c r="B265" s="61">
        <v>30</v>
      </c>
      <c r="C265" s="60"/>
      <c r="G265" s="62"/>
      <c r="I265" s="86" t="e">
        <f t="shared" si="9"/>
        <v>#DIV/0!</v>
      </c>
      <c r="J265" s="87" t="e">
        <f t="shared" si="9"/>
        <v>#DIV/0!</v>
      </c>
      <c r="K265" s="87" t="e">
        <f t="shared" si="9"/>
        <v>#DIV/0!</v>
      </c>
      <c r="L265" s="87" t="e">
        <f t="shared" si="9"/>
        <v>#DIV/0!</v>
      </c>
      <c r="M265" s="88" t="e">
        <f t="shared" si="9"/>
        <v>#DIV/0!</v>
      </c>
      <c r="O265" s="121" t="str">
        <f t="shared" si="10"/>
        <v>כפר מנדא</v>
      </c>
      <c r="P265" s="121" t="str">
        <f t="shared" si="10"/>
        <v>סכנין</v>
      </c>
    </row>
    <row r="266" spans="1:16" x14ac:dyDescent="0.3">
      <c r="A266" s="61">
        <v>11</v>
      </c>
      <c r="B266" s="61">
        <v>1</v>
      </c>
      <c r="C266" s="60"/>
      <c r="G266" s="62"/>
      <c r="I266" s="86" t="e">
        <f t="shared" si="9"/>
        <v>#DIV/0!</v>
      </c>
      <c r="J266" s="87" t="e">
        <f t="shared" si="9"/>
        <v>#DIV/0!</v>
      </c>
      <c r="K266" s="87" t="e">
        <f t="shared" si="9"/>
        <v>#DIV/0!</v>
      </c>
      <c r="L266" s="87" t="e">
        <f t="shared" si="9"/>
        <v>#DIV/0!</v>
      </c>
      <c r="M266" s="88" t="e">
        <f t="shared" si="9"/>
        <v>#DIV/0!</v>
      </c>
      <c r="O266" s="121" t="str">
        <f t="shared" si="10"/>
        <v>זבולון</v>
      </c>
      <c r="P266" s="121" t="str">
        <f t="shared" si="10"/>
        <v>נהריה</v>
      </c>
    </row>
    <row r="267" spans="1:16" x14ac:dyDescent="0.3">
      <c r="A267" s="61">
        <v>11</v>
      </c>
      <c r="B267" s="61">
        <v>2</v>
      </c>
      <c r="C267" s="60"/>
      <c r="G267" s="62"/>
      <c r="I267" s="86" t="e">
        <f t="shared" si="9"/>
        <v>#DIV/0!</v>
      </c>
      <c r="J267" s="87" t="e">
        <f t="shared" si="9"/>
        <v>#DIV/0!</v>
      </c>
      <c r="K267" s="87" t="e">
        <f t="shared" si="9"/>
        <v>#DIV/0!</v>
      </c>
      <c r="L267" s="87" t="e">
        <f t="shared" si="9"/>
        <v>#DIV/0!</v>
      </c>
      <c r="M267" s="88" t="e">
        <f t="shared" si="9"/>
        <v>#DIV/0!</v>
      </c>
      <c r="O267" s="121" t="str">
        <f t="shared" si="10"/>
        <v>זבולון</v>
      </c>
      <c r="P267" s="121" t="str">
        <f t="shared" si="10"/>
        <v>עכו</v>
      </c>
    </row>
    <row r="268" spans="1:16" x14ac:dyDescent="0.3">
      <c r="A268" s="61">
        <v>11</v>
      </c>
      <c r="B268" s="61">
        <v>3</v>
      </c>
      <c r="C268" s="60"/>
      <c r="G268" s="62"/>
      <c r="I268" s="86" t="e">
        <f t="shared" si="9"/>
        <v>#DIV/0!</v>
      </c>
      <c r="J268" s="87" t="e">
        <f t="shared" si="9"/>
        <v>#DIV/0!</v>
      </c>
      <c r="K268" s="87" t="e">
        <f t="shared" si="9"/>
        <v>#DIV/0!</v>
      </c>
      <c r="L268" s="87" t="e">
        <f t="shared" si="9"/>
        <v>#DIV/0!</v>
      </c>
      <c r="M268" s="88" t="e">
        <f t="shared" si="9"/>
        <v>#DIV/0!</v>
      </c>
      <c r="O268" s="121" t="str">
        <f t="shared" si="10"/>
        <v>זבולון</v>
      </c>
      <c r="P268" s="121" t="str">
        <f t="shared" si="10"/>
        <v>כרמיאל</v>
      </c>
    </row>
    <row r="269" spans="1:16" x14ac:dyDescent="0.3">
      <c r="A269" s="61">
        <v>11</v>
      </c>
      <c r="B269" s="61">
        <v>4</v>
      </c>
      <c r="C269" s="60"/>
      <c r="G269" s="62"/>
      <c r="I269" s="86" t="e">
        <f t="shared" si="9"/>
        <v>#DIV/0!</v>
      </c>
      <c r="J269" s="87" t="e">
        <f t="shared" si="9"/>
        <v>#DIV/0!</v>
      </c>
      <c r="K269" s="87" t="e">
        <f t="shared" si="9"/>
        <v>#DIV/0!</v>
      </c>
      <c r="L269" s="87" t="e">
        <f t="shared" si="9"/>
        <v>#DIV/0!</v>
      </c>
      <c r="M269" s="88" t="e">
        <f t="shared" si="9"/>
        <v>#DIV/0!</v>
      </c>
      <c r="O269" s="121" t="str">
        <f t="shared" si="10"/>
        <v>זבולון</v>
      </c>
      <c r="P269" s="121" t="str">
        <f t="shared" si="10"/>
        <v>שפרעם</v>
      </c>
    </row>
    <row r="270" spans="1:16" x14ac:dyDescent="0.3">
      <c r="A270" s="61">
        <v>11</v>
      </c>
      <c r="B270" s="61">
        <v>5</v>
      </c>
      <c r="C270" s="60"/>
      <c r="G270" s="62"/>
      <c r="I270" s="86" t="e">
        <f t="shared" si="9"/>
        <v>#DIV/0!</v>
      </c>
      <c r="J270" s="87" t="e">
        <f t="shared" si="9"/>
        <v>#DIV/0!</v>
      </c>
      <c r="K270" s="87" t="e">
        <f t="shared" si="9"/>
        <v>#DIV/0!</v>
      </c>
      <c r="L270" s="87" t="e">
        <f t="shared" si="9"/>
        <v>#DIV/0!</v>
      </c>
      <c r="M270" s="88" t="e">
        <f t="shared" si="9"/>
        <v>#DIV/0!</v>
      </c>
      <c r="O270" s="121" t="str">
        <f t="shared" si="10"/>
        <v>זבולון</v>
      </c>
      <c r="P270" s="121" t="str">
        <f t="shared" si="10"/>
        <v>קרית ים</v>
      </c>
    </row>
    <row r="271" spans="1:16" x14ac:dyDescent="0.3">
      <c r="A271" s="61">
        <v>11</v>
      </c>
      <c r="B271" s="61">
        <v>6</v>
      </c>
      <c r="C271" s="60"/>
      <c r="G271" s="62"/>
      <c r="I271" s="86" t="e">
        <f t="shared" si="9"/>
        <v>#DIV/0!</v>
      </c>
      <c r="J271" s="87" t="e">
        <f t="shared" si="9"/>
        <v>#DIV/0!</v>
      </c>
      <c r="K271" s="87" t="e">
        <f t="shared" si="9"/>
        <v>#DIV/0!</v>
      </c>
      <c r="L271" s="87" t="e">
        <f t="shared" si="9"/>
        <v>#DIV/0!</v>
      </c>
      <c r="M271" s="88" t="e">
        <f t="shared" si="9"/>
        <v>#DIV/0!</v>
      </c>
      <c r="O271" s="121" t="str">
        <f t="shared" si="10"/>
        <v>זבולון</v>
      </c>
      <c r="P271" s="121" t="str">
        <f t="shared" si="10"/>
        <v>קרית מוצקין</v>
      </c>
    </row>
    <row r="272" spans="1:16" x14ac:dyDescent="0.3">
      <c r="A272" s="61">
        <v>11</v>
      </c>
      <c r="B272" s="61">
        <v>7</v>
      </c>
      <c r="C272" s="60"/>
      <c r="G272" s="62"/>
      <c r="I272" s="86" t="e">
        <f t="shared" si="9"/>
        <v>#DIV/0!</v>
      </c>
      <c r="J272" s="87" t="e">
        <f t="shared" si="9"/>
        <v>#DIV/0!</v>
      </c>
      <c r="K272" s="87" t="e">
        <f t="shared" si="9"/>
        <v>#DIV/0!</v>
      </c>
      <c r="L272" s="87" t="e">
        <f t="shared" si="9"/>
        <v>#DIV/0!</v>
      </c>
      <c r="M272" s="88" t="e">
        <f t="shared" si="9"/>
        <v>#DIV/0!</v>
      </c>
      <c r="O272" s="121" t="str">
        <f t="shared" si="10"/>
        <v>זבולון</v>
      </c>
      <c r="P272" s="121" t="str">
        <f t="shared" si="10"/>
        <v>קרית ביאליק</v>
      </c>
    </row>
    <row r="273" spans="1:16" x14ac:dyDescent="0.3">
      <c r="A273" s="61">
        <v>11</v>
      </c>
      <c r="B273" s="61">
        <v>8</v>
      </c>
      <c r="C273" s="60"/>
      <c r="G273" s="62"/>
      <c r="I273" s="86" t="e">
        <f t="shared" si="9"/>
        <v>#DIV/0!</v>
      </c>
      <c r="J273" s="87" t="e">
        <f t="shared" si="9"/>
        <v>#DIV/0!</v>
      </c>
      <c r="K273" s="87" t="e">
        <f t="shared" si="9"/>
        <v>#DIV/0!</v>
      </c>
      <c r="L273" s="87" t="e">
        <f t="shared" si="9"/>
        <v>#DIV/0!</v>
      </c>
      <c r="M273" s="88" t="e">
        <f t="shared" si="9"/>
        <v>#DIV/0!</v>
      </c>
      <c r="O273" s="121" t="str">
        <f t="shared" si="10"/>
        <v>זבולון</v>
      </c>
      <c r="P273" s="121" t="str">
        <f t="shared" si="10"/>
        <v>קרית חיים</v>
      </c>
    </row>
    <row r="274" spans="1:16" x14ac:dyDescent="0.3">
      <c r="A274" s="61">
        <v>11</v>
      </c>
      <c r="B274" s="61">
        <v>9</v>
      </c>
      <c r="C274" s="60"/>
      <c r="G274" s="62"/>
      <c r="I274" s="86" t="e">
        <f t="shared" ref="I274:M324" si="11">C274/SUM($C274:$G274)</f>
        <v>#DIV/0!</v>
      </c>
      <c r="J274" s="87" t="e">
        <f t="shared" si="11"/>
        <v>#DIV/0!</v>
      </c>
      <c r="K274" s="87" t="e">
        <f t="shared" si="11"/>
        <v>#DIV/0!</v>
      </c>
      <c r="L274" s="87" t="e">
        <f t="shared" si="11"/>
        <v>#DIV/0!</v>
      </c>
      <c r="M274" s="88" t="e">
        <f t="shared" si="11"/>
        <v>#DIV/0!</v>
      </c>
      <c r="O274" s="121" t="str">
        <f t="shared" si="10"/>
        <v>זבולון</v>
      </c>
      <c r="P274" s="121" t="str">
        <f t="shared" si="10"/>
        <v>קרית אתא</v>
      </c>
    </row>
    <row r="275" spans="1:16" x14ac:dyDescent="0.3">
      <c r="A275" s="61">
        <v>11</v>
      </c>
      <c r="B275" s="61">
        <v>10</v>
      </c>
      <c r="C275" s="60"/>
      <c r="G275" s="62"/>
      <c r="I275" s="86" t="e">
        <f t="shared" si="11"/>
        <v>#DIV/0!</v>
      </c>
      <c r="J275" s="87" t="e">
        <f t="shared" si="11"/>
        <v>#DIV/0!</v>
      </c>
      <c r="K275" s="87" t="e">
        <f t="shared" si="11"/>
        <v>#DIV/0!</v>
      </c>
      <c r="L275" s="87" t="e">
        <f t="shared" si="11"/>
        <v>#DIV/0!</v>
      </c>
      <c r="M275" s="88" t="e">
        <f t="shared" si="11"/>
        <v>#DIV/0!</v>
      </c>
      <c r="O275" s="121" t="str">
        <f t="shared" si="10"/>
        <v>זבולון</v>
      </c>
      <c r="P275" s="121" t="str">
        <f t="shared" si="10"/>
        <v>כפר מנדא</v>
      </c>
    </row>
    <row r="276" spans="1:16" x14ac:dyDescent="0.3">
      <c r="A276" s="61">
        <v>11</v>
      </c>
      <c r="B276" s="61">
        <v>11</v>
      </c>
      <c r="C276" s="60"/>
      <c r="G276" s="62"/>
      <c r="I276" s="86" t="e">
        <f t="shared" si="11"/>
        <v>#DIV/0!</v>
      </c>
      <c r="J276" s="87" t="e">
        <f t="shared" si="11"/>
        <v>#DIV/0!</v>
      </c>
      <c r="K276" s="87" t="e">
        <f t="shared" si="11"/>
        <v>#DIV/0!</v>
      </c>
      <c r="L276" s="87" t="e">
        <f t="shared" si="11"/>
        <v>#DIV/0!</v>
      </c>
      <c r="M276" s="88" t="e">
        <f t="shared" si="11"/>
        <v>#DIV/0!</v>
      </c>
      <c r="O276" s="121" t="str">
        <f t="shared" si="10"/>
        <v>זבולון</v>
      </c>
      <c r="P276" s="121" t="str">
        <f t="shared" si="10"/>
        <v>זבולון</v>
      </c>
    </row>
    <row r="277" spans="1:16" x14ac:dyDescent="0.3">
      <c r="A277" s="61">
        <v>11</v>
      </c>
      <c r="B277" s="61">
        <v>12</v>
      </c>
      <c r="C277" s="60"/>
      <c r="G277" s="62"/>
      <c r="I277" s="86" t="e">
        <f t="shared" si="11"/>
        <v>#DIV/0!</v>
      </c>
      <c r="J277" s="87" t="e">
        <f t="shared" si="11"/>
        <v>#DIV/0!</v>
      </c>
      <c r="K277" s="87" t="e">
        <f t="shared" si="11"/>
        <v>#DIV/0!</v>
      </c>
      <c r="L277" s="87" t="e">
        <f t="shared" si="11"/>
        <v>#DIV/0!</v>
      </c>
      <c r="M277" s="88" t="e">
        <f t="shared" si="11"/>
        <v>#DIV/0!</v>
      </c>
      <c r="O277" s="121" t="str">
        <f t="shared" si="10"/>
        <v>זבולון</v>
      </c>
      <c r="P277" s="121" t="str">
        <f t="shared" si="10"/>
        <v>חיפה מפרץ</v>
      </c>
    </row>
    <row r="278" spans="1:16" x14ac:dyDescent="0.3">
      <c r="A278" s="61">
        <v>11</v>
      </c>
      <c r="B278" s="61">
        <v>13</v>
      </c>
      <c r="C278" s="60"/>
      <c r="G278" s="62"/>
      <c r="I278" s="86" t="e">
        <f t="shared" si="11"/>
        <v>#DIV/0!</v>
      </c>
      <c r="J278" s="87" t="e">
        <f t="shared" si="11"/>
        <v>#DIV/0!</v>
      </c>
      <c r="K278" s="87" t="e">
        <f t="shared" si="11"/>
        <v>#DIV/0!</v>
      </c>
      <c r="L278" s="87" t="e">
        <f t="shared" si="11"/>
        <v>#DIV/0!</v>
      </c>
      <c r="M278" s="88" t="e">
        <f t="shared" si="11"/>
        <v>#DIV/0!</v>
      </c>
      <c r="O278" s="121" t="str">
        <f t="shared" si="10"/>
        <v>זבולון</v>
      </c>
      <c r="P278" s="121" t="str">
        <f t="shared" si="10"/>
        <v>חיפה עיר תחתית</v>
      </c>
    </row>
    <row r="279" spans="1:16" x14ac:dyDescent="0.3">
      <c r="A279" s="61">
        <v>11</v>
      </c>
      <c r="B279" s="61">
        <v>14</v>
      </c>
      <c r="C279" s="60"/>
      <c r="G279" s="62"/>
      <c r="I279" s="86" t="e">
        <f t="shared" si="11"/>
        <v>#DIV/0!</v>
      </c>
      <c r="J279" s="87" t="e">
        <f t="shared" si="11"/>
        <v>#DIV/0!</v>
      </c>
      <c r="K279" s="87" t="e">
        <f t="shared" si="11"/>
        <v>#DIV/0!</v>
      </c>
      <c r="L279" s="87" t="e">
        <f t="shared" si="11"/>
        <v>#DIV/0!</v>
      </c>
      <c r="M279" s="88" t="e">
        <f t="shared" si="11"/>
        <v>#DIV/0!</v>
      </c>
      <c r="O279" s="121" t="str">
        <f t="shared" si="10"/>
        <v>זבולון</v>
      </c>
      <c r="P279" s="121" t="str">
        <f t="shared" si="10"/>
        <v>חיפה הדר-כרמל</v>
      </c>
    </row>
    <row r="280" spans="1:16" x14ac:dyDescent="0.3">
      <c r="A280" s="61">
        <v>11</v>
      </c>
      <c r="B280" s="61">
        <v>15</v>
      </c>
      <c r="C280" s="60"/>
      <c r="G280" s="62"/>
      <c r="I280" s="86" t="e">
        <f t="shared" si="11"/>
        <v>#DIV/0!</v>
      </c>
      <c r="J280" s="87" t="e">
        <f t="shared" si="11"/>
        <v>#DIV/0!</v>
      </c>
      <c r="K280" s="87" t="e">
        <f t="shared" si="11"/>
        <v>#DIV/0!</v>
      </c>
      <c r="L280" s="87" t="e">
        <f t="shared" si="11"/>
        <v>#DIV/0!</v>
      </c>
      <c r="M280" s="88" t="e">
        <f t="shared" si="11"/>
        <v>#DIV/0!</v>
      </c>
      <c r="O280" s="121" t="str">
        <f t="shared" si="10"/>
        <v>זבולון</v>
      </c>
      <c r="P280" s="121" t="str">
        <f t="shared" si="10"/>
        <v>חיפה מערב</v>
      </c>
    </row>
    <row r="281" spans="1:16" x14ac:dyDescent="0.3">
      <c r="A281" s="61">
        <v>11</v>
      </c>
      <c r="B281" s="61">
        <v>16</v>
      </c>
      <c r="C281" s="60"/>
      <c r="G281" s="62"/>
      <c r="I281" s="86" t="e">
        <f t="shared" si="11"/>
        <v>#DIV/0!</v>
      </c>
      <c r="J281" s="87" t="e">
        <f t="shared" si="11"/>
        <v>#DIV/0!</v>
      </c>
      <c r="K281" s="87" t="e">
        <f t="shared" si="11"/>
        <v>#DIV/0!</v>
      </c>
      <c r="L281" s="87" t="e">
        <f t="shared" si="11"/>
        <v>#DIV/0!</v>
      </c>
      <c r="M281" s="88" t="e">
        <f t="shared" si="11"/>
        <v>#DIV/0!</v>
      </c>
      <c r="O281" s="121" t="str">
        <f t="shared" si="10"/>
        <v>זבולון</v>
      </c>
      <c r="P281" s="121" t="str">
        <f t="shared" si="10"/>
        <v>חיפה כרמל</v>
      </c>
    </row>
    <row r="282" spans="1:16" x14ac:dyDescent="0.3">
      <c r="A282" s="61">
        <v>11</v>
      </c>
      <c r="B282" s="61">
        <v>17</v>
      </c>
      <c r="C282" s="60"/>
      <c r="G282" s="62"/>
      <c r="I282" s="86" t="e">
        <f t="shared" si="11"/>
        <v>#DIV/0!</v>
      </c>
      <c r="J282" s="87" t="e">
        <f t="shared" si="11"/>
        <v>#DIV/0!</v>
      </c>
      <c r="K282" s="87" t="e">
        <f t="shared" si="11"/>
        <v>#DIV/0!</v>
      </c>
      <c r="L282" s="87" t="e">
        <f t="shared" si="11"/>
        <v>#DIV/0!</v>
      </c>
      <c r="M282" s="88" t="e">
        <f t="shared" si="11"/>
        <v>#DIV/0!</v>
      </c>
      <c r="O282" s="121" t="str">
        <f t="shared" si="10"/>
        <v>זבולון</v>
      </c>
      <c r="P282" s="121" t="str">
        <f t="shared" si="10"/>
        <v>חיפה נווה שאנן</v>
      </c>
    </row>
    <row r="283" spans="1:16" x14ac:dyDescent="0.3">
      <c r="A283" s="61">
        <v>11</v>
      </c>
      <c r="B283" s="61">
        <v>18</v>
      </c>
      <c r="C283" s="60"/>
      <c r="G283" s="62"/>
      <c r="I283" s="86" t="e">
        <f t="shared" si="11"/>
        <v>#DIV/0!</v>
      </c>
      <c r="J283" s="87" t="e">
        <f t="shared" si="11"/>
        <v>#DIV/0!</v>
      </c>
      <c r="K283" s="87" t="e">
        <f t="shared" si="11"/>
        <v>#DIV/0!</v>
      </c>
      <c r="L283" s="87" t="e">
        <f t="shared" si="11"/>
        <v>#DIV/0!</v>
      </c>
      <c r="M283" s="88" t="e">
        <f t="shared" si="11"/>
        <v>#DIV/0!</v>
      </c>
      <c r="O283" s="121" t="str">
        <f t="shared" si="10"/>
        <v>זבולון</v>
      </c>
      <c r="P283" s="121" t="str">
        <f t="shared" si="10"/>
        <v>נשר</v>
      </c>
    </row>
    <row r="284" spans="1:16" x14ac:dyDescent="0.3">
      <c r="A284" s="61">
        <v>11</v>
      </c>
      <c r="B284" s="61">
        <v>19</v>
      </c>
      <c r="C284" s="60"/>
      <c r="G284" s="62"/>
      <c r="I284" s="86" t="e">
        <f t="shared" si="11"/>
        <v>#DIV/0!</v>
      </c>
      <c r="J284" s="87" t="e">
        <f t="shared" si="11"/>
        <v>#DIV/0!</v>
      </c>
      <c r="K284" s="87" t="e">
        <f t="shared" si="11"/>
        <v>#DIV/0!</v>
      </c>
      <c r="L284" s="87" t="e">
        <f t="shared" si="11"/>
        <v>#DIV/0!</v>
      </c>
      <c r="M284" s="88" t="e">
        <f t="shared" si="11"/>
        <v>#DIV/0!</v>
      </c>
      <c r="O284" s="121" t="str">
        <f t="shared" si="10"/>
        <v>זבולון</v>
      </c>
      <c r="P284" s="121" t="str">
        <f t="shared" si="10"/>
        <v>נצרת</v>
      </c>
    </row>
    <row r="285" spans="1:16" x14ac:dyDescent="0.3">
      <c r="A285" s="61">
        <v>11</v>
      </c>
      <c r="B285" s="61">
        <v>20</v>
      </c>
      <c r="C285" s="60"/>
      <c r="G285" s="62"/>
      <c r="I285" s="86" t="e">
        <f t="shared" si="11"/>
        <v>#DIV/0!</v>
      </c>
      <c r="J285" s="87" t="e">
        <f t="shared" si="11"/>
        <v>#DIV/0!</v>
      </c>
      <c r="K285" s="87" t="e">
        <f t="shared" si="11"/>
        <v>#DIV/0!</v>
      </c>
      <c r="L285" s="87" t="e">
        <f t="shared" si="11"/>
        <v>#DIV/0!</v>
      </c>
      <c r="M285" s="88" t="e">
        <f t="shared" si="11"/>
        <v>#DIV/0!</v>
      </c>
      <c r="O285" s="121" t="str">
        <f t="shared" si="10"/>
        <v>זבולון</v>
      </c>
      <c r="P285" s="121" t="str">
        <f t="shared" si="10"/>
        <v>נצרת-עילית</v>
      </c>
    </row>
    <row r="286" spans="1:16" x14ac:dyDescent="0.3">
      <c r="A286" s="61">
        <v>11</v>
      </c>
      <c r="B286" s="61">
        <v>21</v>
      </c>
      <c r="C286" s="60"/>
      <c r="G286" s="62"/>
      <c r="I286" s="86" t="e">
        <f t="shared" si="11"/>
        <v>#DIV/0!</v>
      </c>
      <c r="J286" s="87" t="e">
        <f t="shared" si="11"/>
        <v>#DIV/0!</v>
      </c>
      <c r="K286" s="87" t="e">
        <f t="shared" si="11"/>
        <v>#DIV/0!</v>
      </c>
      <c r="L286" s="87" t="e">
        <f t="shared" si="11"/>
        <v>#DIV/0!</v>
      </c>
      <c r="M286" s="88" t="e">
        <f t="shared" si="11"/>
        <v>#DIV/0!</v>
      </c>
      <c r="O286" s="121" t="str">
        <f t="shared" si="10"/>
        <v>זבולון</v>
      </c>
      <c r="P286" s="121" t="str">
        <f t="shared" si="10"/>
        <v>מגדל העמק</v>
      </c>
    </row>
    <row r="287" spans="1:16" x14ac:dyDescent="0.3">
      <c r="A287" s="61">
        <v>11</v>
      </c>
      <c r="B287" s="61">
        <v>22</v>
      </c>
      <c r="C287" s="60"/>
      <c r="G287" s="62"/>
      <c r="I287" s="86" t="e">
        <f t="shared" si="11"/>
        <v>#DIV/0!</v>
      </c>
      <c r="J287" s="87" t="e">
        <f t="shared" si="11"/>
        <v>#DIV/0!</v>
      </c>
      <c r="K287" s="87" t="e">
        <f t="shared" si="11"/>
        <v>#DIV/0!</v>
      </c>
      <c r="L287" s="87" t="e">
        <f t="shared" si="11"/>
        <v>#DIV/0!</v>
      </c>
      <c r="M287" s="88" t="e">
        <f t="shared" si="11"/>
        <v>#DIV/0!</v>
      </c>
      <c r="O287" s="121" t="str">
        <f t="shared" si="10"/>
        <v>זבולון</v>
      </c>
      <c r="P287" s="121" t="str">
        <f t="shared" si="10"/>
        <v>יוקנעם</v>
      </c>
    </row>
    <row r="288" spans="1:16" x14ac:dyDescent="0.3">
      <c r="A288" s="61">
        <v>11</v>
      </c>
      <c r="B288" s="61">
        <v>23</v>
      </c>
      <c r="C288" s="60"/>
      <c r="G288" s="62"/>
      <c r="I288" s="86" t="e">
        <f t="shared" si="11"/>
        <v>#DIV/0!</v>
      </c>
      <c r="J288" s="87" t="e">
        <f t="shared" si="11"/>
        <v>#DIV/0!</v>
      </c>
      <c r="K288" s="87" t="e">
        <f t="shared" si="11"/>
        <v>#DIV/0!</v>
      </c>
      <c r="L288" s="87" t="e">
        <f t="shared" si="11"/>
        <v>#DIV/0!</v>
      </c>
      <c r="M288" s="88" t="e">
        <f t="shared" si="11"/>
        <v>#DIV/0!</v>
      </c>
      <c r="O288" s="121" t="str">
        <f t="shared" si="10"/>
        <v>זבולון</v>
      </c>
      <c r="P288" s="121" t="str">
        <f t="shared" si="10"/>
        <v>דלית אל כרמל</v>
      </c>
    </row>
    <row r="289" spans="1:16" x14ac:dyDescent="0.3">
      <c r="A289" s="61">
        <v>11</v>
      </c>
      <c r="B289" s="61">
        <v>24</v>
      </c>
      <c r="C289" s="60"/>
      <c r="G289" s="62"/>
      <c r="I289" s="86" t="e">
        <f t="shared" si="11"/>
        <v>#DIV/0!</v>
      </c>
      <c r="J289" s="87" t="e">
        <f t="shared" si="11"/>
        <v>#DIV/0!</v>
      </c>
      <c r="K289" s="87" t="e">
        <f t="shared" si="11"/>
        <v>#DIV/0!</v>
      </c>
      <c r="L289" s="87" t="e">
        <f t="shared" si="11"/>
        <v>#DIV/0!</v>
      </c>
      <c r="M289" s="88" t="e">
        <f t="shared" si="11"/>
        <v>#DIV/0!</v>
      </c>
      <c r="O289" s="121" t="str">
        <f t="shared" si="10"/>
        <v>זבולון</v>
      </c>
      <c r="P289" s="121" t="str">
        <f t="shared" si="10"/>
        <v>חוף הכרמל</v>
      </c>
    </row>
    <row r="290" spans="1:16" x14ac:dyDescent="0.3">
      <c r="A290" s="61">
        <v>11</v>
      </c>
      <c r="B290" s="61">
        <v>25</v>
      </c>
      <c r="C290" s="60"/>
      <c r="G290" s="62"/>
      <c r="I290" s="86" t="e">
        <f t="shared" si="11"/>
        <v>#DIV/0!</v>
      </c>
      <c r="J290" s="87" t="e">
        <f t="shared" si="11"/>
        <v>#DIV/0!</v>
      </c>
      <c r="K290" s="87" t="e">
        <f t="shared" si="11"/>
        <v>#DIV/0!</v>
      </c>
      <c r="L290" s="87" t="e">
        <f t="shared" si="11"/>
        <v>#DIV/0!</v>
      </c>
      <c r="M290" s="88" t="e">
        <f t="shared" si="11"/>
        <v>#DIV/0!</v>
      </c>
      <c r="O290" s="121" t="str">
        <f t="shared" si="10"/>
        <v>זבולון</v>
      </c>
      <c r="P290" s="121" t="str">
        <f t="shared" si="10"/>
        <v>זכרון יעקב</v>
      </c>
    </row>
    <row r="291" spans="1:16" x14ac:dyDescent="0.3">
      <c r="A291" s="61">
        <v>11</v>
      </c>
      <c r="B291" s="61">
        <v>30</v>
      </c>
      <c r="C291" s="60"/>
      <c r="G291" s="62"/>
      <c r="I291" s="86" t="e">
        <f t="shared" si="11"/>
        <v>#DIV/0!</v>
      </c>
      <c r="J291" s="87" t="e">
        <f t="shared" si="11"/>
        <v>#DIV/0!</v>
      </c>
      <c r="K291" s="87" t="e">
        <f t="shared" si="11"/>
        <v>#DIV/0!</v>
      </c>
      <c r="L291" s="87" t="e">
        <f t="shared" si="11"/>
        <v>#DIV/0!</v>
      </c>
      <c r="M291" s="88" t="e">
        <f t="shared" si="11"/>
        <v>#DIV/0!</v>
      </c>
      <c r="O291" s="121" t="str">
        <f t="shared" si="10"/>
        <v>זבולון</v>
      </c>
      <c r="P291" s="121" t="str">
        <f t="shared" si="10"/>
        <v>סכנין</v>
      </c>
    </row>
    <row r="292" spans="1:16" x14ac:dyDescent="0.3">
      <c r="A292" s="61">
        <v>12</v>
      </c>
      <c r="B292" s="61">
        <v>1</v>
      </c>
      <c r="C292" s="60"/>
      <c r="G292" s="62"/>
      <c r="I292" s="86" t="e">
        <f t="shared" si="11"/>
        <v>#DIV/0!</v>
      </c>
      <c r="J292" s="87" t="e">
        <f t="shared" si="11"/>
        <v>#DIV/0!</v>
      </c>
      <c r="K292" s="87" t="e">
        <f t="shared" si="11"/>
        <v>#DIV/0!</v>
      </c>
      <c r="L292" s="87" t="e">
        <f t="shared" si="11"/>
        <v>#DIV/0!</v>
      </c>
      <c r="M292" s="88" t="e">
        <f t="shared" si="11"/>
        <v>#DIV/0!</v>
      </c>
      <c r="O292" s="121" t="str">
        <f t="shared" si="10"/>
        <v>חיפה מפרץ</v>
      </c>
      <c r="P292" s="121" t="str">
        <f t="shared" si="10"/>
        <v>נהריה</v>
      </c>
    </row>
    <row r="293" spans="1:16" x14ac:dyDescent="0.3">
      <c r="A293" s="61">
        <v>12</v>
      </c>
      <c r="B293" s="61">
        <v>2</v>
      </c>
      <c r="C293" s="60"/>
      <c r="G293" s="62"/>
      <c r="I293" s="86" t="e">
        <f t="shared" si="11"/>
        <v>#DIV/0!</v>
      </c>
      <c r="J293" s="87" t="e">
        <f t="shared" si="11"/>
        <v>#DIV/0!</v>
      </c>
      <c r="K293" s="87" t="e">
        <f t="shared" si="11"/>
        <v>#DIV/0!</v>
      </c>
      <c r="L293" s="87" t="e">
        <f t="shared" si="11"/>
        <v>#DIV/0!</v>
      </c>
      <c r="M293" s="88" t="e">
        <f t="shared" si="11"/>
        <v>#DIV/0!</v>
      </c>
      <c r="O293" s="121" t="str">
        <f t="shared" si="10"/>
        <v>חיפה מפרץ</v>
      </c>
      <c r="P293" s="121" t="str">
        <f t="shared" si="10"/>
        <v>עכו</v>
      </c>
    </row>
    <row r="294" spans="1:16" x14ac:dyDescent="0.3">
      <c r="A294" s="61">
        <v>12</v>
      </c>
      <c r="B294" s="61">
        <v>3</v>
      </c>
      <c r="C294" s="60"/>
      <c r="G294" s="62"/>
      <c r="I294" s="86" t="e">
        <f t="shared" si="11"/>
        <v>#DIV/0!</v>
      </c>
      <c r="J294" s="87" t="e">
        <f t="shared" si="11"/>
        <v>#DIV/0!</v>
      </c>
      <c r="K294" s="87" t="e">
        <f t="shared" si="11"/>
        <v>#DIV/0!</v>
      </c>
      <c r="L294" s="87" t="e">
        <f t="shared" si="11"/>
        <v>#DIV/0!</v>
      </c>
      <c r="M294" s="88" t="e">
        <f t="shared" si="11"/>
        <v>#DIV/0!</v>
      </c>
      <c r="O294" s="121" t="str">
        <f t="shared" si="10"/>
        <v>חיפה מפרץ</v>
      </c>
      <c r="P294" s="121" t="str">
        <f t="shared" si="10"/>
        <v>כרמיאל</v>
      </c>
    </row>
    <row r="295" spans="1:16" x14ac:dyDescent="0.3">
      <c r="A295" s="61">
        <v>12</v>
      </c>
      <c r="B295" s="61">
        <v>4</v>
      </c>
      <c r="C295" s="60"/>
      <c r="G295" s="62"/>
      <c r="I295" s="86" t="e">
        <f t="shared" si="11"/>
        <v>#DIV/0!</v>
      </c>
      <c r="J295" s="87" t="e">
        <f t="shared" si="11"/>
        <v>#DIV/0!</v>
      </c>
      <c r="K295" s="87" t="e">
        <f t="shared" si="11"/>
        <v>#DIV/0!</v>
      </c>
      <c r="L295" s="87" t="e">
        <f t="shared" si="11"/>
        <v>#DIV/0!</v>
      </c>
      <c r="M295" s="88" t="e">
        <f t="shared" si="11"/>
        <v>#DIV/0!</v>
      </c>
      <c r="O295" s="121" t="str">
        <f t="shared" si="10"/>
        <v>חיפה מפרץ</v>
      </c>
      <c r="P295" s="121" t="str">
        <f t="shared" si="10"/>
        <v>שפרעם</v>
      </c>
    </row>
    <row r="296" spans="1:16" x14ac:dyDescent="0.3">
      <c r="A296" s="61">
        <v>12</v>
      </c>
      <c r="B296" s="61">
        <v>5</v>
      </c>
      <c r="C296" s="60"/>
      <c r="G296" s="62"/>
      <c r="I296" s="86" t="e">
        <f t="shared" si="11"/>
        <v>#DIV/0!</v>
      </c>
      <c r="J296" s="87" t="e">
        <f t="shared" si="11"/>
        <v>#DIV/0!</v>
      </c>
      <c r="K296" s="87" t="e">
        <f t="shared" si="11"/>
        <v>#DIV/0!</v>
      </c>
      <c r="L296" s="87" t="e">
        <f t="shared" si="11"/>
        <v>#DIV/0!</v>
      </c>
      <c r="M296" s="88" t="e">
        <f t="shared" si="11"/>
        <v>#DIV/0!</v>
      </c>
      <c r="O296" s="121" t="str">
        <f t="shared" si="10"/>
        <v>חיפה מפרץ</v>
      </c>
      <c r="P296" s="121" t="str">
        <f t="shared" si="10"/>
        <v>קרית ים</v>
      </c>
    </row>
    <row r="297" spans="1:16" x14ac:dyDescent="0.3">
      <c r="A297" s="61">
        <v>12</v>
      </c>
      <c r="B297" s="61">
        <v>6</v>
      </c>
      <c r="C297" s="60"/>
      <c r="G297" s="62"/>
      <c r="I297" s="86" t="e">
        <f t="shared" si="11"/>
        <v>#DIV/0!</v>
      </c>
      <c r="J297" s="87" t="e">
        <f t="shared" si="11"/>
        <v>#DIV/0!</v>
      </c>
      <c r="K297" s="87" t="e">
        <f t="shared" si="11"/>
        <v>#DIV/0!</v>
      </c>
      <c r="L297" s="87" t="e">
        <f t="shared" si="11"/>
        <v>#DIV/0!</v>
      </c>
      <c r="M297" s="88" t="e">
        <f t="shared" si="11"/>
        <v>#DIV/0!</v>
      </c>
      <c r="O297" s="121" t="str">
        <f t="shared" si="10"/>
        <v>חיפה מפרץ</v>
      </c>
      <c r="P297" s="121" t="str">
        <f t="shared" si="10"/>
        <v>קרית מוצקין</v>
      </c>
    </row>
    <row r="298" spans="1:16" x14ac:dyDescent="0.3">
      <c r="A298" s="61">
        <v>12</v>
      </c>
      <c r="B298" s="61">
        <v>7</v>
      </c>
      <c r="C298" s="60"/>
      <c r="G298" s="62"/>
      <c r="I298" s="86" t="e">
        <f t="shared" si="11"/>
        <v>#DIV/0!</v>
      </c>
      <c r="J298" s="87" t="e">
        <f t="shared" si="11"/>
        <v>#DIV/0!</v>
      </c>
      <c r="K298" s="87" t="e">
        <f t="shared" si="11"/>
        <v>#DIV/0!</v>
      </c>
      <c r="L298" s="87" t="e">
        <f t="shared" si="11"/>
        <v>#DIV/0!</v>
      </c>
      <c r="M298" s="88" t="e">
        <f t="shared" si="11"/>
        <v>#DIV/0!</v>
      </c>
      <c r="O298" s="121" t="str">
        <f t="shared" si="10"/>
        <v>חיפה מפרץ</v>
      </c>
      <c r="P298" s="121" t="str">
        <f t="shared" si="10"/>
        <v>קרית ביאליק</v>
      </c>
    </row>
    <row r="299" spans="1:16" x14ac:dyDescent="0.3">
      <c r="A299" s="61">
        <v>12</v>
      </c>
      <c r="B299" s="61">
        <v>8</v>
      </c>
      <c r="C299" s="60"/>
      <c r="G299" s="62"/>
      <c r="I299" s="86" t="e">
        <f t="shared" si="11"/>
        <v>#DIV/0!</v>
      </c>
      <c r="J299" s="87" t="e">
        <f t="shared" si="11"/>
        <v>#DIV/0!</v>
      </c>
      <c r="K299" s="87" t="e">
        <f t="shared" si="11"/>
        <v>#DIV/0!</v>
      </c>
      <c r="L299" s="87" t="e">
        <f t="shared" si="11"/>
        <v>#DIV/0!</v>
      </c>
      <c r="M299" s="88" t="e">
        <f t="shared" si="11"/>
        <v>#DIV/0!</v>
      </c>
      <c r="O299" s="121" t="str">
        <f t="shared" si="10"/>
        <v>חיפה מפרץ</v>
      </c>
      <c r="P299" s="121" t="str">
        <f t="shared" si="10"/>
        <v>קרית חיים</v>
      </c>
    </row>
    <row r="300" spans="1:16" x14ac:dyDescent="0.3">
      <c r="A300" s="61">
        <v>12</v>
      </c>
      <c r="B300" s="61">
        <v>9</v>
      </c>
      <c r="C300" s="60"/>
      <c r="G300" s="62"/>
      <c r="I300" s="86" t="e">
        <f t="shared" si="11"/>
        <v>#DIV/0!</v>
      </c>
      <c r="J300" s="87" t="e">
        <f t="shared" si="11"/>
        <v>#DIV/0!</v>
      </c>
      <c r="K300" s="87" t="e">
        <f t="shared" si="11"/>
        <v>#DIV/0!</v>
      </c>
      <c r="L300" s="87" t="e">
        <f t="shared" si="11"/>
        <v>#DIV/0!</v>
      </c>
      <c r="M300" s="88" t="e">
        <f t="shared" si="11"/>
        <v>#DIV/0!</v>
      </c>
      <c r="O300" s="121" t="str">
        <f t="shared" si="10"/>
        <v>חיפה מפרץ</v>
      </c>
      <c r="P300" s="121" t="str">
        <f t="shared" si="10"/>
        <v>קרית אתא</v>
      </c>
    </row>
    <row r="301" spans="1:16" x14ac:dyDescent="0.3">
      <c r="A301" s="61">
        <v>12</v>
      </c>
      <c r="B301" s="61">
        <v>10</v>
      </c>
      <c r="C301" s="60"/>
      <c r="G301" s="62"/>
      <c r="I301" s="86" t="e">
        <f t="shared" si="11"/>
        <v>#DIV/0!</v>
      </c>
      <c r="J301" s="87" t="e">
        <f t="shared" si="11"/>
        <v>#DIV/0!</v>
      </c>
      <c r="K301" s="87" t="e">
        <f t="shared" si="11"/>
        <v>#DIV/0!</v>
      </c>
      <c r="L301" s="87" t="e">
        <f t="shared" si="11"/>
        <v>#DIV/0!</v>
      </c>
      <c r="M301" s="88" t="e">
        <f t="shared" si="11"/>
        <v>#DIV/0!</v>
      </c>
      <c r="O301" s="121" t="str">
        <f t="shared" si="10"/>
        <v>חיפה מפרץ</v>
      </c>
      <c r="P301" s="121" t="str">
        <f t="shared" si="10"/>
        <v>כפר מנדא</v>
      </c>
    </row>
    <row r="302" spans="1:16" x14ac:dyDescent="0.3">
      <c r="A302" s="61">
        <v>12</v>
      </c>
      <c r="B302" s="61">
        <v>11</v>
      </c>
      <c r="C302" s="60"/>
      <c r="G302" s="62"/>
      <c r="I302" s="86" t="e">
        <f t="shared" si="11"/>
        <v>#DIV/0!</v>
      </c>
      <c r="J302" s="87" t="e">
        <f t="shared" si="11"/>
        <v>#DIV/0!</v>
      </c>
      <c r="K302" s="87" t="e">
        <f t="shared" si="11"/>
        <v>#DIV/0!</v>
      </c>
      <c r="L302" s="87" t="e">
        <f t="shared" si="11"/>
        <v>#DIV/0!</v>
      </c>
      <c r="M302" s="88" t="e">
        <f t="shared" si="11"/>
        <v>#DIV/0!</v>
      </c>
      <c r="O302" s="121" t="str">
        <f t="shared" si="10"/>
        <v>חיפה מפרץ</v>
      </c>
      <c r="P302" s="121" t="str">
        <f t="shared" si="10"/>
        <v>זבולון</v>
      </c>
    </row>
    <row r="303" spans="1:16" x14ac:dyDescent="0.3">
      <c r="A303" s="61">
        <v>12</v>
      </c>
      <c r="B303" s="61">
        <v>12</v>
      </c>
      <c r="C303" s="60"/>
      <c r="G303" s="62"/>
      <c r="I303" s="86" t="e">
        <f t="shared" si="11"/>
        <v>#DIV/0!</v>
      </c>
      <c r="J303" s="87" t="e">
        <f t="shared" si="11"/>
        <v>#DIV/0!</v>
      </c>
      <c r="K303" s="87" t="e">
        <f t="shared" si="11"/>
        <v>#DIV/0!</v>
      </c>
      <c r="L303" s="87" t="e">
        <f t="shared" si="11"/>
        <v>#DIV/0!</v>
      </c>
      <c r="M303" s="88" t="e">
        <f t="shared" si="11"/>
        <v>#DIV/0!</v>
      </c>
      <c r="O303" s="121" t="str">
        <f t="shared" si="10"/>
        <v>חיפה מפרץ</v>
      </c>
      <c r="P303" s="121" t="str">
        <f t="shared" si="10"/>
        <v>חיפה מפרץ</v>
      </c>
    </row>
    <row r="304" spans="1:16" x14ac:dyDescent="0.3">
      <c r="A304" s="61">
        <v>12</v>
      </c>
      <c r="B304" s="61">
        <v>13</v>
      </c>
      <c r="C304" s="60"/>
      <c r="G304" s="62"/>
      <c r="I304" s="86" t="e">
        <f t="shared" si="11"/>
        <v>#DIV/0!</v>
      </c>
      <c r="J304" s="87" t="e">
        <f t="shared" si="11"/>
        <v>#DIV/0!</v>
      </c>
      <c r="K304" s="87" t="e">
        <f t="shared" si="11"/>
        <v>#DIV/0!</v>
      </c>
      <c r="L304" s="87" t="e">
        <f t="shared" si="11"/>
        <v>#DIV/0!</v>
      </c>
      <c r="M304" s="88" t="e">
        <f t="shared" si="11"/>
        <v>#DIV/0!</v>
      </c>
      <c r="O304" s="121" t="str">
        <f t="shared" si="10"/>
        <v>חיפה מפרץ</v>
      </c>
      <c r="P304" s="121" t="str">
        <f t="shared" si="10"/>
        <v>חיפה עיר תחתית</v>
      </c>
    </row>
    <row r="305" spans="1:16" x14ac:dyDescent="0.3">
      <c r="A305" s="61">
        <v>12</v>
      </c>
      <c r="B305" s="61">
        <v>14</v>
      </c>
      <c r="C305" s="60"/>
      <c r="G305" s="62"/>
      <c r="I305" s="86" t="e">
        <f t="shared" si="11"/>
        <v>#DIV/0!</v>
      </c>
      <c r="J305" s="87" t="e">
        <f t="shared" si="11"/>
        <v>#DIV/0!</v>
      </c>
      <c r="K305" s="87" t="e">
        <f t="shared" si="11"/>
        <v>#DIV/0!</v>
      </c>
      <c r="L305" s="87" t="e">
        <f t="shared" si="11"/>
        <v>#DIV/0!</v>
      </c>
      <c r="M305" s="88" t="e">
        <f t="shared" si="11"/>
        <v>#DIV/0!</v>
      </c>
      <c r="O305" s="121" t="str">
        <f t="shared" si="10"/>
        <v>חיפה מפרץ</v>
      </c>
      <c r="P305" s="121" t="str">
        <f t="shared" si="10"/>
        <v>חיפה הדר-כרמל</v>
      </c>
    </row>
    <row r="306" spans="1:16" x14ac:dyDescent="0.3">
      <c r="A306" s="61">
        <v>12</v>
      </c>
      <c r="B306" s="61">
        <v>15</v>
      </c>
      <c r="C306" s="60"/>
      <c r="G306" s="62"/>
      <c r="I306" s="86" t="e">
        <f t="shared" si="11"/>
        <v>#DIV/0!</v>
      </c>
      <c r="J306" s="87" t="e">
        <f t="shared" si="11"/>
        <v>#DIV/0!</v>
      </c>
      <c r="K306" s="87" t="e">
        <f t="shared" si="11"/>
        <v>#DIV/0!</v>
      </c>
      <c r="L306" s="87" t="e">
        <f t="shared" si="11"/>
        <v>#DIV/0!</v>
      </c>
      <c r="M306" s="88" t="e">
        <f t="shared" si="11"/>
        <v>#DIV/0!</v>
      </c>
      <c r="O306" s="121" t="str">
        <f t="shared" si="10"/>
        <v>חיפה מפרץ</v>
      </c>
      <c r="P306" s="121" t="str">
        <f t="shared" si="10"/>
        <v>חיפה מערב</v>
      </c>
    </row>
    <row r="307" spans="1:16" x14ac:dyDescent="0.3">
      <c r="A307" s="61">
        <v>12</v>
      </c>
      <c r="B307" s="61">
        <v>16</v>
      </c>
      <c r="C307" s="60"/>
      <c r="G307" s="62"/>
      <c r="I307" s="86" t="e">
        <f t="shared" si="11"/>
        <v>#DIV/0!</v>
      </c>
      <c r="J307" s="87" t="e">
        <f t="shared" si="11"/>
        <v>#DIV/0!</v>
      </c>
      <c r="K307" s="87" t="e">
        <f t="shared" si="11"/>
        <v>#DIV/0!</v>
      </c>
      <c r="L307" s="87" t="e">
        <f t="shared" si="11"/>
        <v>#DIV/0!</v>
      </c>
      <c r="M307" s="88" t="e">
        <f t="shared" si="11"/>
        <v>#DIV/0!</v>
      </c>
      <c r="O307" s="121" t="str">
        <f t="shared" si="10"/>
        <v>חיפה מפרץ</v>
      </c>
      <c r="P307" s="121" t="str">
        <f t="shared" si="10"/>
        <v>חיפה כרמל</v>
      </c>
    </row>
    <row r="308" spans="1:16" x14ac:dyDescent="0.3">
      <c r="A308" s="61">
        <v>12</v>
      </c>
      <c r="B308" s="61">
        <v>17</v>
      </c>
      <c r="C308" s="60"/>
      <c r="G308" s="62"/>
      <c r="I308" s="86" t="e">
        <f t="shared" si="11"/>
        <v>#DIV/0!</v>
      </c>
      <c r="J308" s="87" t="e">
        <f t="shared" si="11"/>
        <v>#DIV/0!</v>
      </c>
      <c r="K308" s="87" t="e">
        <f t="shared" si="11"/>
        <v>#DIV/0!</v>
      </c>
      <c r="L308" s="87" t="e">
        <f t="shared" si="11"/>
        <v>#DIV/0!</v>
      </c>
      <c r="M308" s="88" t="e">
        <f t="shared" si="11"/>
        <v>#DIV/0!</v>
      </c>
      <c r="O308" s="121" t="str">
        <f t="shared" si="10"/>
        <v>חיפה מפרץ</v>
      </c>
      <c r="P308" s="121" t="str">
        <f t="shared" si="10"/>
        <v>חיפה נווה שאנן</v>
      </c>
    </row>
    <row r="309" spans="1:16" x14ac:dyDescent="0.3">
      <c r="A309" s="61">
        <v>12</v>
      </c>
      <c r="B309" s="61">
        <v>18</v>
      </c>
      <c r="C309" s="60"/>
      <c r="G309" s="62"/>
      <c r="I309" s="86" t="e">
        <f t="shared" si="11"/>
        <v>#DIV/0!</v>
      </c>
      <c r="J309" s="87" t="e">
        <f t="shared" si="11"/>
        <v>#DIV/0!</v>
      </c>
      <c r="K309" s="87" t="e">
        <f t="shared" si="11"/>
        <v>#DIV/0!</v>
      </c>
      <c r="L309" s="87" t="e">
        <f t="shared" si="11"/>
        <v>#DIV/0!</v>
      </c>
      <c r="M309" s="88" t="e">
        <f t="shared" si="11"/>
        <v>#DIV/0!</v>
      </c>
      <c r="O309" s="121" t="str">
        <f t="shared" si="10"/>
        <v>חיפה מפרץ</v>
      </c>
      <c r="P309" s="121" t="str">
        <f t="shared" si="10"/>
        <v>נשר</v>
      </c>
    </row>
    <row r="310" spans="1:16" x14ac:dyDescent="0.3">
      <c r="A310" s="61">
        <v>12</v>
      </c>
      <c r="B310" s="61">
        <v>19</v>
      </c>
      <c r="C310" s="60"/>
      <c r="G310" s="62"/>
      <c r="I310" s="86" t="e">
        <f t="shared" si="11"/>
        <v>#DIV/0!</v>
      </c>
      <c r="J310" s="87" t="e">
        <f t="shared" si="11"/>
        <v>#DIV/0!</v>
      </c>
      <c r="K310" s="87" t="e">
        <f t="shared" si="11"/>
        <v>#DIV/0!</v>
      </c>
      <c r="L310" s="87" t="e">
        <f t="shared" si="11"/>
        <v>#DIV/0!</v>
      </c>
      <c r="M310" s="88" t="e">
        <f t="shared" si="11"/>
        <v>#DIV/0!</v>
      </c>
      <c r="O310" s="121" t="str">
        <f t="shared" si="10"/>
        <v>חיפה מפרץ</v>
      </c>
      <c r="P310" s="121" t="str">
        <f t="shared" si="10"/>
        <v>נצרת</v>
      </c>
    </row>
    <row r="311" spans="1:16" x14ac:dyDescent="0.3">
      <c r="A311" s="61">
        <v>12</v>
      </c>
      <c r="B311" s="61">
        <v>20</v>
      </c>
      <c r="C311" s="60"/>
      <c r="G311" s="62"/>
      <c r="I311" s="86" t="e">
        <f t="shared" si="11"/>
        <v>#DIV/0!</v>
      </c>
      <c r="J311" s="87" t="e">
        <f t="shared" si="11"/>
        <v>#DIV/0!</v>
      </c>
      <c r="K311" s="87" t="e">
        <f t="shared" si="11"/>
        <v>#DIV/0!</v>
      </c>
      <c r="L311" s="87" t="e">
        <f t="shared" si="11"/>
        <v>#DIV/0!</v>
      </c>
      <c r="M311" s="88" t="e">
        <f t="shared" si="11"/>
        <v>#DIV/0!</v>
      </c>
      <c r="O311" s="121" t="str">
        <f t="shared" si="10"/>
        <v>חיפה מפרץ</v>
      </c>
      <c r="P311" s="121" t="str">
        <f t="shared" si="10"/>
        <v>נצרת-עילית</v>
      </c>
    </row>
    <row r="312" spans="1:16" x14ac:dyDescent="0.3">
      <c r="A312" s="61">
        <v>12</v>
      </c>
      <c r="B312" s="61">
        <v>21</v>
      </c>
      <c r="C312" s="60"/>
      <c r="G312" s="62"/>
      <c r="I312" s="86" t="e">
        <f t="shared" si="11"/>
        <v>#DIV/0!</v>
      </c>
      <c r="J312" s="87" t="e">
        <f t="shared" si="11"/>
        <v>#DIV/0!</v>
      </c>
      <c r="K312" s="87" t="e">
        <f t="shared" si="11"/>
        <v>#DIV/0!</v>
      </c>
      <c r="L312" s="87" t="e">
        <f t="shared" si="11"/>
        <v>#DIV/0!</v>
      </c>
      <c r="M312" s="88" t="e">
        <f t="shared" si="11"/>
        <v>#DIV/0!</v>
      </c>
      <c r="O312" s="121" t="str">
        <f t="shared" si="10"/>
        <v>חיפה מפרץ</v>
      </c>
      <c r="P312" s="121" t="str">
        <f t="shared" si="10"/>
        <v>מגדל העמק</v>
      </c>
    </row>
    <row r="313" spans="1:16" x14ac:dyDescent="0.3">
      <c r="A313" s="61">
        <v>12</v>
      </c>
      <c r="B313" s="61">
        <v>22</v>
      </c>
      <c r="C313" s="60"/>
      <c r="G313" s="62"/>
      <c r="I313" s="86" t="e">
        <f t="shared" si="11"/>
        <v>#DIV/0!</v>
      </c>
      <c r="J313" s="87" t="e">
        <f t="shared" si="11"/>
        <v>#DIV/0!</v>
      </c>
      <c r="K313" s="87" t="e">
        <f t="shared" si="11"/>
        <v>#DIV/0!</v>
      </c>
      <c r="L313" s="87" t="e">
        <f t="shared" si="11"/>
        <v>#DIV/0!</v>
      </c>
      <c r="M313" s="88" t="e">
        <f t="shared" si="11"/>
        <v>#DIV/0!</v>
      </c>
      <c r="O313" s="121" t="str">
        <f t="shared" si="10"/>
        <v>חיפה מפרץ</v>
      </c>
      <c r="P313" s="121" t="str">
        <f t="shared" si="10"/>
        <v>יוקנעם</v>
      </c>
    </row>
    <row r="314" spans="1:16" x14ac:dyDescent="0.3">
      <c r="A314" s="61">
        <v>12</v>
      </c>
      <c r="B314" s="61">
        <v>23</v>
      </c>
      <c r="C314" s="60"/>
      <c r="G314" s="62"/>
      <c r="I314" s="86" t="e">
        <f t="shared" si="11"/>
        <v>#DIV/0!</v>
      </c>
      <c r="J314" s="87" t="e">
        <f t="shared" si="11"/>
        <v>#DIV/0!</v>
      </c>
      <c r="K314" s="87" t="e">
        <f t="shared" si="11"/>
        <v>#DIV/0!</v>
      </c>
      <c r="L314" s="87" t="e">
        <f t="shared" si="11"/>
        <v>#DIV/0!</v>
      </c>
      <c r="M314" s="88" t="e">
        <f t="shared" si="11"/>
        <v>#DIV/0!</v>
      </c>
      <c r="O314" s="121" t="str">
        <f t="shared" si="10"/>
        <v>חיפה מפרץ</v>
      </c>
      <c r="P314" s="121" t="str">
        <f t="shared" si="10"/>
        <v>דלית אל כרמל</v>
      </c>
    </row>
    <row r="315" spans="1:16" x14ac:dyDescent="0.3">
      <c r="A315" s="61">
        <v>12</v>
      </c>
      <c r="B315" s="61">
        <v>24</v>
      </c>
      <c r="C315" s="60"/>
      <c r="G315" s="62"/>
      <c r="I315" s="86" t="e">
        <f t="shared" si="11"/>
        <v>#DIV/0!</v>
      </c>
      <c r="J315" s="87" t="e">
        <f t="shared" si="11"/>
        <v>#DIV/0!</v>
      </c>
      <c r="K315" s="87" t="e">
        <f t="shared" si="11"/>
        <v>#DIV/0!</v>
      </c>
      <c r="L315" s="87" t="e">
        <f t="shared" si="11"/>
        <v>#DIV/0!</v>
      </c>
      <c r="M315" s="88" t="e">
        <f t="shared" si="11"/>
        <v>#DIV/0!</v>
      </c>
      <c r="O315" s="121" t="str">
        <f t="shared" si="10"/>
        <v>חיפה מפרץ</v>
      </c>
      <c r="P315" s="121" t="str">
        <f t="shared" si="10"/>
        <v>חוף הכרמל</v>
      </c>
    </row>
    <row r="316" spans="1:16" x14ac:dyDescent="0.3">
      <c r="A316" s="61">
        <v>12</v>
      </c>
      <c r="B316" s="61">
        <v>25</v>
      </c>
      <c r="C316" s="60"/>
      <c r="G316" s="62"/>
      <c r="I316" s="86" t="e">
        <f t="shared" si="11"/>
        <v>#DIV/0!</v>
      </c>
      <c r="J316" s="87" t="e">
        <f t="shared" si="11"/>
        <v>#DIV/0!</v>
      </c>
      <c r="K316" s="87" t="e">
        <f t="shared" si="11"/>
        <v>#DIV/0!</v>
      </c>
      <c r="L316" s="87" t="e">
        <f t="shared" si="11"/>
        <v>#DIV/0!</v>
      </c>
      <c r="M316" s="88" t="e">
        <f t="shared" si="11"/>
        <v>#DIV/0!</v>
      </c>
      <c r="O316" s="121" t="str">
        <f t="shared" si="10"/>
        <v>חיפה מפרץ</v>
      </c>
      <c r="P316" s="121" t="str">
        <f t="shared" si="10"/>
        <v>זכרון יעקב</v>
      </c>
    </row>
    <row r="317" spans="1:16" x14ac:dyDescent="0.3">
      <c r="A317" s="61">
        <v>12</v>
      </c>
      <c r="B317" s="61">
        <v>30</v>
      </c>
      <c r="C317" s="60"/>
      <c r="G317" s="62"/>
      <c r="I317" s="86" t="e">
        <f t="shared" si="11"/>
        <v>#DIV/0!</v>
      </c>
      <c r="J317" s="87" t="e">
        <f t="shared" si="11"/>
        <v>#DIV/0!</v>
      </c>
      <c r="K317" s="87" t="e">
        <f t="shared" si="11"/>
        <v>#DIV/0!</v>
      </c>
      <c r="L317" s="87" t="e">
        <f t="shared" si="11"/>
        <v>#DIV/0!</v>
      </c>
      <c r="M317" s="88" t="e">
        <f t="shared" si="11"/>
        <v>#DIV/0!</v>
      </c>
      <c r="O317" s="121" t="str">
        <f t="shared" si="10"/>
        <v>חיפה מפרץ</v>
      </c>
      <c r="P317" s="121" t="str">
        <f t="shared" si="10"/>
        <v>סכנין</v>
      </c>
    </row>
    <row r="318" spans="1:16" x14ac:dyDescent="0.3">
      <c r="A318" s="61">
        <v>13</v>
      </c>
      <c r="B318" s="61">
        <v>1</v>
      </c>
      <c r="C318" s="60"/>
      <c r="G318" s="62"/>
      <c r="I318" s="86" t="e">
        <f t="shared" si="11"/>
        <v>#DIV/0!</v>
      </c>
      <c r="J318" s="87" t="e">
        <f t="shared" si="11"/>
        <v>#DIV/0!</v>
      </c>
      <c r="K318" s="87" t="e">
        <f t="shared" si="11"/>
        <v>#DIV/0!</v>
      </c>
      <c r="L318" s="87" t="e">
        <f t="shared" si="11"/>
        <v>#DIV/0!</v>
      </c>
      <c r="M318" s="88" t="e">
        <f t="shared" si="11"/>
        <v>#DIV/0!</v>
      </c>
      <c r="O318" s="121" t="str">
        <f t="shared" si="10"/>
        <v>חיפה עיר תחתית</v>
      </c>
      <c r="P318" s="121" t="str">
        <f t="shared" si="10"/>
        <v>נהריה</v>
      </c>
    </row>
    <row r="319" spans="1:16" x14ac:dyDescent="0.3">
      <c r="A319" s="61">
        <v>13</v>
      </c>
      <c r="B319" s="61">
        <v>2</v>
      </c>
      <c r="C319" s="60"/>
      <c r="G319" s="62"/>
      <c r="I319" s="86" t="e">
        <f t="shared" si="11"/>
        <v>#DIV/0!</v>
      </c>
      <c r="J319" s="87" t="e">
        <f t="shared" si="11"/>
        <v>#DIV/0!</v>
      </c>
      <c r="K319" s="87" t="e">
        <f t="shared" si="11"/>
        <v>#DIV/0!</v>
      </c>
      <c r="L319" s="87" t="e">
        <f t="shared" si="11"/>
        <v>#DIV/0!</v>
      </c>
      <c r="M319" s="88" t="e">
        <f t="shared" si="11"/>
        <v>#DIV/0!</v>
      </c>
      <c r="O319" s="121" t="str">
        <f t="shared" si="10"/>
        <v>חיפה עיר תחתית</v>
      </c>
      <c r="P319" s="121" t="str">
        <f t="shared" si="10"/>
        <v>עכו</v>
      </c>
    </row>
    <row r="320" spans="1:16" x14ac:dyDescent="0.3">
      <c r="A320" s="61">
        <v>13</v>
      </c>
      <c r="B320" s="61">
        <v>3</v>
      </c>
      <c r="C320" s="60"/>
      <c r="G320" s="62"/>
      <c r="I320" s="86" t="e">
        <f t="shared" si="11"/>
        <v>#DIV/0!</v>
      </c>
      <c r="J320" s="87" t="e">
        <f t="shared" si="11"/>
        <v>#DIV/0!</v>
      </c>
      <c r="K320" s="87" t="e">
        <f t="shared" si="11"/>
        <v>#DIV/0!</v>
      </c>
      <c r="L320" s="87" t="e">
        <f t="shared" si="11"/>
        <v>#DIV/0!</v>
      </c>
      <c r="M320" s="88" t="e">
        <f t="shared" si="11"/>
        <v>#DIV/0!</v>
      </c>
      <c r="O320" s="121" t="str">
        <f t="shared" si="10"/>
        <v>חיפה עיר תחתית</v>
      </c>
      <c r="P320" s="121" t="str">
        <f t="shared" si="10"/>
        <v>כרמיאל</v>
      </c>
    </row>
    <row r="321" spans="1:16" x14ac:dyDescent="0.3">
      <c r="A321" s="61">
        <v>13</v>
      </c>
      <c r="B321" s="61">
        <v>4</v>
      </c>
      <c r="C321" s="60"/>
      <c r="G321" s="62"/>
      <c r="I321" s="86" t="e">
        <f t="shared" si="11"/>
        <v>#DIV/0!</v>
      </c>
      <c r="J321" s="87" t="e">
        <f t="shared" si="11"/>
        <v>#DIV/0!</v>
      </c>
      <c r="K321" s="87" t="e">
        <f t="shared" si="11"/>
        <v>#DIV/0!</v>
      </c>
      <c r="L321" s="87" t="e">
        <f t="shared" si="11"/>
        <v>#DIV/0!</v>
      </c>
      <c r="M321" s="88" t="e">
        <f t="shared" si="11"/>
        <v>#DIV/0!</v>
      </c>
      <c r="O321" s="121" t="str">
        <f t="shared" si="10"/>
        <v>חיפה עיר תחתית</v>
      </c>
      <c r="P321" s="121" t="str">
        <f t="shared" si="10"/>
        <v>שפרעם</v>
      </c>
    </row>
    <row r="322" spans="1:16" x14ac:dyDescent="0.3">
      <c r="A322" s="61">
        <v>13</v>
      </c>
      <c r="B322" s="61">
        <v>5</v>
      </c>
      <c r="C322" s="60"/>
      <c r="G322" s="62"/>
      <c r="I322" s="86" t="e">
        <f t="shared" si="11"/>
        <v>#DIV/0!</v>
      </c>
      <c r="J322" s="87" t="e">
        <f t="shared" si="11"/>
        <v>#DIV/0!</v>
      </c>
      <c r="K322" s="87" t="e">
        <f t="shared" si="11"/>
        <v>#DIV/0!</v>
      </c>
      <c r="L322" s="87" t="e">
        <f t="shared" si="11"/>
        <v>#DIV/0!</v>
      </c>
      <c r="M322" s="88" t="e">
        <f t="shared" si="11"/>
        <v>#DIV/0!</v>
      </c>
      <c r="O322" s="121" t="str">
        <f t="shared" si="10"/>
        <v>חיפה עיר תחתית</v>
      </c>
      <c r="P322" s="121" t="str">
        <f t="shared" si="10"/>
        <v>קרית ים</v>
      </c>
    </row>
    <row r="323" spans="1:16" x14ac:dyDescent="0.3">
      <c r="A323" s="61">
        <v>13</v>
      </c>
      <c r="B323" s="61">
        <v>6</v>
      </c>
      <c r="C323" s="60"/>
      <c r="G323" s="62"/>
      <c r="I323" s="86" t="e">
        <f t="shared" si="11"/>
        <v>#DIV/0!</v>
      </c>
      <c r="J323" s="87" t="e">
        <f t="shared" si="11"/>
        <v>#DIV/0!</v>
      </c>
      <c r="K323" s="87" t="e">
        <f t="shared" si="11"/>
        <v>#DIV/0!</v>
      </c>
      <c r="L323" s="87" t="e">
        <f t="shared" si="11"/>
        <v>#DIV/0!</v>
      </c>
      <c r="M323" s="88" t="e">
        <f t="shared" si="11"/>
        <v>#DIV/0!</v>
      </c>
      <c r="O323" s="121" t="str">
        <f t="shared" si="10"/>
        <v>חיפה עיר תחתית</v>
      </c>
      <c r="P323" s="121" t="str">
        <f t="shared" si="10"/>
        <v>קרית מוצקין</v>
      </c>
    </row>
    <row r="324" spans="1:16" x14ac:dyDescent="0.3">
      <c r="A324" s="61">
        <v>13</v>
      </c>
      <c r="B324" s="61">
        <v>7</v>
      </c>
      <c r="C324" s="60"/>
      <c r="G324" s="62"/>
      <c r="I324" s="86" t="e">
        <f t="shared" si="11"/>
        <v>#DIV/0!</v>
      </c>
      <c r="J324" s="87" t="e">
        <f t="shared" si="11"/>
        <v>#DIV/0!</v>
      </c>
      <c r="K324" s="87" t="e">
        <f t="shared" si="11"/>
        <v>#DIV/0!</v>
      </c>
      <c r="L324" s="87" t="e">
        <f t="shared" si="11"/>
        <v>#DIV/0!</v>
      </c>
      <c r="M324" s="88" t="e">
        <f t="shared" si="11"/>
        <v>#DIV/0!</v>
      </c>
      <c r="O324" s="121" t="str">
        <f t="shared" si="10"/>
        <v>חיפה עיר תחתית</v>
      </c>
      <c r="P324" s="121" t="str">
        <f t="shared" si="10"/>
        <v>קרית ביאליק</v>
      </c>
    </row>
    <row r="325" spans="1:16" x14ac:dyDescent="0.3">
      <c r="A325" s="61">
        <v>13</v>
      </c>
      <c r="B325" s="61">
        <v>8</v>
      </c>
      <c r="C325" s="60"/>
      <c r="G325" s="62"/>
      <c r="I325" s="86" t="e">
        <f t="shared" ref="I325:M375" si="12">C325/SUM($C325:$G325)</f>
        <v>#DIV/0!</v>
      </c>
      <c r="J325" s="87" t="e">
        <f t="shared" si="12"/>
        <v>#DIV/0!</v>
      </c>
      <c r="K325" s="87" t="e">
        <f t="shared" si="12"/>
        <v>#DIV/0!</v>
      </c>
      <c r="L325" s="87" t="e">
        <f t="shared" si="12"/>
        <v>#DIV/0!</v>
      </c>
      <c r="M325" s="88" t="e">
        <f t="shared" si="12"/>
        <v>#DIV/0!</v>
      </c>
      <c r="O325" s="121" t="str">
        <f t="shared" si="10"/>
        <v>חיפה עיר תחתית</v>
      </c>
      <c r="P325" s="121" t="str">
        <f t="shared" si="10"/>
        <v>קרית חיים</v>
      </c>
    </row>
    <row r="326" spans="1:16" x14ac:dyDescent="0.3">
      <c r="A326" s="61">
        <v>13</v>
      </c>
      <c r="B326" s="61">
        <v>9</v>
      </c>
      <c r="C326" s="60"/>
      <c r="G326" s="62"/>
      <c r="I326" s="86" t="e">
        <f t="shared" si="12"/>
        <v>#DIV/0!</v>
      </c>
      <c r="J326" s="87" t="e">
        <f t="shared" si="12"/>
        <v>#DIV/0!</v>
      </c>
      <c r="K326" s="87" t="e">
        <f t="shared" si="12"/>
        <v>#DIV/0!</v>
      </c>
      <c r="L326" s="87" t="e">
        <f t="shared" si="12"/>
        <v>#DIV/0!</v>
      </c>
      <c r="M326" s="88" t="e">
        <f t="shared" si="12"/>
        <v>#DIV/0!</v>
      </c>
      <c r="O326" s="121" t="str">
        <f t="shared" si="10"/>
        <v>חיפה עיר תחתית</v>
      </c>
      <c r="P326" s="121" t="str">
        <f t="shared" si="10"/>
        <v>קרית אתא</v>
      </c>
    </row>
    <row r="327" spans="1:16" x14ac:dyDescent="0.3">
      <c r="A327" s="61">
        <v>13</v>
      </c>
      <c r="B327" s="61">
        <v>10</v>
      </c>
      <c r="C327" s="60"/>
      <c r="G327" s="62"/>
      <c r="I327" s="86" t="e">
        <f t="shared" si="12"/>
        <v>#DIV/0!</v>
      </c>
      <c r="J327" s="87" t="e">
        <f t="shared" si="12"/>
        <v>#DIV/0!</v>
      </c>
      <c r="K327" s="87" t="e">
        <f t="shared" si="12"/>
        <v>#DIV/0!</v>
      </c>
      <c r="L327" s="87" t="e">
        <f t="shared" si="12"/>
        <v>#DIV/0!</v>
      </c>
      <c r="M327" s="88" t="e">
        <f t="shared" si="12"/>
        <v>#DIV/0!</v>
      </c>
      <c r="O327" s="121" t="str">
        <f t="shared" ref="O327:P390" si="13">VLOOKUP(A327,$S$6:$T$31,2,0)</f>
        <v>חיפה עיר תחתית</v>
      </c>
      <c r="P327" s="121" t="str">
        <f t="shared" si="13"/>
        <v>כפר מנדא</v>
      </c>
    </row>
    <row r="328" spans="1:16" x14ac:dyDescent="0.3">
      <c r="A328" s="61">
        <v>13</v>
      </c>
      <c r="B328" s="61">
        <v>11</v>
      </c>
      <c r="C328" s="60"/>
      <c r="G328" s="62"/>
      <c r="I328" s="86" t="e">
        <f t="shared" si="12"/>
        <v>#DIV/0!</v>
      </c>
      <c r="J328" s="87" t="e">
        <f t="shared" si="12"/>
        <v>#DIV/0!</v>
      </c>
      <c r="K328" s="87" t="e">
        <f t="shared" si="12"/>
        <v>#DIV/0!</v>
      </c>
      <c r="L328" s="87" t="e">
        <f t="shared" si="12"/>
        <v>#DIV/0!</v>
      </c>
      <c r="M328" s="88" t="e">
        <f t="shared" si="12"/>
        <v>#DIV/0!</v>
      </c>
      <c r="O328" s="121" t="str">
        <f t="shared" si="13"/>
        <v>חיפה עיר תחתית</v>
      </c>
      <c r="P328" s="121" t="str">
        <f t="shared" si="13"/>
        <v>זבולון</v>
      </c>
    </row>
    <row r="329" spans="1:16" x14ac:dyDescent="0.3">
      <c r="A329" s="61">
        <v>13</v>
      </c>
      <c r="B329" s="61">
        <v>12</v>
      </c>
      <c r="C329" s="60"/>
      <c r="G329" s="62"/>
      <c r="I329" s="86" t="e">
        <f t="shared" si="12"/>
        <v>#DIV/0!</v>
      </c>
      <c r="J329" s="87" t="e">
        <f t="shared" si="12"/>
        <v>#DIV/0!</v>
      </c>
      <c r="K329" s="87" t="e">
        <f t="shared" si="12"/>
        <v>#DIV/0!</v>
      </c>
      <c r="L329" s="87" t="e">
        <f t="shared" si="12"/>
        <v>#DIV/0!</v>
      </c>
      <c r="M329" s="88" t="e">
        <f t="shared" si="12"/>
        <v>#DIV/0!</v>
      </c>
      <c r="O329" s="121" t="str">
        <f t="shared" si="13"/>
        <v>חיפה עיר תחתית</v>
      </c>
      <c r="P329" s="121" t="str">
        <f t="shared" si="13"/>
        <v>חיפה מפרץ</v>
      </c>
    </row>
    <row r="330" spans="1:16" x14ac:dyDescent="0.3">
      <c r="A330" s="61">
        <v>13</v>
      </c>
      <c r="B330" s="61">
        <v>13</v>
      </c>
      <c r="C330" s="60"/>
      <c r="G330" s="62"/>
      <c r="I330" s="86" t="e">
        <f t="shared" si="12"/>
        <v>#DIV/0!</v>
      </c>
      <c r="J330" s="87" t="e">
        <f t="shared" si="12"/>
        <v>#DIV/0!</v>
      </c>
      <c r="K330" s="87" t="e">
        <f t="shared" si="12"/>
        <v>#DIV/0!</v>
      </c>
      <c r="L330" s="87" t="e">
        <f t="shared" si="12"/>
        <v>#DIV/0!</v>
      </c>
      <c r="M330" s="88" t="e">
        <f t="shared" si="12"/>
        <v>#DIV/0!</v>
      </c>
      <c r="O330" s="121" t="str">
        <f t="shared" si="13"/>
        <v>חיפה עיר תחתית</v>
      </c>
      <c r="P330" s="121" t="str">
        <f t="shared" si="13"/>
        <v>חיפה עיר תחתית</v>
      </c>
    </row>
    <row r="331" spans="1:16" x14ac:dyDescent="0.3">
      <c r="A331" s="61">
        <v>13</v>
      </c>
      <c r="B331" s="61">
        <v>14</v>
      </c>
      <c r="C331" s="60"/>
      <c r="G331" s="62"/>
      <c r="I331" s="86" t="e">
        <f t="shared" si="12"/>
        <v>#DIV/0!</v>
      </c>
      <c r="J331" s="87" t="e">
        <f t="shared" si="12"/>
        <v>#DIV/0!</v>
      </c>
      <c r="K331" s="87" t="e">
        <f t="shared" si="12"/>
        <v>#DIV/0!</v>
      </c>
      <c r="L331" s="87" t="e">
        <f t="shared" si="12"/>
        <v>#DIV/0!</v>
      </c>
      <c r="M331" s="88" t="e">
        <f t="shared" si="12"/>
        <v>#DIV/0!</v>
      </c>
      <c r="O331" s="121" t="str">
        <f t="shared" si="13"/>
        <v>חיפה עיר תחתית</v>
      </c>
      <c r="P331" s="121" t="str">
        <f t="shared" si="13"/>
        <v>חיפה הדר-כרמל</v>
      </c>
    </row>
    <row r="332" spans="1:16" x14ac:dyDescent="0.3">
      <c r="A332" s="61">
        <v>13</v>
      </c>
      <c r="B332" s="61">
        <v>15</v>
      </c>
      <c r="C332" s="60"/>
      <c r="G332" s="62"/>
      <c r="I332" s="86" t="e">
        <f t="shared" si="12"/>
        <v>#DIV/0!</v>
      </c>
      <c r="J332" s="87" t="e">
        <f t="shared" si="12"/>
        <v>#DIV/0!</v>
      </c>
      <c r="K332" s="87" t="e">
        <f t="shared" si="12"/>
        <v>#DIV/0!</v>
      </c>
      <c r="L332" s="87" t="e">
        <f t="shared" si="12"/>
        <v>#DIV/0!</v>
      </c>
      <c r="M332" s="88" t="e">
        <f t="shared" si="12"/>
        <v>#DIV/0!</v>
      </c>
      <c r="O332" s="121" t="str">
        <f t="shared" si="13"/>
        <v>חיפה עיר תחתית</v>
      </c>
      <c r="P332" s="121" t="str">
        <f t="shared" si="13"/>
        <v>חיפה מערב</v>
      </c>
    </row>
    <row r="333" spans="1:16" x14ac:dyDescent="0.3">
      <c r="A333" s="61">
        <v>13</v>
      </c>
      <c r="B333" s="61">
        <v>16</v>
      </c>
      <c r="C333" s="60"/>
      <c r="G333" s="62"/>
      <c r="I333" s="86" t="e">
        <f t="shared" si="12"/>
        <v>#DIV/0!</v>
      </c>
      <c r="J333" s="87" t="e">
        <f t="shared" si="12"/>
        <v>#DIV/0!</v>
      </c>
      <c r="K333" s="87" t="e">
        <f t="shared" si="12"/>
        <v>#DIV/0!</v>
      </c>
      <c r="L333" s="87" t="e">
        <f t="shared" si="12"/>
        <v>#DIV/0!</v>
      </c>
      <c r="M333" s="88" t="e">
        <f t="shared" si="12"/>
        <v>#DIV/0!</v>
      </c>
      <c r="O333" s="121" t="str">
        <f t="shared" si="13"/>
        <v>חיפה עיר תחתית</v>
      </c>
      <c r="P333" s="121" t="str">
        <f t="shared" si="13"/>
        <v>חיפה כרמל</v>
      </c>
    </row>
    <row r="334" spans="1:16" x14ac:dyDescent="0.3">
      <c r="A334" s="61">
        <v>13</v>
      </c>
      <c r="B334" s="61">
        <v>17</v>
      </c>
      <c r="C334" s="60"/>
      <c r="G334" s="62"/>
      <c r="I334" s="86" t="e">
        <f t="shared" si="12"/>
        <v>#DIV/0!</v>
      </c>
      <c r="J334" s="87" t="e">
        <f t="shared" si="12"/>
        <v>#DIV/0!</v>
      </c>
      <c r="K334" s="87" t="e">
        <f t="shared" si="12"/>
        <v>#DIV/0!</v>
      </c>
      <c r="L334" s="87" t="e">
        <f t="shared" si="12"/>
        <v>#DIV/0!</v>
      </c>
      <c r="M334" s="88" t="e">
        <f t="shared" si="12"/>
        <v>#DIV/0!</v>
      </c>
      <c r="O334" s="121" t="str">
        <f t="shared" si="13"/>
        <v>חיפה עיר תחתית</v>
      </c>
      <c r="P334" s="121" t="str">
        <f t="shared" si="13"/>
        <v>חיפה נווה שאנן</v>
      </c>
    </row>
    <row r="335" spans="1:16" x14ac:dyDescent="0.3">
      <c r="A335" s="61">
        <v>13</v>
      </c>
      <c r="B335" s="61">
        <v>18</v>
      </c>
      <c r="C335" s="60"/>
      <c r="G335" s="62"/>
      <c r="I335" s="86" t="e">
        <f t="shared" si="12"/>
        <v>#DIV/0!</v>
      </c>
      <c r="J335" s="87" t="e">
        <f t="shared" si="12"/>
        <v>#DIV/0!</v>
      </c>
      <c r="K335" s="87" t="e">
        <f t="shared" si="12"/>
        <v>#DIV/0!</v>
      </c>
      <c r="L335" s="87" t="e">
        <f t="shared" si="12"/>
        <v>#DIV/0!</v>
      </c>
      <c r="M335" s="88" t="e">
        <f t="shared" si="12"/>
        <v>#DIV/0!</v>
      </c>
      <c r="O335" s="121" t="str">
        <f t="shared" si="13"/>
        <v>חיפה עיר תחתית</v>
      </c>
      <c r="P335" s="121" t="str">
        <f t="shared" si="13"/>
        <v>נשר</v>
      </c>
    </row>
    <row r="336" spans="1:16" x14ac:dyDescent="0.3">
      <c r="A336" s="61">
        <v>13</v>
      </c>
      <c r="B336" s="61">
        <v>19</v>
      </c>
      <c r="C336" s="60"/>
      <c r="G336" s="62"/>
      <c r="I336" s="86" t="e">
        <f t="shared" si="12"/>
        <v>#DIV/0!</v>
      </c>
      <c r="J336" s="87" t="e">
        <f t="shared" si="12"/>
        <v>#DIV/0!</v>
      </c>
      <c r="K336" s="87" t="e">
        <f t="shared" si="12"/>
        <v>#DIV/0!</v>
      </c>
      <c r="L336" s="87" t="e">
        <f t="shared" si="12"/>
        <v>#DIV/0!</v>
      </c>
      <c r="M336" s="88" t="e">
        <f t="shared" si="12"/>
        <v>#DIV/0!</v>
      </c>
      <c r="O336" s="121" t="str">
        <f t="shared" si="13"/>
        <v>חיפה עיר תחתית</v>
      </c>
      <c r="P336" s="121" t="str">
        <f t="shared" si="13"/>
        <v>נצרת</v>
      </c>
    </row>
    <row r="337" spans="1:16" x14ac:dyDescent="0.3">
      <c r="A337" s="61">
        <v>13</v>
      </c>
      <c r="B337" s="61">
        <v>20</v>
      </c>
      <c r="C337" s="60"/>
      <c r="G337" s="62"/>
      <c r="I337" s="86" t="e">
        <f t="shared" si="12"/>
        <v>#DIV/0!</v>
      </c>
      <c r="J337" s="87" t="e">
        <f t="shared" si="12"/>
        <v>#DIV/0!</v>
      </c>
      <c r="K337" s="87" t="e">
        <f t="shared" si="12"/>
        <v>#DIV/0!</v>
      </c>
      <c r="L337" s="87" t="e">
        <f t="shared" si="12"/>
        <v>#DIV/0!</v>
      </c>
      <c r="M337" s="88" t="e">
        <f t="shared" si="12"/>
        <v>#DIV/0!</v>
      </c>
      <c r="O337" s="121" t="str">
        <f t="shared" si="13"/>
        <v>חיפה עיר תחתית</v>
      </c>
      <c r="P337" s="121" t="str">
        <f t="shared" si="13"/>
        <v>נצרת-עילית</v>
      </c>
    </row>
    <row r="338" spans="1:16" x14ac:dyDescent="0.3">
      <c r="A338" s="61">
        <v>13</v>
      </c>
      <c r="B338" s="61">
        <v>21</v>
      </c>
      <c r="C338" s="60"/>
      <c r="G338" s="62"/>
      <c r="I338" s="86" t="e">
        <f t="shared" si="12"/>
        <v>#DIV/0!</v>
      </c>
      <c r="J338" s="87" t="e">
        <f t="shared" si="12"/>
        <v>#DIV/0!</v>
      </c>
      <c r="K338" s="87" t="e">
        <f t="shared" si="12"/>
        <v>#DIV/0!</v>
      </c>
      <c r="L338" s="87" t="e">
        <f t="shared" si="12"/>
        <v>#DIV/0!</v>
      </c>
      <c r="M338" s="88" t="e">
        <f t="shared" si="12"/>
        <v>#DIV/0!</v>
      </c>
      <c r="O338" s="121" t="str">
        <f t="shared" si="13"/>
        <v>חיפה עיר תחתית</v>
      </c>
      <c r="P338" s="121" t="str">
        <f t="shared" si="13"/>
        <v>מגדל העמק</v>
      </c>
    </row>
    <row r="339" spans="1:16" x14ac:dyDescent="0.3">
      <c r="A339" s="61">
        <v>13</v>
      </c>
      <c r="B339" s="61">
        <v>22</v>
      </c>
      <c r="C339" s="60"/>
      <c r="G339" s="62"/>
      <c r="I339" s="86" t="e">
        <f t="shared" si="12"/>
        <v>#DIV/0!</v>
      </c>
      <c r="J339" s="87" t="e">
        <f t="shared" si="12"/>
        <v>#DIV/0!</v>
      </c>
      <c r="K339" s="87" t="e">
        <f t="shared" si="12"/>
        <v>#DIV/0!</v>
      </c>
      <c r="L339" s="87" t="e">
        <f t="shared" si="12"/>
        <v>#DIV/0!</v>
      </c>
      <c r="M339" s="88" t="e">
        <f t="shared" si="12"/>
        <v>#DIV/0!</v>
      </c>
      <c r="O339" s="121" t="str">
        <f t="shared" si="13"/>
        <v>חיפה עיר תחתית</v>
      </c>
      <c r="P339" s="121" t="str">
        <f t="shared" si="13"/>
        <v>יוקנעם</v>
      </c>
    </row>
    <row r="340" spans="1:16" x14ac:dyDescent="0.3">
      <c r="A340" s="61">
        <v>13</v>
      </c>
      <c r="B340" s="61">
        <v>23</v>
      </c>
      <c r="C340" s="60"/>
      <c r="G340" s="62"/>
      <c r="I340" s="86" t="e">
        <f t="shared" si="12"/>
        <v>#DIV/0!</v>
      </c>
      <c r="J340" s="87" t="e">
        <f t="shared" si="12"/>
        <v>#DIV/0!</v>
      </c>
      <c r="K340" s="87" t="e">
        <f t="shared" si="12"/>
        <v>#DIV/0!</v>
      </c>
      <c r="L340" s="87" t="e">
        <f t="shared" si="12"/>
        <v>#DIV/0!</v>
      </c>
      <c r="M340" s="88" t="e">
        <f t="shared" si="12"/>
        <v>#DIV/0!</v>
      </c>
      <c r="O340" s="121" t="str">
        <f t="shared" si="13"/>
        <v>חיפה עיר תחתית</v>
      </c>
      <c r="P340" s="121" t="str">
        <f t="shared" si="13"/>
        <v>דלית אל כרמל</v>
      </c>
    </row>
    <row r="341" spans="1:16" x14ac:dyDescent="0.3">
      <c r="A341" s="61">
        <v>13</v>
      </c>
      <c r="B341" s="61">
        <v>24</v>
      </c>
      <c r="C341" s="60"/>
      <c r="G341" s="62"/>
      <c r="I341" s="86" t="e">
        <f t="shared" si="12"/>
        <v>#DIV/0!</v>
      </c>
      <c r="J341" s="87" t="e">
        <f t="shared" si="12"/>
        <v>#DIV/0!</v>
      </c>
      <c r="K341" s="87" t="e">
        <f t="shared" si="12"/>
        <v>#DIV/0!</v>
      </c>
      <c r="L341" s="87" t="e">
        <f t="shared" si="12"/>
        <v>#DIV/0!</v>
      </c>
      <c r="M341" s="88" t="e">
        <f t="shared" si="12"/>
        <v>#DIV/0!</v>
      </c>
      <c r="O341" s="121" t="str">
        <f t="shared" si="13"/>
        <v>חיפה עיר תחתית</v>
      </c>
      <c r="P341" s="121" t="str">
        <f t="shared" si="13"/>
        <v>חוף הכרמל</v>
      </c>
    </row>
    <row r="342" spans="1:16" x14ac:dyDescent="0.3">
      <c r="A342" s="61">
        <v>13</v>
      </c>
      <c r="B342" s="61">
        <v>25</v>
      </c>
      <c r="C342" s="60"/>
      <c r="G342" s="62"/>
      <c r="I342" s="86" t="e">
        <f t="shared" si="12"/>
        <v>#DIV/0!</v>
      </c>
      <c r="J342" s="87" t="e">
        <f t="shared" si="12"/>
        <v>#DIV/0!</v>
      </c>
      <c r="K342" s="87" t="e">
        <f t="shared" si="12"/>
        <v>#DIV/0!</v>
      </c>
      <c r="L342" s="87" t="e">
        <f t="shared" si="12"/>
        <v>#DIV/0!</v>
      </c>
      <c r="M342" s="88" t="e">
        <f t="shared" si="12"/>
        <v>#DIV/0!</v>
      </c>
      <c r="O342" s="121" t="str">
        <f t="shared" si="13"/>
        <v>חיפה עיר תחתית</v>
      </c>
      <c r="P342" s="121" t="str">
        <f t="shared" si="13"/>
        <v>זכרון יעקב</v>
      </c>
    </row>
    <row r="343" spans="1:16" x14ac:dyDescent="0.3">
      <c r="A343" s="61">
        <v>13</v>
      </c>
      <c r="B343" s="61">
        <v>30</v>
      </c>
      <c r="C343" s="60"/>
      <c r="G343" s="62"/>
      <c r="I343" s="86" t="e">
        <f t="shared" si="12"/>
        <v>#DIV/0!</v>
      </c>
      <c r="J343" s="87" t="e">
        <f t="shared" si="12"/>
        <v>#DIV/0!</v>
      </c>
      <c r="K343" s="87" t="e">
        <f t="shared" si="12"/>
        <v>#DIV/0!</v>
      </c>
      <c r="L343" s="87" t="e">
        <f t="shared" si="12"/>
        <v>#DIV/0!</v>
      </c>
      <c r="M343" s="88" t="e">
        <f t="shared" si="12"/>
        <v>#DIV/0!</v>
      </c>
      <c r="O343" s="121" t="str">
        <f t="shared" si="13"/>
        <v>חיפה עיר תחתית</v>
      </c>
      <c r="P343" s="121" t="str">
        <f t="shared" si="13"/>
        <v>סכנין</v>
      </c>
    </row>
    <row r="344" spans="1:16" x14ac:dyDescent="0.3">
      <c r="A344" s="61">
        <v>14</v>
      </c>
      <c r="B344" s="61">
        <v>1</v>
      </c>
      <c r="C344" s="60"/>
      <c r="G344" s="62"/>
      <c r="I344" s="86" t="e">
        <f t="shared" si="12"/>
        <v>#DIV/0!</v>
      </c>
      <c r="J344" s="87" t="e">
        <f t="shared" si="12"/>
        <v>#DIV/0!</v>
      </c>
      <c r="K344" s="87" t="e">
        <f t="shared" si="12"/>
        <v>#DIV/0!</v>
      </c>
      <c r="L344" s="87" t="e">
        <f t="shared" si="12"/>
        <v>#DIV/0!</v>
      </c>
      <c r="M344" s="88" t="e">
        <f t="shared" si="12"/>
        <v>#DIV/0!</v>
      </c>
      <c r="O344" s="121" t="str">
        <f t="shared" si="13"/>
        <v>חיפה הדר-כרמל</v>
      </c>
      <c r="P344" s="121" t="str">
        <f t="shared" si="13"/>
        <v>נהריה</v>
      </c>
    </row>
    <row r="345" spans="1:16" x14ac:dyDescent="0.3">
      <c r="A345" s="61">
        <v>14</v>
      </c>
      <c r="B345" s="61">
        <v>2</v>
      </c>
      <c r="C345" s="60"/>
      <c r="G345" s="62"/>
      <c r="I345" s="86" t="e">
        <f t="shared" si="12"/>
        <v>#DIV/0!</v>
      </c>
      <c r="J345" s="87" t="e">
        <f t="shared" si="12"/>
        <v>#DIV/0!</v>
      </c>
      <c r="K345" s="87" t="e">
        <f t="shared" si="12"/>
        <v>#DIV/0!</v>
      </c>
      <c r="L345" s="87" t="e">
        <f t="shared" si="12"/>
        <v>#DIV/0!</v>
      </c>
      <c r="M345" s="88" t="e">
        <f t="shared" si="12"/>
        <v>#DIV/0!</v>
      </c>
      <c r="O345" s="121" t="str">
        <f t="shared" si="13"/>
        <v>חיפה הדר-כרמל</v>
      </c>
      <c r="P345" s="121" t="str">
        <f t="shared" si="13"/>
        <v>עכו</v>
      </c>
    </row>
    <row r="346" spans="1:16" x14ac:dyDescent="0.3">
      <c r="A346" s="61">
        <v>14</v>
      </c>
      <c r="B346" s="61">
        <v>3</v>
      </c>
      <c r="C346" s="60"/>
      <c r="G346" s="62"/>
      <c r="I346" s="86" t="e">
        <f t="shared" si="12"/>
        <v>#DIV/0!</v>
      </c>
      <c r="J346" s="87" t="e">
        <f t="shared" si="12"/>
        <v>#DIV/0!</v>
      </c>
      <c r="K346" s="87" t="e">
        <f t="shared" si="12"/>
        <v>#DIV/0!</v>
      </c>
      <c r="L346" s="87" t="e">
        <f t="shared" si="12"/>
        <v>#DIV/0!</v>
      </c>
      <c r="M346" s="88" t="e">
        <f t="shared" si="12"/>
        <v>#DIV/0!</v>
      </c>
      <c r="O346" s="121" t="str">
        <f t="shared" si="13"/>
        <v>חיפה הדר-כרמל</v>
      </c>
      <c r="P346" s="121" t="str">
        <f t="shared" si="13"/>
        <v>כרמיאל</v>
      </c>
    </row>
    <row r="347" spans="1:16" x14ac:dyDescent="0.3">
      <c r="A347" s="61">
        <v>14</v>
      </c>
      <c r="B347" s="61">
        <v>4</v>
      </c>
      <c r="C347" s="60"/>
      <c r="G347" s="62"/>
      <c r="I347" s="86" t="e">
        <f t="shared" si="12"/>
        <v>#DIV/0!</v>
      </c>
      <c r="J347" s="87" t="e">
        <f t="shared" si="12"/>
        <v>#DIV/0!</v>
      </c>
      <c r="K347" s="87" t="e">
        <f t="shared" si="12"/>
        <v>#DIV/0!</v>
      </c>
      <c r="L347" s="87" t="e">
        <f t="shared" si="12"/>
        <v>#DIV/0!</v>
      </c>
      <c r="M347" s="88" t="e">
        <f t="shared" si="12"/>
        <v>#DIV/0!</v>
      </c>
      <c r="O347" s="121" t="str">
        <f t="shared" si="13"/>
        <v>חיפה הדר-כרמל</v>
      </c>
      <c r="P347" s="121" t="str">
        <f t="shared" si="13"/>
        <v>שפרעם</v>
      </c>
    </row>
    <row r="348" spans="1:16" x14ac:dyDescent="0.3">
      <c r="A348" s="61">
        <v>14</v>
      </c>
      <c r="B348" s="61">
        <v>5</v>
      </c>
      <c r="C348" s="60"/>
      <c r="G348" s="62"/>
      <c r="I348" s="86" t="e">
        <f t="shared" si="12"/>
        <v>#DIV/0!</v>
      </c>
      <c r="J348" s="87" t="e">
        <f t="shared" si="12"/>
        <v>#DIV/0!</v>
      </c>
      <c r="K348" s="87" t="e">
        <f t="shared" si="12"/>
        <v>#DIV/0!</v>
      </c>
      <c r="L348" s="87" t="e">
        <f t="shared" si="12"/>
        <v>#DIV/0!</v>
      </c>
      <c r="M348" s="88" t="e">
        <f t="shared" si="12"/>
        <v>#DIV/0!</v>
      </c>
      <c r="O348" s="121" t="str">
        <f t="shared" si="13"/>
        <v>חיפה הדר-כרמל</v>
      </c>
      <c r="P348" s="121" t="str">
        <f t="shared" si="13"/>
        <v>קרית ים</v>
      </c>
    </row>
    <row r="349" spans="1:16" x14ac:dyDescent="0.3">
      <c r="A349" s="61">
        <v>14</v>
      </c>
      <c r="B349" s="61">
        <v>6</v>
      </c>
      <c r="C349" s="60"/>
      <c r="G349" s="62"/>
      <c r="I349" s="86" t="e">
        <f t="shared" si="12"/>
        <v>#DIV/0!</v>
      </c>
      <c r="J349" s="87" t="e">
        <f t="shared" si="12"/>
        <v>#DIV/0!</v>
      </c>
      <c r="K349" s="87" t="e">
        <f t="shared" si="12"/>
        <v>#DIV/0!</v>
      </c>
      <c r="L349" s="87" t="e">
        <f t="shared" si="12"/>
        <v>#DIV/0!</v>
      </c>
      <c r="M349" s="88" t="e">
        <f t="shared" si="12"/>
        <v>#DIV/0!</v>
      </c>
      <c r="O349" s="121" t="str">
        <f t="shared" si="13"/>
        <v>חיפה הדר-כרמל</v>
      </c>
      <c r="P349" s="121" t="str">
        <f t="shared" si="13"/>
        <v>קרית מוצקין</v>
      </c>
    </row>
    <row r="350" spans="1:16" x14ac:dyDescent="0.3">
      <c r="A350" s="61">
        <v>14</v>
      </c>
      <c r="B350" s="61">
        <v>7</v>
      </c>
      <c r="C350" s="60"/>
      <c r="G350" s="62"/>
      <c r="I350" s="86" t="e">
        <f t="shared" si="12"/>
        <v>#DIV/0!</v>
      </c>
      <c r="J350" s="87" t="e">
        <f t="shared" si="12"/>
        <v>#DIV/0!</v>
      </c>
      <c r="K350" s="87" t="e">
        <f t="shared" si="12"/>
        <v>#DIV/0!</v>
      </c>
      <c r="L350" s="87" t="e">
        <f t="shared" si="12"/>
        <v>#DIV/0!</v>
      </c>
      <c r="M350" s="88" t="e">
        <f t="shared" si="12"/>
        <v>#DIV/0!</v>
      </c>
      <c r="O350" s="121" t="str">
        <f t="shared" si="13"/>
        <v>חיפה הדר-כרמל</v>
      </c>
      <c r="P350" s="121" t="str">
        <f t="shared" si="13"/>
        <v>קרית ביאליק</v>
      </c>
    </row>
    <row r="351" spans="1:16" x14ac:dyDescent="0.3">
      <c r="A351" s="61">
        <v>14</v>
      </c>
      <c r="B351" s="61">
        <v>8</v>
      </c>
      <c r="C351" s="60"/>
      <c r="G351" s="62"/>
      <c r="I351" s="86" t="e">
        <f t="shared" si="12"/>
        <v>#DIV/0!</v>
      </c>
      <c r="J351" s="87" t="e">
        <f t="shared" si="12"/>
        <v>#DIV/0!</v>
      </c>
      <c r="K351" s="87" t="e">
        <f t="shared" si="12"/>
        <v>#DIV/0!</v>
      </c>
      <c r="L351" s="87" t="e">
        <f t="shared" si="12"/>
        <v>#DIV/0!</v>
      </c>
      <c r="M351" s="88" t="e">
        <f t="shared" si="12"/>
        <v>#DIV/0!</v>
      </c>
      <c r="O351" s="121" t="str">
        <f t="shared" si="13"/>
        <v>חיפה הדר-כרמל</v>
      </c>
      <c r="P351" s="121" t="str">
        <f t="shared" si="13"/>
        <v>קרית חיים</v>
      </c>
    </row>
    <row r="352" spans="1:16" x14ac:dyDescent="0.3">
      <c r="A352" s="61">
        <v>14</v>
      </c>
      <c r="B352" s="61">
        <v>9</v>
      </c>
      <c r="C352" s="60"/>
      <c r="G352" s="62"/>
      <c r="I352" s="86" t="e">
        <f t="shared" si="12"/>
        <v>#DIV/0!</v>
      </c>
      <c r="J352" s="87" t="e">
        <f t="shared" si="12"/>
        <v>#DIV/0!</v>
      </c>
      <c r="K352" s="87" t="e">
        <f t="shared" si="12"/>
        <v>#DIV/0!</v>
      </c>
      <c r="L352" s="87" t="e">
        <f t="shared" si="12"/>
        <v>#DIV/0!</v>
      </c>
      <c r="M352" s="88" t="e">
        <f t="shared" si="12"/>
        <v>#DIV/0!</v>
      </c>
      <c r="O352" s="121" t="str">
        <f t="shared" si="13"/>
        <v>חיפה הדר-כרמל</v>
      </c>
      <c r="P352" s="121" t="str">
        <f t="shared" si="13"/>
        <v>קרית אתא</v>
      </c>
    </row>
    <row r="353" spans="1:16" x14ac:dyDescent="0.3">
      <c r="A353" s="61">
        <v>14</v>
      </c>
      <c r="B353" s="61">
        <v>10</v>
      </c>
      <c r="C353" s="60"/>
      <c r="G353" s="62"/>
      <c r="I353" s="86" t="e">
        <f t="shared" si="12"/>
        <v>#DIV/0!</v>
      </c>
      <c r="J353" s="87" t="e">
        <f t="shared" si="12"/>
        <v>#DIV/0!</v>
      </c>
      <c r="K353" s="87" t="e">
        <f t="shared" si="12"/>
        <v>#DIV/0!</v>
      </c>
      <c r="L353" s="87" t="e">
        <f t="shared" si="12"/>
        <v>#DIV/0!</v>
      </c>
      <c r="M353" s="88" t="e">
        <f t="shared" si="12"/>
        <v>#DIV/0!</v>
      </c>
      <c r="O353" s="121" t="str">
        <f t="shared" si="13"/>
        <v>חיפה הדר-כרמל</v>
      </c>
      <c r="P353" s="121" t="str">
        <f t="shared" si="13"/>
        <v>כפר מנדא</v>
      </c>
    </row>
    <row r="354" spans="1:16" x14ac:dyDescent="0.3">
      <c r="A354" s="61">
        <v>14</v>
      </c>
      <c r="B354" s="61">
        <v>11</v>
      </c>
      <c r="C354" s="60"/>
      <c r="G354" s="62"/>
      <c r="I354" s="86" t="e">
        <f t="shared" si="12"/>
        <v>#DIV/0!</v>
      </c>
      <c r="J354" s="87" t="e">
        <f t="shared" si="12"/>
        <v>#DIV/0!</v>
      </c>
      <c r="K354" s="87" t="e">
        <f t="shared" si="12"/>
        <v>#DIV/0!</v>
      </c>
      <c r="L354" s="87" t="e">
        <f t="shared" si="12"/>
        <v>#DIV/0!</v>
      </c>
      <c r="M354" s="88" t="e">
        <f t="shared" si="12"/>
        <v>#DIV/0!</v>
      </c>
      <c r="O354" s="121" t="str">
        <f t="shared" si="13"/>
        <v>חיפה הדר-כרמל</v>
      </c>
      <c r="P354" s="121" t="str">
        <f t="shared" si="13"/>
        <v>זבולון</v>
      </c>
    </row>
    <row r="355" spans="1:16" x14ac:dyDescent="0.3">
      <c r="A355" s="61">
        <v>14</v>
      </c>
      <c r="B355" s="61">
        <v>12</v>
      </c>
      <c r="C355" s="60"/>
      <c r="G355" s="62"/>
      <c r="I355" s="86" t="e">
        <f t="shared" si="12"/>
        <v>#DIV/0!</v>
      </c>
      <c r="J355" s="87" t="e">
        <f t="shared" si="12"/>
        <v>#DIV/0!</v>
      </c>
      <c r="K355" s="87" t="e">
        <f t="shared" si="12"/>
        <v>#DIV/0!</v>
      </c>
      <c r="L355" s="87" t="e">
        <f t="shared" si="12"/>
        <v>#DIV/0!</v>
      </c>
      <c r="M355" s="88" t="e">
        <f t="shared" si="12"/>
        <v>#DIV/0!</v>
      </c>
      <c r="O355" s="121" t="str">
        <f t="shared" si="13"/>
        <v>חיפה הדר-כרמל</v>
      </c>
      <c r="P355" s="121" t="str">
        <f t="shared" si="13"/>
        <v>חיפה מפרץ</v>
      </c>
    </row>
    <row r="356" spans="1:16" x14ac:dyDescent="0.3">
      <c r="A356" s="61">
        <v>14</v>
      </c>
      <c r="B356" s="61">
        <v>13</v>
      </c>
      <c r="C356" s="60"/>
      <c r="G356" s="62"/>
      <c r="I356" s="86" t="e">
        <f t="shared" si="12"/>
        <v>#DIV/0!</v>
      </c>
      <c r="J356" s="87" t="e">
        <f t="shared" si="12"/>
        <v>#DIV/0!</v>
      </c>
      <c r="K356" s="87" t="e">
        <f t="shared" si="12"/>
        <v>#DIV/0!</v>
      </c>
      <c r="L356" s="87" t="e">
        <f t="shared" si="12"/>
        <v>#DIV/0!</v>
      </c>
      <c r="M356" s="88" t="e">
        <f t="shared" si="12"/>
        <v>#DIV/0!</v>
      </c>
      <c r="O356" s="121" t="str">
        <f t="shared" si="13"/>
        <v>חיפה הדר-כרמל</v>
      </c>
      <c r="P356" s="121" t="str">
        <f t="shared" si="13"/>
        <v>חיפה עיר תחתית</v>
      </c>
    </row>
    <row r="357" spans="1:16" x14ac:dyDescent="0.3">
      <c r="A357" s="61">
        <v>14</v>
      </c>
      <c r="B357" s="61">
        <v>14</v>
      </c>
      <c r="C357" s="60"/>
      <c r="G357" s="62"/>
      <c r="I357" s="86" t="e">
        <f t="shared" si="12"/>
        <v>#DIV/0!</v>
      </c>
      <c r="J357" s="87" t="e">
        <f t="shared" si="12"/>
        <v>#DIV/0!</v>
      </c>
      <c r="K357" s="87" t="e">
        <f t="shared" si="12"/>
        <v>#DIV/0!</v>
      </c>
      <c r="L357" s="87" t="e">
        <f t="shared" si="12"/>
        <v>#DIV/0!</v>
      </c>
      <c r="M357" s="88" t="e">
        <f t="shared" si="12"/>
        <v>#DIV/0!</v>
      </c>
      <c r="O357" s="121" t="str">
        <f t="shared" si="13"/>
        <v>חיפה הדר-כרמל</v>
      </c>
      <c r="P357" s="121" t="str">
        <f t="shared" si="13"/>
        <v>חיפה הדר-כרמל</v>
      </c>
    </row>
    <row r="358" spans="1:16" x14ac:dyDescent="0.3">
      <c r="A358" s="61">
        <v>14</v>
      </c>
      <c r="B358" s="61">
        <v>15</v>
      </c>
      <c r="C358" s="60"/>
      <c r="G358" s="62"/>
      <c r="I358" s="86" t="e">
        <f t="shared" si="12"/>
        <v>#DIV/0!</v>
      </c>
      <c r="J358" s="87" t="e">
        <f t="shared" si="12"/>
        <v>#DIV/0!</v>
      </c>
      <c r="K358" s="87" t="e">
        <f t="shared" si="12"/>
        <v>#DIV/0!</v>
      </c>
      <c r="L358" s="87" t="e">
        <f t="shared" si="12"/>
        <v>#DIV/0!</v>
      </c>
      <c r="M358" s="88" t="e">
        <f t="shared" si="12"/>
        <v>#DIV/0!</v>
      </c>
      <c r="O358" s="121" t="str">
        <f t="shared" si="13"/>
        <v>חיפה הדר-כרמל</v>
      </c>
      <c r="P358" s="121" t="str">
        <f t="shared" si="13"/>
        <v>חיפה מערב</v>
      </c>
    </row>
    <row r="359" spans="1:16" x14ac:dyDescent="0.3">
      <c r="A359" s="61">
        <v>14</v>
      </c>
      <c r="B359" s="61">
        <v>16</v>
      </c>
      <c r="C359" s="60"/>
      <c r="G359" s="62"/>
      <c r="I359" s="86" t="e">
        <f t="shared" si="12"/>
        <v>#DIV/0!</v>
      </c>
      <c r="J359" s="87" t="e">
        <f t="shared" si="12"/>
        <v>#DIV/0!</v>
      </c>
      <c r="K359" s="87" t="e">
        <f t="shared" si="12"/>
        <v>#DIV/0!</v>
      </c>
      <c r="L359" s="87" t="e">
        <f t="shared" si="12"/>
        <v>#DIV/0!</v>
      </c>
      <c r="M359" s="88" t="e">
        <f t="shared" si="12"/>
        <v>#DIV/0!</v>
      </c>
      <c r="O359" s="121" t="str">
        <f t="shared" si="13"/>
        <v>חיפה הדר-כרמל</v>
      </c>
      <c r="P359" s="121" t="str">
        <f t="shared" si="13"/>
        <v>חיפה כרמל</v>
      </c>
    </row>
    <row r="360" spans="1:16" x14ac:dyDescent="0.3">
      <c r="A360" s="61">
        <v>14</v>
      </c>
      <c r="B360" s="61">
        <v>17</v>
      </c>
      <c r="C360" s="60"/>
      <c r="G360" s="62"/>
      <c r="I360" s="86" t="e">
        <f t="shared" si="12"/>
        <v>#DIV/0!</v>
      </c>
      <c r="J360" s="87" t="e">
        <f t="shared" si="12"/>
        <v>#DIV/0!</v>
      </c>
      <c r="K360" s="87" t="e">
        <f t="shared" si="12"/>
        <v>#DIV/0!</v>
      </c>
      <c r="L360" s="87" t="e">
        <f t="shared" si="12"/>
        <v>#DIV/0!</v>
      </c>
      <c r="M360" s="88" t="e">
        <f t="shared" si="12"/>
        <v>#DIV/0!</v>
      </c>
      <c r="O360" s="121" t="str">
        <f t="shared" si="13"/>
        <v>חיפה הדר-כרמל</v>
      </c>
      <c r="P360" s="121" t="str">
        <f t="shared" si="13"/>
        <v>חיפה נווה שאנן</v>
      </c>
    </row>
    <row r="361" spans="1:16" x14ac:dyDescent="0.3">
      <c r="A361" s="61">
        <v>14</v>
      </c>
      <c r="B361" s="61">
        <v>18</v>
      </c>
      <c r="C361" s="60"/>
      <c r="G361" s="62"/>
      <c r="I361" s="86" t="e">
        <f t="shared" si="12"/>
        <v>#DIV/0!</v>
      </c>
      <c r="J361" s="87" t="e">
        <f t="shared" si="12"/>
        <v>#DIV/0!</v>
      </c>
      <c r="K361" s="87" t="e">
        <f t="shared" si="12"/>
        <v>#DIV/0!</v>
      </c>
      <c r="L361" s="87" t="e">
        <f t="shared" si="12"/>
        <v>#DIV/0!</v>
      </c>
      <c r="M361" s="88" t="e">
        <f t="shared" si="12"/>
        <v>#DIV/0!</v>
      </c>
      <c r="O361" s="121" t="str">
        <f t="shared" si="13"/>
        <v>חיפה הדר-כרמל</v>
      </c>
      <c r="P361" s="121" t="str">
        <f t="shared" si="13"/>
        <v>נשר</v>
      </c>
    </row>
    <row r="362" spans="1:16" x14ac:dyDescent="0.3">
      <c r="A362" s="61">
        <v>14</v>
      </c>
      <c r="B362" s="61">
        <v>19</v>
      </c>
      <c r="C362" s="60"/>
      <c r="G362" s="62"/>
      <c r="I362" s="86" t="e">
        <f t="shared" si="12"/>
        <v>#DIV/0!</v>
      </c>
      <c r="J362" s="87" t="e">
        <f t="shared" si="12"/>
        <v>#DIV/0!</v>
      </c>
      <c r="K362" s="87" t="e">
        <f t="shared" si="12"/>
        <v>#DIV/0!</v>
      </c>
      <c r="L362" s="87" t="e">
        <f t="shared" si="12"/>
        <v>#DIV/0!</v>
      </c>
      <c r="M362" s="88" t="e">
        <f t="shared" si="12"/>
        <v>#DIV/0!</v>
      </c>
      <c r="O362" s="121" t="str">
        <f t="shared" si="13"/>
        <v>חיפה הדר-כרמל</v>
      </c>
      <c r="P362" s="121" t="str">
        <f t="shared" si="13"/>
        <v>נצרת</v>
      </c>
    </row>
    <row r="363" spans="1:16" x14ac:dyDescent="0.3">
      <c r="A363" s="61">
        <v>14</v>
      </c>
      <c r="B363" s="61">
        <v>20</v>
      </c>
      <c r="C363" s="60"/>
      <c r="G363" s="62"/>
      <c r="I363" s="86" t="e">
        <f t="shared" si="12"/>
        <v>#DIV/0!</v>
      </c>
      <c r="J363" s="87" t="e">
        <f t="shared" si="12"/>
        <v>#DIV/0!</v>
      </c>
      <c r="K363" s="87" t="e">
        <f t="shared" si="12"/>
        <v>#DIV/0!</v>
      </c>
      <c r="L363" s="87" t="e">
        <f t="shared" si="12"/>
        <v>#DIV/0!</v>
      </c>
      <c r="M363" s="88" t="e">
        <f t="shared" si="12"/>
        <v>#DIV/0!</v>
      </c>
      <c r="O363" s="121" t="str">
        <f t="shared" si="13"/>
        <v>חיפה הדר-כרמל</v>
      </c>
      <c r="P363" s="121" t="str">
        <f t="shared" si="13"/>
        <v>נצרת-עילית</v>
      </c>
    </row>
    <row r="364" spans="1:16" x14ac:dyDescent="0.3">
      <c r="A364" s="61">
        <v>14</v>
      </c>
      <c r="B364" s="61">
        <v>21</v>
      </c>
      <c r="C364" s="60"/>
      <c r="G364" s="62"/>
      <c r="I364" s="86" t="e">
        <f t="shared" si="12"/>
        <v>#DIV/0!</v>
      </c>
      <c r="J364" s="87" t="e">
        <f t="shared" si="12"/>
        <v>#DIV/0!</v>
      </c>
      <c r="K364" s="87" t="e">
        <f t="shared" si="12"/>
        <v>#DIV/0!</v>
      </c>
      <c r="L364" s="87" t="e">
        <f t="shared" si="12"/>
        <v>#DIV/0!</v>
      </c>
      <c r="M364" s="88" t="e">
        <f t="shared" si="12"/>
        <v>#DIV/0!</v>
      </c>
      <c r="O364" s="121" t="str">
        <f t="shared" si="13"/>
        <v>חיפה הדר-כרמל</v>
      </c>
      <c r="P364" s="121" t="str">
        <f t="shared" si="13"/>
        <v>מגדל העמק</v>
      </c>
    </row>
    <row r="365" spans="1:16" x14ac:dyDescent="0.3">
      <c r="A365" s="61">
        <v>14</v>
      </c>
      <c r="B365" s="61">
        <v>22</v>
      </c>
      <c r="C365" s="60"/>
      <c r="G365" s="62"/>
      <c r="I365" s="86" t="e">
        <f t="shared" si="12"/>
        <v>#DIV/0!</v>
      </c>
      <c r="J365" s="87" t="e">
        <f t="shared" si="12"/>
        <v>#DIV/0!</v>
      </c>
      <c r="K365" s="87" t="e">
        <f t="shared" si="12"/>
        <v>#DIV/0!</v>
      </c>
      <c r="L365" s="87" t="e">
        <f t="shared" si="12"/>
        <v>#DIV/0!</v>
      </c>
      <c r="M365" s="88" t="e">
        <f t="shared" si="12"/>
        <v>#DIV/0!</v>
      </c>
      <c r="O365" s="121" t="str">
        <f t="shared" si="13"/>
        <v>חיפה הדר-כרמל</v>
      </c>
      <c r="P365" s="121" t="str">
        <f t="shared" si="13"/>
        <v>יוקנעם</v>
      </c>
    </row>
    <row r="366" spans="1:16" x14ac:dyDescent="0.3">
      <c r="A366" s="61">
        <v>14</v>
      </c>
      <c r="B366" s="61">
        <v>23</v>
      </c>
      <c r="C366" s="60"/>
      <c r="G366" s="62"/>
      <c r="I366" s="86" t="e">
        <f t="shared" si="12"/>
        <v>#DIV/0!</v>
      </c>
      <c r="J366" s="87" t="e">
        <f t="shared" si="12"/>
        <v>#DIV/0!</v>
      </c>
      <c r="K366" s="87" t="e">
        <f t="shared" si="12"/>
        <v>#DIV/0!</v>
      </c>
      <c r="L366" s="87" t="e">
        <f t="shared" si="12"/>
        <v>#DIV/0!</v>
      </c>
      <c r="M366" s="88" t="e">
        <f t="shared" si="12"/>
        <v>#DIV/0!</v>
      </c>
      <c r="O366" s="121" t="str">
        <f t="shared" si="13"/>
        <v>חיפה הדר-כרמל</v>
      </c>
      <c r="P366" s="121" t="str">
        <f t="shared" si="13"/>
        <v>דלית אל כרמל</v>
      </c>
    </row>
    <row r="367" spans="1:16" x14ac:dyDescent="0.3">
      <c r="A367" s="61">
        <v>14</v>
      </c>
      <c r="B367" s="61">
        <v>24</v>
      </c>
      <c r="C367" s="60"/>
      <c r="G367" s="62"/>
      <c r="I367" s="86" t="e">
        <f t="shared" si="12"/>
        <v>#DIV/0!</v>
      </c>
      <c r="J367" s="87" t="e">
        <f t="shared" si="12"/>
        <v>#DIV/0!</v>
      </c>
      <c r="K367" s="87" t="e">
        <f t="shared" si="12"/>
        <v>#DIV/0!</v>
      </c>
      <c r="L367" s="87" t="e">
        <f t="shared" si="12"/>
        <v>#DIV/0!</v>
      </c>
      <c r="M367" s="88" t="e">
        <f t="shared" si="12"/>
        <v>#DIV/0!</v>
      </c>
      <c r="O367" s="121" t="str">
        <f t="shared" si="13"/>
        <v>חיפה הדר-כרמל</v>
      </c>
      <c r="P367" s="121" t="str">
        <f t="shared" si="13"/>
        <v>חוף הכרמל</v>
      </c>
    </row>
    <row r="368" spans="1:16" x14ac:dyDescent="0.3">
      <c r="A368" s="61">
        <v>14</v>
      </c>
      <c r="B368" s="61">
        <v>25</v>
      </c>
      <c r="C368" s="60"/>
      <c r="G368" s="62"/>
      <c r="I368" s="86" t="e">
        <f t="shared" si="12"/>
        <v>#DIV/0!</v>
      </c>
      <c r="J368" s="87" t="e">
        <f t="shared" si="12"/>
        <v>#DIV/0!</v>
      </c>
      <c r="K368" s="87" t="e">
        <f t="shared" si="12"/>
        <v>#DIV/0!</v>
      </c>
      <c r="L368" s="87" t="e">
        <f t="shared" si="12"/>
        <v>#DIV/0!</v>
      </c>
      <c r="M368" s="88" t="e">
        <f t="shared" si="12"/>
        <v>#DIV/0!</v>
      </c>
      <c r="O368" s="121" t="str">
        <f t="shared" si="13"/>
        <v>חיפה הדר-כרמל</v>
      </c>
      <c r="P368" s="121" t="str">
        <f t="shared" si="13"/>
        <v>זכרון יעקב</v>
      </c>
    </row>
    <row r="369" spans="1:16" x14ac:dyDescent="0.3">
      <c r="A369" s="61">
        <v>14</v>
      </c>
      <c r="B369" s="61">
        <v>30</v>
      </c>
      <c r="C369" s="60"/>
      <c r="G369" s="62"/>
      <c r="I369" s="86" t="e">
        <f t="shared" si="12"/>
        <v>#DIV/0!</v>
      </c>
      <c r="J369" s="87" t="e">
        <f t="shared" si="12"/>
        <v>#DIV/0!</v>
      </c>
      <c r="K369" s="87" t="e">
        <f t="shared" si="12"/>
        <v>#DIV/0!</v>
      </c>
      <c r="L369" s="87" t="e">
        <f t="shared" si="12"/>
        <v>#DIV/0!</v>
      </c>
      <c r="M369" s="88" t="e">
        <f t="shared" si="12"/>
        <v>#DIV/0!</v>
      </c>
      <c r="O369" s="121" t="str">
        <f t="shared" si="13"/>
        <v>חיפה הדר-כרמל</v>
      </c>
      <c r="P369" s="121" t="str">
        <f t="shared" si="13"/>
        <v>סכנין</v>
      </c>
    </row>
    <row r="370" spans="1:16" x14ac:dyDescent="0.3">
      <c r="A370" s="61">
        <v>15</v>
      </c>
      <c r="B370" s="61">
        <v>1</v>
      </c>
      <c r="C370" s="60"/>
      <c r="G370" s="62"/>
      <c r="I370" s="86" t="e">
        <f t="shared" si="12"/>
        <v>#DIV/0!</v>
      </c>
      <c r="J370" s="87" t="e">
        <f t="shared" si="12"/>
        <v>#DIV/0!</v>
      </c>
      <c r="K370" s="87" t="e">
        <f t="shared" si="12"/>
        <v>#DIV/0!</v>
      </c>
      <c r="L370" s="87" t="e">
        <f t="shared" si="12"/>
        <v>#DIV/0!</v>
      </c>
      <c r="M370" s="88" t="e">
        <f t="shared" si="12"/>
        <v>#DIV/0!</v>
      </c>
      <c r="O370" s="121" t="str">
        <f t="shared" si="13"/>
        <v>חיפה מערב</v>
      </c>
      <c r="P370" s="121" t="str">
        <f t="shared" si="13"/>
        <v>נהריה</v>
      </c>
    </row>
    <row r="371" spans="1:16" x14ac:dyDescent="0.3">
      <c r="A371" s="61">
        <v>15</v>
      </c>
      <c r="B371" s="61">
        <v>2</v>
      </c>
      <c r="C371" s="60"/>
      <c r="G371" s="62"/>
      <c r="I371" s="86" t="e">
        <f t="shared" si="12"/>
        <v>#DIV/0!</v>
      </c>
      <c r="J371" s="87" t="e">
        <f t="shared" si="12"/>
        <v>#DIV/0!</v>
      </c>
      <c r="K371" s="87" t="e">
        <f t="shared" si="12"/>
        <v>#DIV/0!</v>
      </c>
      <c r="L371" s="87" t="e">
        <f t="shared" si="12"/>
        <v>#DIV/0!</v>
      </c>
      <c r="M371" s="88" t="e">
        <f t="shared" si="12"/>
        <v>#DIV/0!</v>
      </c>
      <c r="O371" s="121" t="str">
        <f t="shared" si="13"/>
        <v>חיפה מערב</v>
      </c>
      <c r="P371" s="121" t="str">
        <f t="shared" si="13"/>
        <v>עכו</v>
      </c>
    </row>
    <row r="372" spans="1:16" x14ac:dyDescent="0.3">
      <c r="A372" s="61">
        <v>15</v>
      </c>
      <c r="B372" s="61">
        <v>3</v>
      </c>
      <c r="C372" s="60"/>
      <c r="G372" s="62"/>
      <c r="I372" s="86" t="e">
        <f t="shared" si="12"/>
        <v>#DIV/0!</v>
      </c>
      <c r="J372" s="87" t="e">
        <f t="shared" si="12"/>
        <v>#DIV/0!</v>
      </c>
      <c r="K372" s="87" t="e">
        <f t="shared" si="12"/>
        <v>#DIV/0!</v>
      </c>
      <c r="L372" s="87" t="e">
        <f t="shared" si="12"/>
        <v>#DIV/0!</v>
      </c>
      <c r="M372" s="88" t="e">
        <f t="shared" si="12"/>
        <v>#DIV/0!</v>
      </c>
      <c r="O372" s="121" t="str">
        <f t="shared" si="13"/>
        <v>חיפה מערב</v>
      </c>
      <c r="P372" s="121" t="str">
        <f t="shared" si="13"/>
        <v>כרמיאל</v>
      </c>
    </row>
    <row r="373" spans="1:16" x14ac:dyDescent="0.3">
      <c r="A373" s="61">
        <v>15</v>
      </c>
      <c r="B373" s="61">
        <v>4</v>
      </c>
      <c r="C373" s="60"/>
      <c r="G373" s="62"/>
      <c r="I373" s="86" t="e">
        <f t="shared" si="12"/>
        <v>#DIV/0!</v>
      </c>
      <c r="J373" s="87" t="e">
        <f t="shared" si="12"/>
        <v>#DIV/0!</v>
      </c>
      <c r="K373" s="87" t="e">
        <f t="shared" si="12"/>
        <v>#DIV/0!</v>
      </c>
      <c r="L373" s="87" t="e">
        <f t="shared" si="12"/>
        <v>#DIV/0!</v>
      </c>
      <c r="M373" s="88" t="e">
        <f t="shared" si="12"/>
        <v>#DIV/0!</v>
      </c>
      <c r="O373" s="121" t="str">
        <f t="shared" si="13"/>
        <v>חיפה מערב</v>
      </c>
      <c r="P373" s="121" t="str">
        <f t="shared" si="13"/>
        <v>שפרעם</v>
      </c>
    </row>
    <row r="374" spans="1:16" x14ac:dyDescent="0.3">
      <c r="A374" s="61">
        <v>15</v>
      </c>
      <c r="B374" s="61">
        <v>5</v>
      </c>
      <c r="C374" s="60"/>
      <c r="G374" s="62"/>
      <c r="I374" s="86" t="e">
        <f t="shared" si="12"/>
        <v>#DIV/0!</v>
      </c>
      <c r="J374" s="87" t="e">
        <f t="shared" si="12"/>
        <v>#DIV/0!</v>
      </c>
      <c r="K374" s="87" t="e">
        <f t="shared" si="12"/>
        <v>#DIV/0!</v>
      </c>
      <c r="L374" s="87" t="e">
        <f t="shared" si="12"/>
        <v>#DIV/0!</v>
      </c>
      <c r="M374" s="88" t="e">
        <f t="shared" si="12"/>
        <v>#DIV/0!</v>
      </c>
      <c r="O374" s="121" t="str">
        <f t="shared" si="13"/>
        <v>חיפה מערב</v>
      </c>
      <c r="P374" s="121" t="str">
        <f t="shared" si="13"/>
        <v>קרית ים</v>
      </c>
    </row>
    <row r="375" spans="1:16" x14ac:dyDescent="0.3">
      <c r="A375" s="61">
        <v>15</v>
      </c>
      <c r="B375" s="61">
        <v>6</v>
      </c>
      <c r="C375" s="60"/>
      <c r="G375" s="62"/>
      <c r="I375" s="86" t="e">
        <f t="shared" si="12"/>
        <v>#DIV/0!</v>
      </c>
      <c r="J375" s="87" t="e">
        <f t="shared" si="12"/>
        <v>#DIV/0!</v>
      </c>
      <c r="K375" s="87" t="e">
        <f t="shared" si="12"/>
        <v>#DIV/0!</v>
      </c>
      <c r="L375" s="87" t="e">
        <f t="shared" si="12"/>
        <v>#DIV/0!</v>
      </c>
      <c r="M375" s="88" t="e">
        <f t="shared" si="12"/>
        <v>#DIV/0!</v>
      </c>
      <c r="O375" s="121" t="str">
        <f t="shared" si="13"/>
        <v>חיפה מערב</v>
      </c>
      <c r="P375" s="121" t="str">
        <f t="shared" si="13"/>
        <v>קרית מוצקין</v>
      </c>
    </row>
    <row r="376" spans="1:16" x14ac:dyDescent="0.3">
      <c r="A376" s="61">
        <v>15</v>
      </c>
      <c r="B376" s="61">
        <v>7</v>
      </c>
      <c r="C376" s="60"/>
      <c r="G376" s="62"/>
      <c r="I376" s="86" t="e">
        <f t="shared" ref="I376:M426" si="14">C376/SUM($C376:$G376)</f>
        <v>#DIV/0!</v>
      </c>
      <c r="J376" s="87" t="e">
        <f t="shared" si="14"/>
        <v>#DIV/0!</v>
      </c>
      <c r="K376" s="87" t="e">
        <f t="shared" si="14"/>
        <v>#DIV/0!</v>
      </c>
      <c r="L376" s="87" t="e">
        <f t="shared" si="14"/>
        <v>#DIV/0!</v>
      </c>
      <c r="M376" s="88" t="e">
        <f t="shared" si="14"/>
        <v>#DIV/0!</v>
      </c>
      <c r="O376" s="121" t="str">
        <f t="shared" si="13"/>
        <v>חיפה מערב</v>
      </c>
      <c r="P376" s="121" t="str">
        <f t="shared" si="13"/>
        <v>קרית ביאליק</v>
      </c>
    </row>
    <row r="377" spans="1:16" x14ac:dyDescent="0.3">
      <c r="A377" s="61">
        <v>15</v>
      </c>
      <c r="B377" s="61">
        <v>8</v>
      </c>
      <c r="C377" s="60"/>
      <c r="G377" s="62"/>
      <c r="I377" s="86" t="e">
        <f t="shared" si="14"/>
        <v>#DIV/0!</v>
      </c>
      <c r="J377" s="87" t="e">
        <f t="shared" si="14"/>
        <v>#DIV/0!</v>
      </c>
      <c r="K377" s="87" t="e">
        <f t="shared" si="14"/>
        <v>#DIV/0!</v>
      </c>
      <c r="L377" s="87" t="e">
        <f t="shared" si="14"/>
        <v>#DIV/0!</v>
      </c>
      <c r="M377" s="88" t="e">
        <f t="shared" si="14"/>
        <v>#DIV/0!</v>
      </c>
      <c r="O377" s="121" t="str">
        <f t="shared" si="13"/>
        <v>חיפה מערב</v>
      </c>
      <c r="P377" s="121" t="str">
        <f t="shared" si="13"/>
        <v>קרית חיים</v>
      </c>
    </row>
    <row r="378" spans="1:16" x14ac:dyDescent="0.3">
      <c r="A378" s="61">
        <v>15</v>
      </c>
      <c r="B378" s="61">
        <v>9</v>
      </c>
      <c r="C378" s="60"/>
      <c r="G378" s="62"/>
      <c r="I378" s="86" t="e">
        <f t="shared" si="14"/>
        <v>#DIV/0!</v>
      </c>
      <c r="J378" s="87" t="e">
        <f t="shared" si="14"/>
        <v>#DIV/0!</v>
      </c>
      <c r="K378" s="87" t="e">
        <f t="shared" si="14"/>
        <v>#DIV/0!</v>
      </c>
      <c r="L378" s="87" t="e">
        <f t="shared" si="14"/>
        <v>#DIV/0!</v>
      </c>
      <c r="M378" s="88" t="e">
        <f t="shared" si="14"/>
        <v>#DIV/0!</v>
      </c>
      <c r="O378" s="121" t="str">
        <f t="shared" si="13"/>
        <v>חיפה מערב</v>
      </c>
      <c r="P378" s="121" t="str">
        <f t="shared" si="13"/>
        <v>קרית אתא</v>
      </c>
    </row>
    <row r="379" spans="1:16" x14ac:dyDescent="0.3">
      <c r="A379" s="61">
        <v>15</v>
      </c>
      <c r="B379" s="61">
        <v>10</v>
      </c>
      <c r="C379" s="60"/>
      <c r="G379" s="62"/>
      <c r="I379" s="86" t="e">
        <f t="shared" si="14"/>
        <v>#DIV/0!</v>
      </c>
      <c r="J379" s="87" t="e">
        <f t="shared" si="14"/>
        <v>#DIV/0!</v>
      </c>
      <c r="K379" s="87" t="e">
        <f t="shared" si="14"/>
        <v>#DIV/0!</v>
      </c>
      <c r="L379" s="87" t="e">
        <f t="shared" si="14"/>
        <v>#DIV/0!</v>
      </c>
      <c r="M379" s="88" t="e">
        <f t="shared" si="14"/>
        <v>#DIV/0!</v>
      </c>
      <c r="O379" s="121" t="str">
        <f t="shared" si="13"/>
        <v>חיפה מערב</v>
      </c>
      <c r="P379" s="121" t="str">
        <f t="shared" si="13"/>
        <v>כפר מנדא</v>
      </c>
    </row>
    <row r="380" spans="1:16" x14ac:dyDescent="0.3">
      <c r="A380" s="61">
        <v>15</v>
      </c>
      <c r="B380" s="61">
        <v>11</v>
      </c>
      <c r="C380" s="60"/>
      <c r="G380" s="62"/>
      <c r="I380" s="86" t="e">
        <f t="shared" si="14"/>
        <v>#DIV/0!</v>
      </c>
      <c r="J380" s="87" t="e">
        <f t="shared" si="14"/>
        <v>#DIV/0!</v>
      </c>
      <c r="K380" s="87" t="e">
        <f t="shared" si="14"/>
        <v>#DIV/0!</v>
      </c>
      <c r="L380" s="87" t="e">
        <f t="shared" si="14"/>
        <v>#DIV/0!</v>
      </c>
      <c r="M380" s="88" t="e">
        <f t="shared" si="14"/>
        <v>#DIV/0!</v>
      </c>
      <c r="O380" s="121" t="str">
        <f t="shared" si="13"/>
        <v>חיפה מערב</v>
      </c>
      <c r="P380" s="121" t="str">
        <f t="shared" si="13"/>
        <v>זבולון</v>
      </c>
    </row>
    <row r="381" spans="1:16" x14ac:dyDescent="0.3">
      <c r="A381" s="61">
        <v>15</v>
      </c>
      <c r="B381" s="61">
        <v>12</v>
      </c>
      <c r="C381" s="60"/>
      <c r="G381" s="62"/>
      <c r="I381" s="86" t="e">
        <f t="shared" si="14"/>
        <v>#DIV/0!</v>
      </c>
      <c r="J381" s="87" t="e">
        <f t="shared" si="14"/>
        <v>#DIV/0!</v>
      </c>
      <c r="K381" s="87" t="e">
        <f t="shared" si="14"/>
        <v>#DIV/0!</v>
      </c>
      <c r="L381" s="87" t="e">
        <f t="shared" si="14"/>
        <v>#DIV/0!</v>
      </c>
      <c r="M381" s="88" t="e">
        <f t="shared" si="14"/>
        <v>#DIV/0!</v>
      </c>
      <c r="O381" s="121" t="str">
        <f t="shared" si="13"/>
        <v>חיפה מערב</v>
      </c>
      <c r="P381" s="121" t="str">
        <f t="shared" si="13"/>
        <v>חיפה מפרץ</v>
      </c>
    </row>
    <row r="382" spans="1:16" x14ac:dyDescent="0.3">
      <c r="A382" s="61">
        <v>15</v>
      </c>
      <c r="B382" s="61">
        <v>13</v>
      </c>
      <c r="C382" s="60"/>
      <c r="G382" s="62"/>
      <c r="I382" s="86" t="e">
        <f t="shared" si="14"/>
        <v>#DIV/0!</v>
      </c>
      <c r="J382" s="87" t="e">
        <f t="shared" si="14"/>
        <v>#DIV/0!</v>
      </c>
      <c r="K382" s="87" t="e">
        <f t="shared" si="14"/>
        <v>#DIV/0!</v>
      </c>
      <c r="L382" s="87" t="e">
        <f t="shared" si="14"/>
        <v>#DIV/0!</v>
      </c>
      <c r="M382" s="88" t="e">
        <f t="shared" si="14"/>
        <v>#DIV/0!</v>
      </c>
      <c r="O382" s="121" t="str">
        <f t="shared" si="13"/>
        <v>חיפה מערב</v>
      </c>
      <c r="P382" s="121" t="str">
        <f t="shared" si="13"/>
        <v>חיפה עיר תחתית</v>
      </c>
    </row>
    <row r="383" spans="1:16" x14ac:dyDescent="0.3">
      <c r="A383" s="61">
        <v>15</v>
      </c>
      <c r="B383" s="61">
        <v>14</v>
      </c>
      <c r="C383" s="60"/>
      <c r="G383" s="62"/>
      <c r="I383" s="86" t="e">
        <f t="shared" si="14"/>
        <v>#DIV/0!</v>
      </c>
      <c r="J383" s="87" t="e">
        <f t="shared" si="14"/>
        <v>#DIV/0!</v>
      </c>
      <c r="K383" s="87" t="e">
        <f t="shared" si="14"/>
        <v>#DIV/0!</v>
      </c>
      <c r="L383" s="87" t="e">
        <f t="shared" si="14"/>
        <v>#DIV/0!</v>
      </c>
      <c r="M383" s="88" t="e">
        <f t="shared" si="14"/>
        <v>#DIV/0!</v>
      </c>
      <c r="O383" s="121" t="str">
        <f t="shared" si="13"/>
        <v>חיפה מערב</v>
      </c>
      <c r="P383" s="121" t="str">
        <f t="shared" si="13"/>
        <v>חיפה הדר-כרמל</v>
      </c>
    </row>
    <row r="384" spans="1:16" x14ac:dyDescent="0.3">
      <c r="A384" s="61">
        <v>15</v>
      </c>
      <c r="B384" s="61">
        <v>15</v>
      </c>
      <c r="C384" s="60"/>
      <c r="G384" s="62"/>
      <c r="I384" s="86" t="e">
        <f t="shared" si="14"/>
        <v>#DIV/0!</v>
      </c>
      <c r="J384" s="87" t="e">
        <f t="shared" si="14"/>
        <v>#DIV/0!</v>
      </c>
      <c r="K384" s="87" t="e">
        <f t="shared" si="14"/>
        <v>#DIV/0!</v>
      </c>
      <c r="L384" s="87" t="e">
        <f t="shared" si="14"/>
        <v>#DIV/0!</v>
      </c>
      <c r="M384" s="88" t="e">
        <f t="shared" si="14"/>
        <v>#DIV/0!</v>
      </c>
      <c r="O384" s="121" t="str">
        <f t="shared" si="13"/>
        <v>חיפה מערב</v>
      </c>
      <c r="P384" s="121" t="str">
        <f t="shared" si="13"/>
        <v>חיפה מערב</v>
      </c>
    </row>
    <row r="385" spans="1:16" x14ac:dyDescent="0.3">
      <c r="A385" s="61">
        <v>15</v>
      </c>
      <c r="B385" s="61">
        <v>16</v>
      </c>
      <c r="C385" s="60"/>
      <c r="G385" s="62"/>
      <c r="I385" s="86" t="e">
        <f t="shared" si="14"/>
        <v>#DIV/0!</v>
      </c>
      <c r="J385" s="87" t="e">
        <f t="shared" si="14"/>
        <v>#DIV/0!</v>
      </c>
      <c r="K385" s="87" t="e">
        <f t="shared" si="14"/>
        <v>#DIV/0!</v>
      </c>
      <c r="L385" s="87" t="e">
        <f t="shared" si="14"/>
        <v>#DIV/0!</v>
      </c>
      <c r="M385" s="88" t="e">
        <f t="shared" si="14"/>
        <v>#DIV/0!</v>
      </c>
      <c r="O385" s="121" t="str">
        <f t="shared" si="13"/>
        <v>חיפה מערב</v>
      </c>
      <c r="P385" s="121" t="str">
        <f t="shared" si="13"/>
        <v>חיפה כרמל</v>
      </c>
    </row>
    <row r="386" spans="1:16" x14ac:dyDescent="0.3">
      <c r="A386" s="61">
        <v>15</v>
      </c>
      <c r="B386" s="61">
        <v>17</v>
      </c>
      <c r="C386" s="60"/>
      <c r="G386" s="62"/>
      <c r="I386" s="86" t="e">
        <f t="shared" si="14"/>
        <v>#DIV/0!</v>
      </c>
      <c r="J386" s="87" t="e">
        <f t="shared" si="14"/>
        <v>#DIV/0!</v>
      </c>
      <c r="K386" s="87" t="e">
        <f t="shared" si="14"/>
        <v>#DIV/0!</v>
      </c>
      <c r="L386" s="87" t="e">
        <f t="shared" si="14"/>
        <v>#DIV/0!</v>
      </c>
      <c r="M386" s="88" t="e">
        <f t="shared" si="14"/>
        <v>#DIV/0!</v>
      </c>
      <c r="O386" s="121" t="str">
        <f t="shared" si="13"/>
        <v>חיפה מערב</v>
      </c>
      <c r="P386" s="121" t="str">
        <f t="shared" si="13"/>
        <v>חיפה נווה שאנן</v>
      </c>
    </row>
    <row r="387" spans="1:16" x14ac:dyDescent="0.3">
      <c r="A387" s="61">
        <v>15</v>
      </c>
      <c r="B387" s="61">
        <v>18</v>
      </c>
      <c r="C387" s="60"/>
      <c r="G387" s="62"/>
      <c r="I387" s="86" t="e">
        <f t="shared" si="14"/>
        <v>#DIV/0!</v>
      </c>
      <c r="J387" s="87" t="e">
        <f t="shared" si="14"/>
        <v>#DIV/0!</v>
      </c>
      <c r="K387" s="87" t="e">
        <f t="shared" si="14"/>
        <v>#DIV/0!</v>
      </c>
      <c r="L387" s="87" t="e">
        <f t="shared" si="14"/>
        <v>#DIV/0!</v>
      </c>
      <c r="M387" s="88" t="e">
        <f t="shared" si="14"/>
        <v>#DIV/0!</v>
      </c>
      <c r="O387" s="121" t="str">
        <f t="shared" si="13"/>
        <v>חיפה מערב</v>
      </c>
      <c r="P387" s="121" t="str">
        <f t="shared" si="13"/>
        <v>נשר</v>
      </c>
    </row>
    <row r="388" spans="1:16" x14ac:dyDescent="0.3">
      <c r="A388" s="61">
        <v>15</v>
      </c>
      <c r="B388" s="61">
        <v>19</v>
      </c>
      <c r="C388" s="60"/>
      <c r="G388" s="62"/>
      <c r="I388" s="86" t="e">
        <f t="shared" si="14"/>
        <v>#DIV/0!</v>
      </c>
      <c r="J388" s="87" t="e">
        <f t="shared" si="14"/>
        <v>#DIV/0!</v>
      </c>
      <c r="K388" s="87" t="e">
        <f t="shared" si="14"/>
        <v>#DIV/0!</v>
      </c>
      <c r="L388" s="87" t="e">
        <f t="shared" si="14"/>
        <v>#DIV/0!</v>
      </c>
      <c r="M388" s="88" t="e">
        <f t="shared" si="14"/>
        <v>#DIV/0!</v>
      </c>
      <c r="O388" s="121" t="str">
        <f t="shared" si="13"/>
        <v>חיפה מערב</v>
      </c>
      <c r="P388" s="121" t="str">
        <f t="shared" si="13"/>
        <v>נצרת</v>
      </c>
    </row>
    <row r="389" spans="1:16" x14ac:dyDescent="0.3">
      <c r="A389" s="61">
        <v>15</v>
      </c>
      <c r="B389" s="61">
        <v>20</v>
      </c>
      <c r="C389" s="60"/>
      <c r="G389" s="62"/>
      <c r="I389" s="86" t="e">
        <f t="shared" si="14"/>
        <v>#DIV/0!</v>
      </c>
      <c r="J389" s="87" t="e">
        <f t="shared" si="14"/>
        <v>#DIV/0!</v>
      </c>
      <c r="K389" s="87" t="e">
        <f t="shared" si="14"/>
        <v>#DIV/0!</v>
      </c>
      <c r="L389" s="87" t="e">
        <f t="shared" si="14"/>
        <v>#DIV/0!</v>
      </c>
      <c r="M389" s="88" t="e">
        <f t="shared" si="14"/>
        <v>#DIV/0!</v>
      </c>
      <c r="O389" s="121" t="str">
        <f t="shared" si="13"/>
        <v>חיפה מערב</v>
      </c>
      <c r="P389" s="121" t="str">
        <f t="shared" si="13"/>
        <v>נצרת-עילית</v>
      </c>
    </row>
    <row r="390" spans="1:16" x14ac:dyDescent="0.3">
      <c r="A390" s="61">
        <v>15</v>
      </c>
      <c r="B390" s="61">
        <v>21</v>
      </c>
      <c r="C390" s="60"/>
      <c r="G390" s="62"/>
      <c r="I390" s="86" t="e">
        <f t="shared" si="14"/>
        <v>#DIV/0!</v>
      </c>
      <c r="J390" s="87" t="e">
        <f t="shared" si="14"/>
        <v>#DIV/0!</v>
      </c>
      <c r="K390" s="87" t="e">
        <f t="shared" si="14"/>
        <v>#DIV/0!</v>
      </c>
      <c r="L390" s="87" t="e">
        <f t="shared" si="14"/>
        <v>#DIV/0!</v>
      </c>
      <c r="M390" s="88" t="e">
        <f t="shared" si="14"/>
        <v>#DIV/0!</v>
      </c>
      <c r="O390" s="121" t="str">
        <f t="shared" si="13"/>
        <v>חיפה מערב</v>
      </c>
      <c r="P390" s="121" t="str">
        <f t="shared" si="13"/>
        <v>מגדל העמק</v>
      </c>
    </row>
    <row r="391" spans="1:16" x14ac:dyDescent="0.3">
      <c r="A391" s="61">
        <v>15</v>
      </c>
      <c r="B391" s="61">
        <v>22</v>
      </c>
      <c r="C391" s="60"/>
      <c r="G391" s="62"/>
      <c r="I391" s="86" t="e">
        <f t="shared" si="14"/>
        <v>#DIV/0!</v>
      </c>
      <c r="J391" s="87" t="e">
        <f t="shared" si="14"/>
        <v>#DIV/0!</v>
      </c>
      <c r="K391" s="87" t="e">
        <f t="shared" si="14"/>
        <v>#DIV/0!</v>
      </c>
      <c r="L391" s="87" t="e">
        <f t="shared" si="14"/>
        <v>#DIV/0!</v>
      </c>
      <c r="M391" s="88" t="e">
        <f t="shared" si="14"/>
        <v>#DIV/0!</v>
      </c>
      <c r="O391" s="121" t="str">
        <f t="shared" ref="O391:P454" si="15">VLOOKUP(A391,$S$6:$T$31,2,0)</f>
        <v>חיפה מערב</v>
      </c>
      <c r="P391" s="121" t="str">
        <f t="shared" si="15"/>
        <v>יוקנעם</v>
      </c>
    </row>
    <row r="392" spans="1:16" x14ac:dyDescent="0.3">
      <c r="A392" s="61">
        <v>15</v>
      </c>
      <c r="B392" s="61">
        <v>23</v>
      </c>
      <c r="C392" s="60"/>
      <c r="G392" s="62"/>
      <c r="I392" s="86" t="e">
        <f t="shared" si="14"/>
        <v>#DIV/0!</v>
      </c>
      <c r="J392" s="87" t="e">
        <f t="shared" si="14"/>
        <v>#DIV/0!</v>
      </c>
      <c r="K392" s="87" t="e">
        <f t="shared" si="14"/>
        <v>#DIV/0!</v>
      </c>
      <c r="L392" s="87" t="e">
        <f t="shared" si="14"/>
        <v>#DIV/0!</v>
      </c>
      <c r="M392" s="88" t="e">
        <f t="shared" si="14"/>
        <v>#DIV/0!</v>
      </c>
      <c r="O392" s="121" t="str">
        <f t="shared" si="15"/>
        <v>חיפה מערב</v>
      </c>
      <c r="P392" s="121" t="str">
        <f t="shared" si="15"/>
        <v>דלית אל כרמל</v>
      </c>
    </row>
    <row r="393" spans="1:16" x14ac:dyDescent="0.3">
      <c r="A393" s="61">
        <v>15</v>
      </c>
      <c r="B393" s="61">
        <v>24</v>
      </c>
      <c r="C393" s="60"/>
      <c r="G393" s="62"/>
      <c r="I393" s="86" t="e">
        <f t="shared" si="14"/>
        <v>#DIV/0!</v>
      </c>
      <c r="J393" s="87" t="e">
        <f t="shared" si="14"/>
        <v>#DIV/0!</v>
      </c>
      <c r="K393" s="87" t="e">
        <f t="shared" si="14"/>
        <v>#DIV/0!</v>
      </c>
      <c r="L393" s="87" t="e">
        <f t="shared" si="14"/>
        <v>#DIV/0!</v>
      </c>
      <c r="M393" s="88" t="e">
        <f t="shared" si="14"/>
        <v>#DIV/0!</v>
      </c>
      <c r="O393" s="121" t="str">
        <f t="shared" si="15"/>
        <v>חיפה מערב</v>
      </c>
      <c r="P393" s="121" t="str">
        <f t="shared" si="15"/>
        <v>חוף הכרמל</v>
      </c>
    </row>
    <row r="394" spans="1:16" x14ac:dyDescent="0.3">
      <c r="A394" s="61">
        <v>15</v>
      </c>
      <c r="B394" s="61">
        <v>25</v>
      </c>
      <c r="C394" s="60"/>
      <c r="G394" s="62"/>
      <c r="I394" s="86" t="e">
        <f t="shared" si="14"/>
        <v>#DIV/0!</v>
      </c>
      <c r="J394" s="87" t="e">
        <f t="shared" si="14"/>
        <v>#DIV/0!</v>
      </c>
      <c r="K394" s="87" t="e">
        <f t="shared" si="14"/>
        <v>#DIV/0!</v>
      </c>
      <c r="L394" s="87" t="e">
        <f t="shared" si="14"/>
        <v>#DIV/0!</v>
      </c>
      <c r="M394" s="88" t="e">
        <f t="shared" si="14"/>
        <v>#DIV/0!</v>
      </c>
      <c r="O394" s="121" t="str">
        <f t="shared" si="15"/>
        <v>חיפה מערב</v>
      </c>
      <c r="P394" s="121" t="str">
        <f t="shared" si="15"/>
        <v>זכרון יעקב</v>
      </c>
    </row>
    <row r="395" spans="1:16" x14ac:dyDescent="0.3">
      <c r="A395" s="61">
        <v>15</v>
      </c>
      <c r="B395" s="61">
        <v>30</v>
      </c>
      <c r="C395" s="60"/>
      <c r="G395" s="62"/>
      <c r="I395" s="86" t="e">
        <f t="shared" si="14"/>
        <v>#DIV/0!</v>
      </c>
      <c r="J395" s="87" t="e">
        <f t="shared" si="14"/>
        <v>#DIV/0!</v>
      </c>
      <c r="K395" s="87" t="e">
        <f t="shared" si="14"/>
        <v>#DIV/0!</v>
      </c>
      <c r="L395" s="87" t="e">
        <f t="shared" si="14"/>
        <v>#DIV/0!</v>
      </c>
      <c r="M395" s="88" t="e">
        <f t="shared" si="14"/>
        <v>#DIV/0!</v>
      </c>
      <c r="O395" s="121" t="str">
        <f t="shared" si="15"/>
        <v>חיפה מערב</v>
      </c>
      <c r="P395" s="121" t="str">
        <f t="shared" si="15"/>
        <v>סכנין</v>
      </c>
    </row>
    <row r="396" spans="1:16" x14ac:dyDescent="0.3">
      <c r="A396" s="61">
        <v>16</v>
      </c>
      <c r="B396" s="61">
        <v>1</v>
      </c>
      <c r="C396" s="60"/>
      <c r="G396" s="62"/>
      <c r="I396" s="86" t="e">
        <f t="shared" si="14"/>
        <v>#DIV/0!</v>
      </c>
      <c r="J396" s="87" t="e">
        <f t="shared" si="14"/>
        <v>#DIV/0!</v>
      </c>
      <c r="K396" s="87" t="e">
        <f t="shared" si="14"/>
        <v>#DIV/0!</v>
      </c>
      <c r="L396" s="87" t="e">
        <f t="shared" si="14"/>
        <v>#DIV/0!</v>
      </c>
      <c r="M396" s="88" t="e">
        <f t="shared" si="14"/>
        <v>#DIV/0!</v>
      </c>
      <c r="O396" s="121" t="str">
        <f t="shared" si="15"/>
        <v>חיפה כרמל</v>
      </c>
      <c r="P396" s="121" t="str">
        <f t="shared" si="15"/>
        <v>נהריה</v>
      </c>
    </row>
    <row r="397" spans="1:16" x14ac:dyDescent="0.3">
      <c r="A397" s="61">
        <v>16</v>
      </c>
      <c r="B397" s="61">
        <v>2</v>
      </c>
      <c r="C397" s="60"/>
      <c r="G397" s="62"/>
      <c r="I397" s="86" t="e">
        <f t="shared" si="14"/>
        <v>#DIV/0!</v>
      </c>
      <c r="J397" s="87" t="e">
        <f t="shared" si="14"/>
        <v>#DIV/0!</v>
      </c>
      <c r="K397" s="87" t="e">
        <f t="shared" si="14"/>
        <v>#DIV/0!</v>
      </c>
      <c r="L397" s="87" t="e">
        <f t="shared" si="14"/>
        <v>#DIV/0!</v>
      </c>
      <c r="M397" s="88" t="e">
        <f t="shared" si="14"/>
        <v>#DIV/0!</v>
      </c>
      <c r="O397" s="121" t="str">
        <f t="shared" si="15"/>
        <v>חיפה כרמל</v>
      </c>
      <c r="P397" s="121" t="str">
        <f t="shared" si="15"/>
        <v>עכו</v>
      </c>
    </row>
    <row r="398" spans="1:16" x14ac:dyDescent="0.3">
      <c r="A398" s="61">
        <v>16</v>
      </c>
      <c r="B398" s="61">
        <v>3</v>
      </c>
      <c r="C398" s="60"/>
      <c r="G398" s="62"/>
      <c r="I398" s="86" t="e">
        <f t="shared" si="14"/>
        <v>#DIV/0!</v>
      </c>
      <c r="J398" s="87" t="e">
        <f t="shared" si="14"/>
        <v>#DIV/0!</v>
      </c>
      <c r="K398" s="87" t="e">
        <f t="shared" si="14"/>
        <v>#DIV/0!</v>
      </c>
      <c r="L398" s="87" t="e">
        <f t="shared" si="14"/>
        <v>#DIV/0!</v>
      </c>
      <c r="M398" s="88" t="e">
        <f t="shared" si="14"/>
        <v>#DIV/0!</v>
      </c>
      <c r="O398" s="121" t="str">
        <f t="shared" si="15"/>
        <v>חיפה כרמל</v>
      </c>
      <c r="P398" s="121" t="str">
        <f t="shared" si="15"/>
        <v>כרמיאל</v>
      </c>
    </row>
    <row r="399" spans="1:16" x14ac:dyDescent="0.3">
      <c r="A399" s="61">
        <v>16</v>
      </c>
      <c r="B399" s="61">
        <v>4</v>
      </c>
      <c r="C399" s="60"/>
      <c r="G399" s="62"/>
      <c r="I399" s="86" t="e">
        <f t="shared" si="14"/>
        <v>#DIV/0!</v>
      </c>
      <c r="J399" s="87" t="e">
        <f t="shared" si="14"/>
        <v>#DIV/0!</v>
      </c>
      <c r="K399" s="87" t="e">
        <f t="shared" si="14"/>
        <v>#DIV/0!</v>
      </c>
      <c r="L399" s="87" t="e">
        <f t="shared" si="14"/>
        <v>#DIV/0!</v>
      </c>
      <c r="M399" s="88" t="e">
        <f t="shared" si="14"/>
        <v>#DIV/0!</v>
      </c>
      <c r="O399" s="121" t="str">
        <f t="shared" si="15"/>
        <v>חיפה כרמל</v>
      </c>
      <c r="P399" s="121" t="str">
        <f t="shared" si="15"/>
        <v>שפרעם</v>
      </c>
    </row>
    <row r="400" spans="1:16" x14ac:dyDescent="0.3">
      <c r="A400" s="61">
        <v>16</v>
      </c>
      <c r="B400" s="61">
        <v>5</v>
      </c>
      <c r="C400" s="60"/>
      <c r="G400" s="62"/>
      <c r="I400" s="86" t="e">
        <f t="shared" si="14"/>
        <v>#DIV/0!</v>
      </c>
      <c r="J400" s="87" t="e">
        <f t="shared" si="14"/>
        <v>#DIV/0!</v>
      </c>
      <c r="K400" s="87" t="e">
        <f t="shared" si="14"/>
        <v>#DIV/0!</v>
      </c>
      <c r="L400" s="87" t="e">
        <f t="shared" si="14"/>
        <v>#DIV/0!</v>
      </c>
      <c r="M400" s="88" t="e">
        <f t="shared" si="14"/>
        <v>#DIV/0!</v>
      </c>
      <c r="O400" s="121" t="str">
        <f t="shared" si="15"/>
        <v>חיפה כרמל</v>
      </c>
      <c r="P400" s="121" t="str">
        <f t="shared" si="15"/>
        <v>קרית ים</v>
      </c>
    </row>
    <row r="401" spans="1:16" x14ac:dyDescent="0.3">
      <c r="A401" s="61">
        <v>16</v>
      </c>
      <c r="B401" s="61">
        <v>6</v>
      </c>
      <c r="C401" s="60"/>
      <c r="G401" s="62"/>
      <c r="I401" s="86" t="e">
        <f t="shared" si="14"/>
        <v>#DIV/0!</v>
      </c>
      <c r="J401" s="87" t="e">
        <f t="shared" si="14"/>
        <v>#DIV/0!</v>
      </c>
      <c r="K401" s="87" t="e">
        <f t="shared" si="14"/>
        <v>#DIV/0!</v>
      </c>
      <c r="L401" s="87" t="e">
        <f t="shared" si="14"/>
        <v>#DIV/0!</v>
      </c>
      <c r="M401" s="88" t="e">
        <f t="shared" si="14"/>
        <v>#DIV/0!</v>
      </c>
      <c r="O401" s="121" t="str">
        <f t="shared" si="15"/>
        <v>חיפה כרמל</v>
      </c>
      <c r="P401" s="121" t="str">
        <f t="shared" si="15"/>
        <v>קרית מוצקין</v>
      </c>
    </row>
    <row r="402" spans="1:16" x14ac:dyDescent="0.3">
      <c r="A402" s="61">
        <v>16</v>
      </c>
      <c r="B402" s="61">
        <v>7</v>
      </c>
      <c r="C402" s="60"/>
      <c r="G402" s="62"/>
      <c r="I402" s="86" t="e">
        <f t="shared" si="14"/>
        <v>#DIV/0!</v>
      </c>
      <c r="J402" s="87" t="e">
        <f t="shared" si="14"/>
        <v>#DIV/0!</v>
      </c>
      <c r="K402" s="87" t="e">
        <f t="shared" si="14"/>
        <v>#DIV/0!</v>
      </c>
      <c r="L402" s="87" t="e">
        <f t="shared" si="14"/>
        <v>#DIV/0!</v>
      </c>
      <c r="M402" s="88" t="e">
        <f t="shared" si="14"/>
        <v>#DIV/0!</v>
      </c>
      <c r="O402" s="121" t="str">
        <f t="shared" si="15"/>
        <v>חיפה כרמל</v>
      </c>
      <c r="P402" s="121" t="str">
        <f t="shared" si="15"/>
        <v>קרית ביאליק</v>
      </c>
    </row>
    <row r="403" spans="1:16" x14ac:dyDescent="0.3">
      <c r="A403" s="61">
        <v>16</v>
      </c>
      <c r="B403" s="61">
        <v>8</v>
      </c>
      <c r="C403" s="60"/>
      <c r="G403" s="62"/>
      <c r="I403" s="86" t="e">
        <f t="shared" si="14"/>
        <v>#DIV/0!</v>
      </c>
      <c r="J403" s="87" t="e">
        <f t="shared" si="14"/>
        <v>#DIV/0!</v>
      </c>
      <c r="K403" s="87" t="e">
        <f t="shared" si="14"/>
        <v>#DIV/0!</v>
      </c>
      <c r="L403" s="87" t="e">
        <f t="shared" si="14"/>
        <v>#DIV/0!</v>
      </c>
      <c r="M403" s="88" t="e">
        <f t="shared" si="14"/>
        <v>#DIV/0!</v>
      </c>
      <c r="O403" s="121" t="str">
        <f t="shared" si="15"/>
        <v>חיפה כרמל</v>
      </c>
      <c r="P403" s="121" t="str">
        <f t="shared" si="15"/>
        <v>קרית חיים</v>
      </c>
    </row>
    <row r="404" spans="1:16" x14ac:dyDescent="0.3">
      <c r="A404" s="61">
        <v>16</v>
      </c>
      <c r="B404" s="61">
        <v>9</v>
      </c>
      <c r="C404" s="60"/>
      <c r="G404" s="62"/>
      <c r="I404" s="86" t="e">
        <f t="shared" si="14"/>
        <v>#DIV/0!</v>
      </c>
      <c r="J404" s="87" t="e">
        <f t="shared" si="14"/>
        <v>#DIV/0!</v>
      </c>
      <c r="K404" s="87" t="e">
        <f t="shared" si="14"/>
        <v>#DIV/0!</v>
      </c>
      <c r="L404" s="87" t="e">
        <f t="shared" si="14"/>
        <v>#DIV/0!</v>
      </c>
      <c r="M404" s="88" t="e">
        <f t="shared" si="14"/>
        <v>#DIV/0!</v>
      </c>
      <c r="O404" s="121" t="str">
        <f t="shared" si="15"/>
        <v>חיפה כרמל</v>
      </c>
      <c r="P404" s="121" t="str">
        <f t="shared" si="15"/>
        <v>קרית אתא</v>
      </c>
    </row>
    <row r="405" spans="1:16" x14ac:dyDescent="0.3">
      <c r="A405" s="61">
        <v>16</v>
      </c>
      <c r="B405" s="61">
        <v>10</v>
      </c>
      <c r="C405" s="60"/>
      <c r="G405" s="62"/>
      <c r="I405" s="86" t="e">
        <f t="shared" si="14"/>
        <v>#DIV/0!</v>
      </c>
      <c r="J405" s="87" t="e">
        <f t="shared" si="14"/>
        <v>#DIV/0!</v>
      </c>
      <c r="K405" s="87" t="e">
        <f t="shared" si="14"/>
        <v>#DIV/0!</v>
      </c>
      <c r="L405" s="87" t="e">
        <f t="shared" si="14"/>
        <v>#DIV/0!</v>
      </c>
      <c r="M405" s="88" t="e">
        <f t="shared" si="14"/>
        <v>#DIV/0!</v>
      </c>
      <c r="O405" s="121" t="str">
        <f t="shared" si="15"/>
        <v>חיפה כרמל</v>
      </c>
      <c r="P405" s="121" t="str">
        <f t="shared" si="15"/>
        <v>כפר מנדא</v>
      </c>
    </row>
    <row r="406" spans="1:16" x14ac:dyDescent="0.3">
      <c r="A406" s="61">
        <v>16</v>
      </c>
      <c r="B406" s="61">
        <v>11</v>
      </c>
      <c r="C406" s="60"/>
      <c r="G406" s="62"/>
      <c r="I406" s="86" t="e">
        <f t="shared" si="14"/>
        <v>#DIV/0!</v>
      </c>
      <c r="J406" s="87" t="e">
        <f t="shared" si="14"/>
        <v>#DIV/0!</v>
      </c>
      <c r="K406" s="87" t="e">
        <f t="shared" si="14"/>
        <v>#DIV/0!</v>
      </c>
      <c r="L406" s="87" t="e">
        <f t="shared" si="14"/>
        <v>#DIV/0!</v>
      </c>
      <c r="M406" s="88" t="e">
        <f t="shared" si="14"/>
        <v>#DIV/0!</v>
      </c>
      <c r="O406" s="121" t="str">
        <f t="shared" si="15"/>
        <v>חיפה כרמל</v>
      </c>
      <c r="P406" s="121" t="str">
        <f t="shared" si="15"/>
        <v>זבולון</v>
      </c>
    </row>
    <row r="407" spans="1:16" x14ac:dyDescent="0.3">
      <c r="A407" s="61">
        <v>16</v>
      </c>
      <c r="B407" s="61">
        <v>12</v>
      </c>
      <c r="C407" s="60"/>
      <c r="G407" s="62"/>
      <c r="I407" s="86" t="e">
        <f t="shared" si="14"/>
        <v>#DIV/0!</v>
      </c>
      <c r="J407" s="87" t="e">
        <f t="shared" si="14"/>
        <v>#DIV/0!</v>
      </c>
      <c r="K407" s="87" t="e">
        <f t="shared" si="14"/>
        <v>#DIV/0!</v>
      </c>
      <c r="L407" s="87" t="e">
        <f t="shared" si="14"/>
        <v>#DIV/0!</v>
      </c>
      <c r="M407" s="88" t="e">
        <f t="shared" si="14"/>
        <v>#DIV/0!</v>
      </c>
      <c r="O407" s="121" t="str">
        <f t="shared" si="15"/>
        <v>חיפה כרמל</v>
      </c>
      <c r="P407" s="121" t="str">
        <f t="shared" si="15"/>
        <v>חיפה מפרץ</v>
      </c>
    </row>
    <row r="408" spans="1:16" x14ac:dyDescent="0.3">
      <c r="A408" s="61">
        <v>16</v>
      </c>
      <c r="B408" s="61">
        <v>13</v>
      </c>
      <c r="C408" s="60"/>
      <c r="G408" s="62"/>
      <c r="I408" s="86" t="e">
        <f t="shared" si="14"/>
        <v>#DIV/0!</v>
      </c>
      <c r="J408" s="87" t="e">
        <f t="shared" si="14"/>
        <v>#DIV/0!</v>
      </c>
      <c r="K408" s="87" t="e">
        <f t="shared" si="14"/>
        <v>#DIV/0!</v>
      </c>
      <c r="L408" s="87" t="e">
        <f t="shared" si="14"/>
        <v>#DIV/0!</v>
      </c>
      <c r="M408" s="88" t="e">
        <f t="shared" si="14"/>
        <v>#DIV/0!</v>
      </c>
      <c r="O408" s="121" t="str">
        <f t="shared" si="15"/>
        <v>חיפה כרמל</v>
      </c>
      <c r="P408" s="121" t="str">
        <f t="shared" si="15"/>
        <v>חיפה עיר תחתית</v>
      </c>
    </row>
    <row r="409" spans="1:16" x14ac:dyDescent="0.3">
      <c r="A409" s="61">
        <v>16</v>
      </c>
      <c r="B409" s="61">
        <v>14</v>
      </c>
      <c r="C409" s="60"/>
      <c r="G409" s="62"/>
      <c r="I409" s="86" t="e">
        <f t="shared" si="14"/>
        <v>#DIV/0!</v>
      </c>
      <c r="J409" s="87" t="e">
        <f t="shared" si="14"/>
        <v>#DIV/0!</v>
      </c>
      <c r="K409" s="87" t="e">
        <f t="shared" si="14"/>
        <v>#DIV/0!</v>
      </c>
      <c r="L409" s="87" t="e">
        <f t="shared" si="14"/>
        <v>#DIV/0!</v>
      </c>
      <c r="M409" s="88" t="e">
        <f t="shared" si="14"/>
        <v>#DIV/0!</v>
      </c>
      <c r="O409" s="121" t="str">
        <f t="shared" si="15"/>
        <v>חיפה כרמל</v>
      </c>
      <c r="P409" s="121" t="str">
        <f t="shared" si="15"/>
        <v>חיפה הדר-כרמל</v>
      </c>
    </row>
    <row r="410" spans="1:16" x14ac:dyDescent="0.3">
      <c r="A410" s="61">
        <v>16</v>
      </c>
      <c r="B410" s="61">
        <v>15</v>
      </c>
      <c r="C410" s="60"/>
      <c r="G410" s="62"/>
      <c r="I410" s="86" t="e">
        <f t="shared" si="14"/>
        <v>#DIV/0!</v>
      </c>
      <c r="J410" s="87" t="e">
        <f t="shared" si="14"/>
        <v>#DIV/0!</v>
      </c>
      <c r="K410" s="87" t="e">
        <f t="shared" si="14"/>
        <v>#DIV/0!</v>
      </c>
      <c r="L410" s="87" t="e">
        <f t="shared" si="14"/>
        <v>#DIV/0!</v>
      </c>
      <c r="M410" s="88" t="e">
        <f t="shared" si="14"/>
        <v>#DIV/0!</v>
      </c>
      <c r="O410" s="121" t="str">
        <f t="shared" si="15"/>
        <v>חיפה כרמל</v>
      </c>
      <c r="P410" s="121" t="str">
        <f t="shared" si="15"/>
        <v>חיפה מערב</v>
      </c>
    </row>
    <row r="411" spans="1:16" x14ac:dyDescent="0.3">
      <c r="A411" s="61">
        <v>16</v>
      </c>
      <c r="B411" s="61">
        <v>16</v>
      </c>
      <c r="C411" s="60"/>
      <c r="G411" s="62"/>
      <c r="I411" s="86" t="e">
        <f t="shared" si="14"/>
        <v>#DIV/0!</v>
      </c>
      <c r="J411" s="87" t="e">
        <f t="shared" si="14"/>
        <v>#DIV/0!</v>
      </c>
      <c r="K411" s="87" t="e">
        <f t="shared" si="14"/>
        <v>#DIV/0!</v>
      </c>
      <c r="L411" s="87" t="e">
        <f t="shared" si="14"/>
        <v>#DIV/0!</v>
      </c>
      <c r="M411" s="88" t="e">
        <f t="shared" si="14"/>
        <v>#DIV/0!</v>
      </c>
      <c r="O411" s="121" t="str">
        <f t="shared" si="15"/>
        <v>חיפה כרמל</v>
      </c>
      <c r="P411" s="121" t="str">
        <f t="shared" si="15"/>
        <v>חיפה כרמל</v>
      </c>
    </row>
    <row r="412" spans="1:16" x14ac:dyDescent="0.3">
      <c r="A412" s="61">
        <v>16</v>
      </c>
      <c r="B412" s="61">
        <v>17</v>
      </c>
      <c r="C412" s="60"/>
      <c r="G412" s="62"/>
      <c r="I412" s="86" t="e">
        <f t="shared" si="14"/>
        <v>#DIV/0!</v>
      </c>
      <c r="J412" s="87" t="e">
        <f t="shared" si="14"/>
        <v>#DIV/0!</v>
      </c>
      <c r="K412" s="87" t="e">
        <f t="shared" si="14"/>
        <v>#DIV/0!</v>
      </c>
      <c r="L412" s="87" t="e">
        <f t="shared" si="14"/>
        <v>#DIV/0!</v>
      </c>
      <c r="M412" s="88" t="e">
        <f t="shared" si="14"/>
        <v>#DIV/0!</v>
      </c>
      <c r="O412" s="121" t="str">
        <f t="shared" si="15"/>
        <v>חיפה כרמל</v>
      </c>
      <c r="P412" s="121" t="str">
        <f t="shared" si="15"/>
        <v>חיפה נווה שאנן</v>
      </c>
    </row>
    <row r="413" spans="1:16" x14ac:dyDescent="0.3">
      <c r="A413" s="61">
        <v>16</v>
      </c>
      <c r="B413" s="61">
        <v>18</v>
      </c>
      <c r="C413" s="60"/>
      <c r="G413" s="62"/>
      <c r="I413" s="86" t="e">
        <f t="shared" si="14"/>
        <v>#DIV/0!</v>
      </c>
      <c r="J413" s="87" t="e">
        <f t="shared" si="14"/>
        <v>#DIV/0!</v>
      </c>
      <c r="K413" s="87" t="e">
        <f t="shared" si="14"/>
        <v>#DIV/0!</v>
      </c>
      <c r="L413" s="87" t="e">
        <f t="shared" si="14"/>
        <v>#DIV/0!</v>
      </c>
      <c r="M413" s="88" t="e">
        <f t="shared" si="14"/>
        <v>#DIV/0!</v>
      </c>
      <c r="O413" s="121" t="str">
        <f t="shared" si="15"/>
        <v>חיפה כרמל</v>
      </c>
      <c r="P413" s="121" t="str">
        <f t="shared" si="15"/>
        <v>נשר</v>
      </c>
    </row>
    <row r="414" spans="1:16" x14ac:dyDescent="0.3">
      <c r="A414" s="61">
        <v>16</v>
      </c>
      <c r="B414" s="61">
        <v>19</v>
      </c>
      <c r="C414" s="60"/>
      <c r="G414" s="62"/>
      <c r="I414" s="86" t="e">
        <f t="shared" si="14"/>
        <v>#DIV/0!</v>
      </c>
      <c r="J414" s="87" t="e">
        <f t="shared" si="14"/>
        <v>#DIV/0!</v>
      </c>
      <c r="K414" s="87" t="e">
        <f t="shared" si="14"/>
        <v>#DIV/0!</v>
      </c>
      <c r="L414" s="87" t="e">
        <f t="shared" si="14"/>
        <v>#DIV/0!</v>
      </c>
      <c r="M414" s="88" t="e">
        <f t="shared" si="14"/>
        <v>#DIV/0!</v>
      </c>
      <c r="O414" s="121" t="str">
        <f t="shared" si="15"/>
        <v>חיפה כרמל</v>
      </c>
      <c r="P414" s="121" t="str">
        <f t="shared" si="15"/>
        <v>נצרת</v>
      </c>
    </row>
    <row r="415" spans="1:16" x14ac:dyDescent="0.3">
      <c r="A415" s="61">
        <v>16</v>
      </c>
      <c r="B415" s="61">
        <v>20</v>
      </c>
      <c r="C415" s="60"/>
      <c r="G415" s="62"/>
      <c r="I415" s="86" t="e">
        <f t="shared" si="14"/>
        <v>#DIV/0!</v>
      </c>
      <c r="J415" s="87" t="e">
        <f t="shared" si="14"/>
        <v>#DIV/0!</v>
      </c>
      <c r="K415" s="87" t="e">
        <f t="shared" si="14"/>
        <v>#DIV/0!</v>
      </c>
      <c r="L415" s="87" t="e">
        <f t="shared" si="14"/>
        <v>#DIV/0!</v>
      </c>
      <c r="M415" s="88" t="e">
        <f t="shared" si="14"/>
        <v>#DIV/0!</v>
      </c>
      <c r="O415" s="121" t="str">
        <f t="shared" si="15"/>
        <v>חיפה כרמל</v>
      </c>
      <c r="P415" s="121" t="str">
        <f t="shared" si="15"/>
        <v>נצרת-עילית</v>
      </c>
    </row>
    <row r="416" spans="1:16" x14ac:dyDescent="0.3">
      <c r="A416" s="61">
        <v>16</v>
      </c>
      <c r="B416" s="61">
        <v>21</v>
      </c>
      <c r="C416" s="60"/>
      <c r="G416" s="62"/>
      <c r="I416" s="86" t="e">
        <f t="shared" si="14"/>
        <v>#DIV/0!</v>
      </c>
      <c r="J416" s="87" t="e">
        <f t="shared" si="14"/>
        <v>#DIV/0!</v>
      </c>
      <c r="K416" s="87" t="e">
        <f t="shared" si="14"/>
        <v>#DIV/0!</v>
      </c>
      <c r="L416" s="87" t="e">
        <f t="shared" si="14"/>
        <v>#DIV/0!</v>
      </c>
      <c r="M416" s="88" t="e">
        <f t="shared" si="14"/>
        <v>#DIV/0!</v>
      </c>
      <c r="O416" s="121" t="str">
        <f t="shared" si="15"/>
        <v>חיפה כרמל</v>
      </c>
      <c r="P416" s="121" t="str">
        <f t="shared" si="15"/>
        <v>מגדל העמק</v>
      </c>
    </row>
    <row r="417" spans="1:16" x14ac:dyDescent="0.3">
      <c r="A417" s="61">
        <v>16</v>
      </c>
      <c r="B417" s="61">
        <v>22</v>
      </c>
      <c r="C417" s="60"/>
      <c r="G417" s="62"/>
      <c r="I417" s="86" t="e">
        <f t="shared" si="14"/>
        <v>#DIV/0!</v>
      </c>
      <c r="J417" s="87" t="e">
        <f t="shared" si="14"/>
        <v>#DIV/0!</v>
      </c>
      <c r="K417" s="87" t="e">
        <f t="shared" si="14"/>
        <v>#DIV/0!</v>
      </c>
      <c r="L417" s="87" t="e">
        <f t="shared" si="14"/>
        <v>#DIV/0!</v>
      </c>
      <c r="M417" s="88" t="e">
        <f t="shared" si="14"/>
        <v>#DIV/0!</v>
      </c>
      <c r="O417" s="121" t="str">
        <f t="shared" si="15"/>
        <v>חיפה כרמל</v>
      </c>
      <c r="P417" s="121" t="str">
        <f t="shared" si="15"/>
        <v>יוקנעם</v>
      </c>
    </row>
    <row r="418" spans="1:16" x14ac:dyDescent="0.3">
      <c r="A418" s="61">
        <v>16</v>
      </c>
      <c r="B418" s="61">
        <v>23</v>
      </c>
      <c r="C418" s="60"/>
      <c r="G418" s="62"/>
      <c r="I418" s="86" t="e">
        <f t="shared" si="14"/>
        <v>#DIV/0!</v>
      </c>
      <c r="J418" s="87" t="e">
        <f t="shared" si="14"/>
        <v>#DIV/0!</v>
      </c>
      <c r="K418" s="87" t="e">
        <f t="shared" si="14"/>
        <v>#DIV/0!</v>
      </c>
      <c r="L418" s="87" t="e">
        <f t="shared" si="14"/>
        <v>#DIV/0!</v>
      </c>
      <c r="M418" s="88" t="e">
        <f t="shared" si="14"/>
        <v>#DIV/0!</v>
      </c>
      <c r="O418" s="121" t="str">
        <f t="shared" si="15"/>
        <v>חיפה כרמל</v>
      </c>
      <c r="P418" s="121" t="str">
        <f t="shared" si="15"/>
        <v>דלית אל כרמל</v>
      </c>
    </row>
    <row r="419" spans="1:16" x14ac:dyDescent="0.3">
      <c r="A419" s="61">
        <v>16</v>
      </c>
      <c r="B419" s="61">
        <v>24</v>
      </c>
      <c r="C419" s="60"/>
      <c r="G419" s="62"/>
      <c r="I419" s="86" t="e">
        <f t="shared" si="14"/>
        <v>#DIV/0!</v>
      </c>
      <c r="J419" s="87" t="e">
        <f t="shared" si="14"/>
        <v>#DIV/0!</v>
      </c>
      <c r="K419" s="87" t="e">
        <f t="shared" si="14"/>
        <v>#DIV/0!</v>
      </c>
      <c r="L419" s="87" t="e">
        <f t="shared" si="14"/>
        <v>#DIV/0!</v>
      </c>
      <c r="M419" s="88" t="e">
        <f t="shared" si="14"/>
        <v>#DIV/0!</v>
      </c>
      <c r="O419" s="121" t="str">
        <f t="shared" si="15"/>
        <v>חיפה כרמל</v>
      </c>
      <c r="P419" s="121" t="str">
        <f t="shared" si="15"/>
        <v>חוף הכרמל</v>
      </c>
    </row>
    <row r="420" spans="1:16" x14ac:dyDescent="0.3">
      <c r="A420" s="61">
        <v>16</v>
      </c>
      <c r="B420" s="61">
        <v>25</v>
      </c>
      <c r="C420" s="60"/>
      <c r="G420" s="62"/>
      <c r="I420" s="86" t="e">
        <f t="shared" si="14"/>
        <v>#DIV/0!</v>
      </c>
      <c r="J420" s="87" t="e">
        <f t="shared" si="14"/>
        <v>#DIV/0!</v>
      </c>
      <c r="K420" s="87" t="e">
        <f t="shared" si="14"/>
        <v>#DIV/0!</v>
      </c>
      <c r="L420" s="87" t="e">
        <f t="shared" si="14"/>
        <v>#DIV/0!</v>
      </c>
      <c r="M420" s="88" t="e">
        <f t="shared" si="14"/>
        <v>#DIV/0!</v>
      </c>
      <c r="O420" s="121" t="str">
        <f t="shared" si="15"/>
        <v>חיפה כרמל</v>
      </c>
      <c r="P420" s="121" t="str">
        <f t="shared" si="15"/>
        <v>זכרון יעקב</v>
      </c>
    </row>
    <row r="421" spans="1:16" x14ac:dyDescent="0.3">
      <c r="A421" s="61">
        <v>16</v>
      </c>
      <c r="B421" s="61">
        <v>30</v>
      </c>
      <c r="C421" s="60"/>
      <c r="G421" s="62"/>
      <c r="I421" s="86" t="e">
        <f t="shared" si="14"/>
        <v>#DIV/0!</v>
      </c>
      <c r="J421" s="87" t="e">
        <f t="shared" si="14"/>
        <v>#DIV/0!</v>
      </c>
      <c r="K421" s="87" t="e">
        <f t="shared" si="14"/>
        <v>#DIV/0!</v>
      </c>
      <c r="L421" s="87" t="e">
        <f t="shared" si="14"/>
        <v>#DIV/0!</v>
      </c>
      <c r="M421" s="88" t="e">
        <f t="shared" si="14"/>
        <v>#DIV/0!</v>
      </c>
      <c r="O421" s="121" t="str">
        <f t="shared" si="15"/>
        <v>חיפה כרמל</v>
      </c>
      <c r="P421" s="121" t="str">
        <f t="shared" si="15"/>
        <v>סכנין</v>
      </c>
    </row>
    <row r="422" spans="1:16" x14ac:dyDescent="0.3">
      <c r="A422" s="61">
        <v>17</v>
      </c>
      <c r="B422" s="61">
        <v>1</v>
      </c>
      <c r="C422" s="60"/>
      <c r="G422" s="62"/>
      <c r="I422" s="86" t="e">
        <f t="shared" si="14"/>
        <v>#DIV/0!</v>
      </c>
      <c r="J422" s="87" t="e">
        <f t="shared" si="14"/>
        <v>#DIV/0!</v>
      </c>
      <c r="K422" s="87" t="e">
        <f t="shared" si="14"/>
        <v>#DIV/0!</v>
      </c>
      <c r="L422" s="87" t="e">
        <f t="shared" si="14"/>
        <v>#DIV/0!</v>
      </c>
      <c r="M422" s="88" t="e">
        <f t="shared" si="14"/>
        <v>#DIV/0!</v>
      </c>
      <c r="O422" s="121" t="str">
        <f t="shared" si="15"/>
        <v>חיפה נווה שאנן</v>
      </c>
      <c r="P422" s="121" t="str">
        <f t="shared" si="15"/>
        <v>נהריה</v>
      </c>
    </row>
    <row r="423" spans="1:16" x14ac:dyDescent="0.3">
      <c r="A423" s="61">
        <v>17</v>
      </c>
      <c r="B423" s="61">
        <v>2</v>
      </c>
      <c r="C423" s="60"/>
      <c r="G423" s="62"/>
      <c r="I423" s="86" t="e">
        <f t="shared" si="14"/>
        <v>#DIV/0!</v>
      </c>
      <c r="J423" s="87" t="e">
        <f t="shared" si="14"/>
        <v>#DIV/0!</v>
      </c>
      <c r="K423" s="87" t="e">
        <f t="shared" si="14"/>
        <v>#DIV/0!</v>
      </c>
      <c r="L423" s="87" t="e">
        <f t="shared" si="14"/>
        <v>#DIV/0!</v>
      </c>
      <c r="M423" s="88" t="e">
        <f t="shared" si="14"/>
        <v>#DIV/0!</v>
      </c>
      <c r="O423" s="121" t="str">
        <f t="shared" si="15"/>
        <v>חיפה נווה שאנן</v>
      </c>
      <c r="P423" s="121" t="str">
        <f t="shared" si="15"/>
        <v>עכו</v>
      </c>
    </row>
    <row r="424" spans="1:16" x14ac:dyDescent="0.3">
      <c r="A424" s="61">
        <v>17</v>
      </c>
      <c r="B424" s="61">
        <v>3</v>
      </c>
      <c r="C424" s="60"/>
      <c r="G424" s="62"/>
      <c r="I424" s="86" t="e">
        <f t="shared" si="14"/>
        <v>#DIV/0!</v>
      </c>
      <c r="J424" s="87" t="e">
        <f t="shared" si="14"/>
        <v>#DIV/0!</v>
      </c>
      <c r="K424" s="87" t="e">
        <f t="shared" si="14"/>
        <v>#DIV/0!</v>
      </c>
      <c r="L424" s="87" t="e">
        <f t="shared" si="14"/>
        <v>#DIV/0!</v>
      </c>
      <c r="M424" s="88" t="e">
        <f t="shared" si="14"/>
        <v>#DIV/0!</v>
      </c>
      <c r="O424" s="121" t="str">
        <f t="shared" si="15"/>
        <v>חיפה נווה שאנן</v>
      </c>
      <c r="P424" s="121" t="str">
        <f t="shared" si="15"/>
        <v>כרמיאל</v>
      </c>
    </row>
    <row r="425" spans="1:16" x14ac:dyDescent="0.3">
      <c r="A425" s="61">
        <v>17</v>
      </c>
      <c r="B425" s="61">
        <v>4</v>
      </c>
      <c r="C425" s="60"/>
      <c r="G425" s="62"/>
      <c r="I425" s="86" t="e">
        <f t="shared" si="14"/>
        <v>#DIV/0!</v>
      </c>
      <c r="J425" s="87" t="e">
        <f t="shared" si="14"/>
        <v>#DIV/0!</v>
      </c>
      <c r="K425" s="87" t="e">
        <f t="shared" si="14"/>
        <v>#DIV/0!</v>
      </c>
      <c r="L425" s="87" t="e">
        <f t="shared" si="14"/>
        <v>#DIV/0!</v>
      </c>
      <c r="M425" s="88" t="e">
        <f t="shared" si="14"/>
        <v>#DIV/0!</v>
      </c>
      <c r="O425" s="121" t="str">
        <f t="shared" si="15"/>
        <v>חיפה נווה שאנן</v>
      </c>
      <c r="P425" s="121" t="str">
        <f t="shared" si="15"/>
        <v>שפרעם</v>
      </c>
    </row>
    <row r="426" spans="1:16" x14ac:dyDescent="0.3">
      <c r="A426" s="61">
        <v>17</v>
      </c>
      <c r="B426" s="61">
        <v>5</v>
      </c>
      <c r="C426" s="60"/>
      <c r="G426" s="62"/>
      <c r="I426" s="86" t="e">
        <f t="shared" si="14"/>
        <v>#DIV/0!</v>
      </c>
      <c r="J426" s="87" t="e">
        <f t="shared" si="14"/>
        <v>#DIV/0!</v>
      </c>
      <c r="K426" s="87" t="e">
        <f t="shared" si="14"/>
        <v>#DIV/0!</v>
      </c>
      <c r="L426" s="87" t="e">
        <f t="shared" si="14"/>
        <v>#DIV/0!</v>
      </c>
      <c r="M426" s="88" t="e">
        <f t="shared" si="14"/>
        <v>#DIV/0!</v>
      </c>
      <c r="O426" s="121" t="str">
        <f t="shared" si="15"/>
        <v>חיפה נווה שאנן</v>
      </c>
      <c r="P426" s="121" t="str">
        <f t="shared" si="15"/>
        <v>קרית ים</v>
      </c>
    </row>
    <row r="427" spans="1:16" x14ac:dyDescent="0.3">
      <c r="A427" s="61">
        <v>17</v>
      </c>
      <c r="B427" s="61">
        <v>6</v>
      </c>
      <c r="C427" s="60"/>
      <c r="G427" s="62"/>
      <c r="I427" s="86" t="e">
        <f t="shared" ref="I427:M477" si="16">C427/SUM($C427:$G427)</f>
        <v>#DIV/0!</v>
      </c>
      <c r="J427" s="87" t="e">
        <f t="shared" si="16"/>
        <v>#DIV/0!</v>
      </c>
      <c r="K427" s="87" t="e">
        <f t="shared" si="16"/>
        <v>#DIV/0!</v>
      </c>
      <c r="L427" s="87" t="e">
        <f t="shared" si="16"/>
        <v>#DIV/0!</v>
      </c>
      <c r="M427" s="88" t="e">
        <f t="shared" si="16"/>
        <v>#DIV/0!</v>
      </c>
      <c r="O427" s="121" t="str">
        <f t="shared" si="15"/>
        <v>חיפה נווה שאנן</v>
      </c>
      <c r="P427" s="121" t="str">
        <f t="shared" si="15"/>
        <v>קרית מוצקין</v>
      </c>
    </row>
    <row r="428" spans="1:16" x14ac:dyDescent="0.3">
      <c r="A428" s="61">
        <v>17</v>
      </c>
      <c r="B428" s="61">
        <v>7</v>
      </c>
      <c r="C428" s="60"/>
      <c r="G428" s="62"/>
      <c r="I428" s="86" t="e">
        <f t="shared" si="16"/>
        <v>#DIV/0!</v>
      </c>
      <c r="J428" s="87" t="e">
        <f t="shared" si="16"/>
        <v>#DIV/0!</v>
      </c>
      <c r="K428" s="87" t="e">
        <f t="shared" si="16"/>
        <v>#DIV/0!</v>
      </c>
      <c r="L428" s="87" t="e">
        <f t="shared" si="16"/>
        <v>#DIV/0!</v>
      </c>
      <c r="M428" s="88" t="e">
        <f t="shared" si="16"/>
        <v>#DIV/0!</v>
      </c>
      <c r="O428" s="121" t="str">
        <f t="shared" si="15"/>
        <v>חיפה נווה שאנן</v>
      </c>
      <c r="P428" s="121" t="str">
        <f t="shared" si="15"/>
        <v>קרית ביאליק</v>
      </c>
    </row>
    <row r="429" spans="1:16" x14ac:dyDescent="0.3">
      <c r="A429" s="61">
        <v>17</v>
      </c>
      <c r="B429" s="61">
        <v>8</v>
      </c>
      <c r="C429" s="60"/>
      <c r="G429" s="62"/>
      <c r="I429" s="86" t="e">
        <f t="shared" si="16"/>
        <v>#DIV/0!</v>
      </c>
      <c r="J429" s="87" t="e">
        <f t="shared" si="16"/>
        <v>#DIV/0!</v>
      </c>
      <c r="K429" s="87" t="e">
        <f t="shared" si="16"/>
        <v>#DIV/0!</v>
      </c>
      <c r="L429" s="87" t="e">
        <f t="shared" si="16"/>
        <v>#DIV/0!</v>
      </c>
      <c r="M429" s="88" t="e">
        <f t="shared" si="16"/>
        <v>#DIV/0!</v>
      </c>
      <c r="O429" s="121" t="str">
        <f t="shared" si="15"/>
        <v>חיפה נווה שאנן</v>
      </c>
      <c r="P429" s="121" t="str">
        <f t="shared" si="15"/>
        <v>קרית חיים</v>
      </c>
    </row>
    <row r="430" spans="1:16" x14ac:dyDescent="0.3">
      <c r="A430" s="61">
        <v>17</v>
      </c>
      <c r="B430" s="61">
        <v>9</v>
      </c>
      <c r="C430" s="60"/>
      <c r="G430" s="62"/>
      <c r="I430" s="86" t="e">
        <f t="shared" si="16"/>
        <v>#DIV/0!</v>
      </c>
      <c r="J430" s="87" t="e">
        <f t="shared" si="16"/>
        <v>#DIV/0!</v>
      </c>
      <c r="K430" s="87" t="e">
        <f t="shared" si="16"/>
        <v>#DIV/0!</v>
      </c>
      <c r="L430" s="87" t="e">
        <f t="shared" si="16"/>
        <v>#DIV/0!</v>
      </c>
      <c r="M430" s="88" t="e">
        <f t="shared" si="16"/>
        <v>#DIV/0!</v>
      </c>
      <c r="O430" s="121" t="str">
        <f t="shared" si="15"/>
        <v>חיפה נווה שאנן</v>
      </c>
      <c r="P430" s="121" t="str">
        <f t="shared" si="15"/>
        <v>קרית אתא</v>
      </c>
    </row>
    <row r="431" spans="1:16" x14ac:dyDescent="0.3">
      <c r="A431" s="61">
        <v>17</v>
      </c>
      <c r="B431" s="61">
        <v>10</v>
      </c>
      <c r="C431" s="60"/>
      <c r="G431" s="62"/>
      <c r="I431" s="86" t="e">
        <f t="shared" si="16"/>
        <v>#DIV/0!</v>
      </c>
      <c r="J431" s="87" t="e">
        <f t="shared" si="16"/>
        <v>#DIV/0!</v>
      </c>
      <c r="K431" s="87" t="e">
        <f t="shared" si="16"/>
        <v>#DIV/0!</v>
      </c>
      <c r="L431" s="87" t="e">
        <f t="shared" si="16"/>
        <v>#DIV/0!</v>
      </c>
      <c r="M431" s="88" t="e">
        <f t="shared" si="16"/>
        <v>#DIV/0!</v>
      </c>
      <c r="O431" s="121" t="str">
        <f t="shared" si="15"/>
        <v>חיפה נווה שאנן</v>
      </c>
      <c r="P431" s="121" t="str">
        <f t="shared" si="15"/>
        <v>כפר מנדא</v>
      </c>
    </row>
    <row r="432" spans="1:16" x14ac:dyDescent="0.3">
      <c r="A432" s="61">
        <v>17</v>
      </c>
      <c r="B432" s="61">
        <v>11</v>
      </c>
      <c r="C432" s="60"/>
      <c r="G432" s="62"/>
      <c r="I432" s="86" t="e">
        <f t="shared" si="16"/>
        <v>#DIV/0!</v>
      </c>
      <c r="J432" s="87" t="e">
        <f t="shared" si="16"/>
        <v>#DIV/0!</v>
      </c>
      <c r="K432" s="87" t="e">
        <f t="shared" si="16"/>
        <v>#DIV/0!</v>
      </c>
      <c r="L432" s="87" t="e">
        <f t="shared" si="16"/>
        <v>#DIV/0!</v>
      </c>
      <c r="M432" s="88" t="e">
        <f t="shared" si="16"/>
        <v>#DIV/0!</v>
      </c>
      <c r="O432" s="121" t="str">
        <f t="shared" si="15"/>
        <v>חיפה נווה שאנן</v>
      </c>
      <c r="P432" s="121" t="str">
        <f t="shared" si="15"/>
        <v>זבולון</v>
      </c>
    </row>
    <row r="433" spans="1:16" x14ac:dyDescent="0.3">
      <c r="A433" s="61">
        <v>17</v>
      </c>
      <c r="B433" s="61">
        <v>12</v>
      </c>
      <c r="C433" s="60"/>
      <c r="G433" s="62"/>
      <c r="I433" s="86" t="e">
        <f t="shared" si="16"/>
        <v>#DIV/0!</v>
      </c>
      <c r="J433" s="87" t="e">
        <f t="shared" si="16"/>
        <v>#DIV/0!</v>
      </c>
      <c r="K433" s="87" t="e">
        <f t="shared" si="16"/>
        <v>#DIV/0!</v>
      </c>
      <c r="L433" s="87" t="e">
        <f t="shared" si="16"/>
        <v>#DIV/0!</v>
      </c>
      <c r="M433" s="88" t="e">
        <f t="shared" si="16"/>
        <v>#DIV/0!</v>
      </c>
      <c r="O433" s="121" t="str">
        <f t="shared" si="15"/>
        <v>חיפה נווה שאנן</v>
      </c>
      <c r="P433" s="121" t="str">
        <f t="shared" si="15"/>
        <v>חיפה מפרץ</v>
      </c>
    </row>
    <row r="434" spans="1:16" x14ac:dyDescent="0.3">
      <c r="A434" s="61">
        <v>17</v>
      </c>
      <c r="B434" s="61">
        <v>13</v>
      </c>
      <c r="C434" s="60"/>
      <c r="G434" s="62"/>
      <c r="I434" s="86" t="e">
        <f t="shared" si="16"/>
        <v>#DIV/0!</v>
      </c>
      <c r="J434" s="87" t="e">
        <f t="shared" si="16"/>
        <v>#DIV/0!</v>
      </c>
      <c r="K434" s="87" t="e">
        <f t="shared" si="16"/>
        <v>#DIV/0!</v>
      </c>
      <c r="L434" s="87" t="e">
        <f t="shared" si="16"/>
        <v>#DIV/0!</v>
      </c>
      <c r="M434" s="88" t="e">
        <f t="shared" si="16"/>
        <v>#DIV/0!</v>
      </c>
      <c r="O434" s="121" t="str">
        <f t="shared" si="15"/>
        <v>חיפה נווה שאנן</v>
      </c>
      <c r="P434" s="121" t="str">
        <f t="shared" si="15"/>
        <v>חיפה עיר תחתית</v>
      </c>
    </row>
    <row r="435" spans="1:16" x14ac:dyDescent="0.3">
      <c r="A435" s="61">
        <v>17</v>
      </c>
      <c r="B435" s="61">
        <v>14</v>
      </c>
      <c r="C435" s="60"/>
      <c r="G435" s="62"/>
      <c r="I435" s="86" t="e">
        <f t="shared" si="16"/>
        <v>#DIV/0!</v>
      </c>
      <c r="J435" s="87" t="e">
        <f t="shared" si="16"/>
        <v>#DIV/0!</v>
      </c>
      <c r="K435" s="87" t="e">
        <f t="shared" si="16"/>
        <v>#DIV/0!</v>
      </c>
      <c r="L435" s="87" t="e">
        <f t="shared" si="16"/>
        <v>#DIV/0!</v>
      </c>
      <c r="M435" s="88" t="e">
        <f t="shared" si="16"/>
        <v>#DIV/0!</v>
      </c>
      <c r="O435" s="121" t="str">
        <f t="shared" si="15"/>
        <v>חיפה נווה שאנן</v>
      </c>
      <c r="P435" s="121" t="str">
        <f t="shared" si="15"/>
        <v>חיפה הדר-כרמל</v>
      </c>
    </row>
    <row r="436" spans="1:16" x14ac:dyDescent="0.3">
      <c r="A436" s="61">
        <v>17</v>
      </c>
      <c r="B436" s="61">
        <v>15</v>
      </c>
      <c r="C436" s="60"/>
      <c r="G436" s="62"/>
      <c r="I436" s="86" t="e">
        <f t="shared" si="16"/>
        <v>#DIV/0!</v>
      </c>
      <c r="J436" s="87" t="e">
        <f t="shared" si="16"/>
        <v>#DIV/0!</v>
      </c>
      <c r="K436" s="87" t="e">
        <f t="shared" si="16"/>
        <v>#DIV/0!</v>
      </c>
      <c r="L436" s="87" t="e">
        <f t="shared" si="16"/>
        <v>#DIV/0!</v>
      </c>
      <c r="M436" s="88" t="e">
        <f t="shared" si="16"/>
        <v>#DIV/0!</v>
      </c>
      <c r="O436" s="121" t="str">
        <f t="shared" si="15"/>
        <v>חיפה נווה שאנן</v>
      </c>
      <c r="P436" s="121" t="str">
        <f t="shared" si="15"/>
        <v>חיפה מערב</v>
      </c>
    </row>
    <row r="437" spans="1:16" x14ac:dyDescent="0.3">
      <c r="A437" s="61">
        <v>17</v>
      </c>
      <c r="B437" s="61">
        <v>16</v>
      </c>
      <c r="C437" s="60"/>
      <c r="G437" s="62"/>
      <c r="I437" s="86" t="e">
        <f t="shared" si="16"/>
        <v>#DIV/0!</v>
      </c>
      <c r="J437" s="87" t="e">
        <f t="shared" si="16"/>
        <v>#DIV/0!</v>
      </c>
      <c r="K437" s="87" t="e">
        <f t="shared" si="16"/>
        <v>#DIV/0!</v>
      </c>
      <c r="L437" s="87" t="e">
        <f t="shared" si="16"/>
        <v>#DIV/0!</v>
      </c>
      <c r="M437" s="88" t="e">
        <f t="shared" si="16"/>
        <v>#DIV/0!</v>
      </c>
      <c r="O437" s="121" t="str">
        <f t="shared" si="15"/>
        <v>חיפה נווה שאנן</v>
      </c>
      <c r="P437" s="121" t="str">
        <f t="shared" si="15"/>
        <v>חיפה כרמל</v>
      </c>
    </row>
    <row r="438" spans="1:16" x14ac:dyDescent="0.3">
      <c r="A438" s="61">
        <v>17</v>
      </c>
      <c r="B438" s="61">
        <v>17</v>
      </c>
      <c r="C438" s="60"/>
      <c r="G438" s="62"/>
      <c r="I438" s="86" t="e">
        <f t="shared" si="16"/>
        <v>#DIV/0!</v>
      </c>
      <c r="J438" s="87" t="e">
        <f t="shared" si="16"/>
        <v>#DIV/0!</v>
      </c>
      <c r="K438" s="87" t="e">
        <f t="shared" si="16"/>
        <v>#DIV/0!</v>
      </c>
      <c r="L438" s="87" t="e">
        <f t="shared" si="16"/>
        <v>#DIV/0!</v>
      </c>
      <c r="M438" s="88" t="e">
        <f t="shared" si="16"/>
        <v>#DIV/0!</v>
      </c>
      <c r="O438" s="121" t="str">
        <f t="shared" si="15"/>
        <v>חיפה נווה שאנן</v>
      </c>
      <c r="P438" s="121" t="str">
        <f t="shared" si="15"/>
        <v>חיפה נווה שאנן</v>
      </c>
    </row>
    <row r="439" spans="1:16" x14ac:dyDescent="0.3">
      <c r="A439" s="61">
        <v>17</v>
      </c>
      <c r="B439" s="61">
        <v>18</v>
      </c>
      <c r="C439" s="60"/>
      <c r="G439" s="62"/>
      <c r="I439" s="86" t="e">
        <f t="shared" si="16"/>
        <v>#DIV/0!</v>
      </c>
      <c r="J439" s="87" t="e">
        <f t="shared" si="16"/>
        <v>#DIV/0!</v>
      </c>
      <c r="K439" s="87" t="e">
        <f t="shared" si="16"/>
        <v>#DIV/0!</v>
      </c>
      <c r="L439" s="87" t="e">
        <f t="shared" si="16"/>
        <v>#DIV/0!</v>
      </c>
      <c r="M439" s="88" t="e">
        <f t="shared" si="16"/>
        <v>#DIV/0!</v>
      </c>
      <c r="O439" s="121" t="str">
        <f t="shared" si="15"/>
        <v>חיפה נווה שאנן</v>
      </c>
      <c r="P439" s="121" t="str">
        <f t="shared" si="15"/>
        <v>נשר</v>
      </c>
    </row>
    <row r="440" spans="1:16" x14ac:dyDescent="0.3">
      <c r="A440" s="61">
        <v>17</v>
      </c>
      <c r="B440" s="61">
        <v>19</v>
      </c>
      <c r="C440" s="60"/>
      <c r="G440" s="62"/>
      <c r="I440" s="86" t="e">
        <f t="shared" si="16"/>
        <v>#DIV/0!</v>
      </c>
      <c r="J440" s="87" t="e">
        <f t="shared" si="16"/>
        <v>#DIV/0!</v>
      </c>
      <c r="K440" s="87" t="e">
        <f t="shared" si="16"/>
        <v>#DIV/0!</v>
      </c>
      <c r="L440" s="87" t="e">
        <f t="shared" si="16"/>
        <v>#DIV/0!</v>
      </c>
      <c r="M440" s="88" t="e">
        <f t="shared" si="16"/>
        <v>#DIV/0!</v>
      </c>
      <c r="O440" s="121" t="str">
        <f t="shared" si="15"/>
        <v>חיפה נווה שאנן</v>
      </c>
      <c r="P440" s="121" t="str">
        <f t="shared" si="15"/>
        <v>נצרת</v>
      </c>
    </row>
    <row r="441" spans="1:16" x14ac:dyDescent="0.3">
      <c r="A441" s="61">
        <v>17</v>
      </c>
      <c r="B441" s="61">
        <v>20</v>
      </c>
      <c r="C441" s="60"/>
      <c r="G441" s="62"/>
      <c r="I441" s="86" t="e">
        <f t="shared" si="16"/>
        <v>#DIV/0!</v>
      </c>
      <c r="J441" s="87" t="e">
        <f t="shared" si="16"/>
        <v>#DIV/0!</v>
      </c>
      <c r="K441" s="87" t="e">
        <f t="shared" si="16"/>
        <v>#DIV/0!</v>
      </c>
      <c r="L441" s="87" t="e">
        <f t="shared" si="16"/>
        <v>#DIV/0!</v>
      </c>
      <c r="M441" s="88" t="e">
        <f t="shared" si="16"/>
        <v>#DIV/0!</v>
      </c>
      <c r="O441" s="121" t="str">
        <f t="shared" si="15"/>
        <v>חיפה נווה שאנן</v>
      </c>
      <c r="P441" s="121" t="str">
        <f t="shared" si="15"/>
        <v>נצרת-עילית</v>
      </c>
    </row>
    <row r="442" spans="1:16" x14ac:dyDescent="0.3">
      <c r="A442" s="61">
        <v>17</v>
      </c>
      <c r="B442" s="61">
        <v>21</v>
      </c>
      <c r="C442" s="60"/>
      <c r="G442" s="62"/>
      <c r="I442" s="86" t="e">
        <f t="shared" si="16"/>
        <v>#DIV/0!</v>
      </c>
      <c r="J442" s="87" t="e">
        <f t="shared" si="16"/>
        <v>#DIV/0!</v>
      </c>
      <c r="K442" s="87" t="e">
        <f t="shared" si="16"/>
        <v>#DIV/0!</v>
      </c>
      <c r="L442" s="87" t="e">
        <f t="shared" si="16"/>
        <v>#DIV/0!</v>
      </c>
      <c r="M442" s="88" t="e">
        <f t="shared" si="16"/>
        <v>#DIV/0!</v>
      </c>
      <c r="O442" s="121" t="str">
        <f t="shared" si="15"/>
        <v>חיפה נווה שאנן</v>
      </c>
      <c r="P442" s="121" t="str">
        <f t="shared" si="15"/>
        <v>מגדל העמק</v>
      </c>
    </row>
    <row r="443" spans="1:16" x14ac:dyDescent="0.3">
      <c r="A443" s="61">
        <v>17</v>
      </c>
      <c r="B443" s="61">
        <v>22</v>
      </c>
      <c r="C443" s="60"/>
      <c r="G443" s="62"/>
      <c r="I443" s="86" t="e">
        <f t="shared" si="16"/>
        <v>#DIV/0!</v>
      </c>
      <c r="J443" s="87" t="e">
        <f t="shared" si="16"/>
        <v>#DIV/0!</v>
      </c>
      <c r="K443" s="87" t="e">
        <f t="shared" si="16"/>
        <v>#DIV/0!</v>
      </c>
      <c r="L443" s="87" t="e">
        <f t="shared" si="16"/>
        <v>#DIV/0!</v>
      </c>
      <c r="M443" s="88" t="e">
        <f t="shared" si="16"/>
        <v>#DIV/0!</v>
      </c>
      <c r="O443" s="121" t="str">
        <f t="shared" si="15"/>
        <v>חיפה נווה שאנן</v>
      </c>
      <c r="P443" s="121" t="str">
        <f t="shared" si="15"/>
        <v>יוקנעם</v>
      </c>
    </row>
    <row r="444" spans="1:16" x14ac:dyDescent="0.3">
      <c r="A444" s="61">
        <v>17</v>
      </c>
      <c r="B444" s="61">
        <v>23</v>
      </c>
      <c r="C444" s="60"/>
      <c r="G444" s="62"/>
      <c r="I444" s="86" t="e">
        <f t="shared" si="16"/>
        <v>#DIV/0!</v>
      </c>
      <c r="J444" s="87" t="e">
        <f t="shared" si="16"/>
        <v>#DIV/0!</v>
      </c>
      <c r="K444" s="87" t="e">
        <f t="shared" si="16"/>
        <v>#DIV/0!</v>
      </c>
      <c r="L444" s="87" t="e">
        <f t="shared" si="16"/>
        <v>#DIV/0!</v>
      </c>
      <c r="M444" s="88" t="e">
        <f t="shared" si="16"/>
        <v>#DIV/0!</v>
      </c>
      <c r="O444" s="121" t="str">
        <f t="shared" si="15"/>
        <v>חיפה נווה שאנן</v>
      </c>
      <c r="P444" s="121" t="str">
        <f t="shared" si="15"/>
        <v>דלית אל כרמל</v>
      </c>
    </row>
    <row r="445" spans="1:16" x14ac:dyDescent="0.3">
      <c r="A445" s="61">
        <v>17</v>
      </c>
      <c r="B445" s="61">
        <v>24</v>
      </c>
      <c r="C445" s="60"/>
      <c r="G445" s="62"/>
      <c r="I445" s="86" t="e">
        <f t="shared" si="16"/>
        <v>#DIV/0!</v>
      </c>
      <c r="J445" s="87" t="e">
        <f t="shared" si="16"/>
        <v>#DIV/0!</v>
      </c>
      <c r="K445" s="87" t="e">
        <f t="shared" si="16"/>
        <v>#DIV/0!</v>
      </c>
      <c r="L445" s="87" t="e">
        <f t="shared" si="16"/>
        <v>#DIV/0!</v>
      </c>
      <c r="M445" s="88" t="e">
        <f t="shared" si="16"/>
        <v>#DIV/0!</v>
      </c>
      <c r="O445" s="121" t="str">
        <f t="shared" si="15"/>
        <v>חיפה נווה שאנן</v>
      </c>
      <c r="P445" s="121" t="str">
        <f t="shared" si="15"/>
        <v>חוף הכרמל</v>
      </c>
    </row>
    <row r="446" spans="1:16" x14ac:dyDescent="0.3">
      <c r="A446" s="61">
        <v>17</v>
      </c>
      <c r="B446" s="61">
        <v>25</v>
      </c>
      <c r="C446" s="60"/>
      <c r="G446" s="62"/>
      <c r="I446" s="86" t="e">
        <f t="shared" si="16"/>
        <v>#DIV/0!</v>
      </c>
      <c r="J446" s="87" t="e">
        <f t="shared" si="16"/>
        <v>#DIV/0!</v>
      </c>
      <c r="K446" s="87" t="e">
        <f t="shared" si="16"/>
        <v>#DIV/0!</v>
      </c>
      <c r="L446" s="87" t="e">
        <f t="shared" si="16"/>
        <v>#DIV/0!</v>
      </c>
      <c r="M446" s="88" t="e">
        <f t="shared" si="16"/>
        <v>#DIV/0!</v>
      </c>
      <c r="O446" s="121" t="str">
        <f t="shared" si="15"/>
        <v>חיפה נווה שאנן</v>
      </c>
      <c r="P446" s="121" t="str">
        <f t="shared" si="15"/>
        <v>זכרון יעקב</v>
      </c>
    </row>
    <row r="447" spans="1:16" x14ac:dyDescent="0.3">
      <c r="A447" s="61">
        <v>17</v>
      </c>
      <c r="B447" s="61">
        <v>30</v>
      </c>
      <c r="C447" s="60"/>
      <c r="G447" s="62"/>
      <c r="I447" s="86" t="e">
        <f t="shared" si="16"/>
        <v>#DIV/0!</v>
      </c>
      <c r="J447" s="87" t="e">
        <f t="shared" si="16"/>
        <v>#DIV/0!</v>
      </c>
      <c r="K447" s="87" t="e">
        <f t="shared" si="16"/>
        <v>#DIV/0!</v>
      </c>
      <c r="L447" s="87" t="e">
        <f t="shared" si="16"/>
        <v>#DIV/0!</v>
      </c>
      <c r="M447" s="88" t="e">
        <f t="shared" si="16"/>
        <v>#DIV/0!</v>
      </c>
      <c r="O447" s="121" t="str">
        <f t="shared" si="15"/>
        <v>חיפה נווה שאנן</v>
      </c>
      <c r="P447" s="121" t="str">
        <f t="shared" si="15"/>
        <v>סכנין</v>
      </c>
    </row>
    <row r="448" spans="1:16" x14ac:dyDescent="0.3">
      <c r="A448" s="61">
        <v>18</v>
      </c>
      <c r="B448" s="61">
        <v>1</v>
      </c>
      <c r="C448" s="60"/>
      <c r="G448" s="62"/>
      <c r="I448" s="86" t="e">
        <f t="shared" si="16"/>
        <v>#DIV/0!</v>
      </c>
      <c r="J448" s="87" t="e">
        <f t="shared" si="16"/>
        <v>#DIV/0!</v>
      </c>
      <c r="K448" s="87" t="e">
        <f t="shared" si="16"/>
        <v>#DIV/0!</v>
      </c>
      <c r="L448" s="87" t="e">
        <f t="shared" si="16"/>
        <v>#DIV/0!</v>
      </c>
      <c r="M448" s="88" t="e">
        <f t="shared" si="16"/>
        <v>#DIV/0!</v>
      </c>
      <c r="O448" s="121" t="str">
        <f t="shared" si="15"/>
        <v>נשר</v>
      </c>
      <c r="P448" s="121" t="str">
        <f t="shared" si="15"/>
        <v>נהריה</v>
      </c>
    </row>
    <row r="449" spans="1:16" x14ac:dyDescent="0.3">
      <c r="A449" s="61">
        <v>18</v>
      </c>
      <c r="B449" s="61">
        <v>2</v>
      </c>
      <c r="C449" s="60"/>
      <c r="G449" s="62"/>
      <c r="I449" s="86" t="e">
        <f t="shared" si="16"/>
        <v>#DIV/0!</v>
      </c>
      <c r="J449" s="87" t="e">
        <f t="shared" si="16"/>
        <v>#DIV/0!</v>
      </c>
      <c r="K449" s="87" t="e">
        <f t="shared" si="16"/>
        <v>#DIV/0!</v>
      </c>
      <c r="L449" s="87" t="e">
        <f t="shared" si="16"/>
        <v>#DIV/0!</v>
      </c>
      <c r="M449" s="88" t="e">
        <f t="shared" si="16"/>
        <v>#DIV/0!</v>
      </c>
      <c r="O449" s="121" t="str">
        <f t="shared" si="15"/>
        <v>נשר</v>
      </c>
      <c r="P449" s="121" t="str">
        <f t="shared" si="15"/>
        <v>עכו</v>
      </c>
    </row>
    <row r="450" spans="1:16" x14ac:dyDescent="0.3">
      <c r="A450" s="61">
        <v>18</v>
      </c>
      <c r="B450" s="61">
        <v>3</v>
      </c>
      <c r="C450" s="60"/>
      <c r="G450" s="62"/>
      <c r="I450" s="86" t="e">
        <f t="shared" si="16"/>
        <v>#DIV/0!</v>
      </c>
      <c r="J450" s="87" t="e">
        <f t="shared" si="16"/>
        <v>#DIV/0!</v>
      </c>
      <c r="K450" s="87" t="e">
        <f t="shared" si="16"/>
        <v>#DIV/0!</v>
      </c>
      <c r="L450" s="87" t="e">
        <f t="shared" si="16"/>
        <v>#DIV/0!</v>
      </c>
      <c r="M450" s="88" t="e">
        <f t="shared" si="16"/>
        <v>#DIV/0!</v>
      </c>
      <c r="O450" s="121" t="str">
        <f t="shared" si="15"/>
        <v>נשר</v>
      </c>
      <c r="P450" s="121" t="str">
        <f t="shared" si="15"/>
        <v>כרמיאל</v>
      </c>
    </row>
    <row r="451" spans="1:16" x14ac:dyDescent="0.3">
      <c r="A451" s="61">
        <v>18</v>
      </c>
      <c r="B451" s="61">
        <v>4</v>
      </c>
      <c r="C451" s="60"/>
      <c r="G451" s="62"/>
      <c r="I451" s="86" t="e">
        <f t="shared" si="16"/>
        <v>#DIV/0!</v>
      </c>
      <c r="J451" s="87" t="e">
        <f t="shared" si="16"/>
        <v>#DIV/0!</v>
      </c>
      <c r="K451" s="87" t="e">
        <f t="shared" si="16"/>
        <v>#DIV/0!</v>
      </c>
      <c r="L451" s="87" t="e">
        <f t="shared" si="16"/>
        <v>#DIV/0!</v>
      </c>
      <c r="M451" s="88" t="e">
        <f t="shared" si="16"/>
        <v>#DIV/0!</v>
      </c>
      <c r="O451" s="121" t="str">
        <f t="shared" si="15"/>
        <v>נשר</v>
      </c>
      <c r="P451" s="121" t="str">
        <f t="shared" si="15"/>
        <v>שפרעם</v>
      </c>
    </row>
    <row r="452" spans="1:16" x14ac:dyDescent="0.3">
      <c r="A452" s="61">
        <v>18</v>
      </c>
      <c r="B452" s="61">
        <v>5</v>
      </c>
      <c r="C452" s="60"/>
      <c r="G452" s="62"/>
      <c r="I452" s="86" t="e">
        <f t="shared" si="16"/>
        <v>#DIV/0!</v>
      </c>
      <c r="J452" s="87" t="e">
        <f t="shared" si="16"/>
        <v>#DIV/0!</v>
      </c>
      <c r="K452" s="87" t="e">
        <f t="shared" si="16"/>
        <v>#DIV/0!</v>
      </c>
      <c r="L452" s="87" t="e">
        <f t="shared" si="16"/>
        <v>#DIV/0!</v>
      </c>
      <c r="M452" s="88" t="e">
        <f t="shared" si="16"/>
        <v>#DIV/0!</v>
      </c>
      <c r="O452" s="121" t="str">
        <f t="shared" si="15"/>
        <v>נשר</v>
      </c>
      <c r="P452" s="121" t="str">
        <f t="shared" si="15"/>
        <v>קרית ים</v>
      </c>
    </row>
    <row r="453" spans="1:16" x14ac:dyDescent="0.3">
      <c r="A453" s="61">
        <v>18</v>
      </c>
      <c r="B453" s="61">
        <v>6</v>
      </c>
      <c r="C453" s="60"/>
      <c r="G453" s="62"/>
      <c r="I453" s="86" t="e">
        <f t="shared" si="16"/>
        <v>#DIV/0!</v>
      </c>
      <c r="J453" s="87" t="e">
        <f t="shared" si="16"/>
        <v>#DIV/0!</v>
      </c>
      <c r="K453" s="87" t="e">
        <f t="shared" si="16"/>
        <v>#DIV/0!</v>
      </c>
      <c r="L453" s="87" t="e">
        <f t="shared" si="16"/>
        <v>#DIV/0!</v>
      </c>
      <c r="M453" s="88" t="e">
        <f t="shared" si="16"/>
        <v>#DIV/0!</v>
      </c>
      <c r="O453" s="121" t="str">
        <f t="shared" si="15"/>
        <v>נשר</v>
      </c>
      <c r="P453" s="121" t="str">
        <f t="shared" si="15"/>
        <v>קרית מוצקין</v>
      </c>
    </row>
    <row r="454" spans="1:16" x14ac:dyDescent="0.3">
      <c r="A454" s="61">
        <v>18</v>
      </c>
      <c r="B454" s="61">
        <v>7</v>
      </c>
      <c r="C454" s="60"/>
      <c r="G454" s="62"/>
      <c r="I454" s="86" t="e">
        <f t="shared" si="16"/>
        <v>#DIV/0!</v>
      </c>
      <c r="J454" s="87" t="e">
        <f t="shared" si="16"/>
        <v>#DIV/0!</v>
      </c>
      <c r="K454" s="87" t="e">
        <f t="shared" si="16"/>
        <v>#DIV/0!</v>
      </c>
      <c r="L454" s="87" t="e">
        <f t="shared" si="16"/>
        <v>#DIV/0!</v>
      </c>
      <c r="M454" s="88" t="e">
        <f t="shared" si="16"/>
        <v>#DIV/0!</v>
      </c>
      <c r="O454" s="121" t="str">
        <f t="shared" si="15"/>
        <v>נשר</v>
      </c>
      <c r="P454" s="121" t="str">
        <f t="shared" si="15"/>
        <v>קרית ביאליק</v>
      </c>
    </row>
    <row r="455" spans="1:16" x14ac:dyDescent="0.3">
      <c r="A455" s="61">
        <v>18</v>
      </c>
      <c r="B455" s="61">
        <v>8</v>
      </c>
      <c r="C455" s="60"/>
      <c r="G455" s="62"/>
      <c r="I455" s="86" t="e">
        <f t="shared" si="16"/>
        <v>#DIV/0!</v>
      </c>
      <c r="J455" s="87" t="e">
        <f t="shared" si="16"/>
        <v>#DIV/0!</v>
      </c>
      <c r="K455" s="87" t="e">
        <f t="shared" si="16"/>
        <v>#DIV/0!</v>
      </c>
      <c r="L455" s="87" t="e">
        <f t="shared" si="16"/>
        <v>#DIV/0!</v>
      </c>
      <c r="M455" s="88" t="e">
        <f t="shared" si="16"/>
        <v>#DIV/0!</v>
      </c>
      <c r="O455" s="121" t="str">
        <f t="shared" ref="O455:P518" si="17">VLOOKUP(A455,$S$6:$T$31,2,0)</f>
        <v>נשר</v>
      </c>
      <c r="P455" s="121" t="str">
        <f t="shared" si="17"/>
        <v>קרית חיים</v>
      </c>
    </row>
    <row r="456" spans="1:16" x14ac:dyDescent="0.3">
      <c r="A456" s="61">
        <v>18</v>
      </c>
      <c r="B456" s="61">
        <v>9</v>
      </c>
      <c r="C456" s="60"/>
      <c r="G456" s="62"/>
      <c r="I456" s="86" t="e">
        <f t="shared" si="16"/>
        <v>#DIV/0!</v>
      </c>
      <c r="J456" s="87" t="e">
        <f t="shared" si="16"/>
        <v>#DIV/0!</v>
      </c>
      <c r="K456" s="87" t="e">
        <f t="shared" si="16"/>
        <v>#DIV/0!</v>
      </c>
      <c r="L456" s="87" t="e">
        <f t="shared" si="16"/>
        <v>#DIV/0!</v>
      </c>
      <c r="M456" s="88" t="e">
        <f t="shared" si="16"/>
        <v>#DIV/0!</v>
      </c>
      <c r="O456" s="121" t="str">
        <f t="shared" si="17"/>
        <v>נשר</v>
      </c>
      <c r="P456" s="121" t="str">
        <f t="shared" si="17"/>
        <v>קרית אתא</v>
      </c>
    </row>
    <row r="457" spans="1:16" x14ac:dyDescent="0.3">
      <c r="A457" s="61">
        <v>18</v>
      </c>
      <c r="B457" s="61">
        <v>10</v>
      </c>
      <c r="C457" s="60"/>
      <c r="G457" s="62"/>
      <c r="I457" s="86" t="e">
        <f t="shared" si="16"/>
        <v>#DIV/0!</v>
      </c>
      <c r="J457" s="87" t="e">
        <f t="shared" si="16"/>
        <v>#DIV/0!</v>
      </c>
      <c r="K457" s="87" t="e">
        <f t="shared" si="16"/>
        <v>#DIV/0!</v>
      </c>
      <c r="L457" s="87" t="e">
        <f t="shared" si="16"/>
        <v>#DIV/0!</v>
      </c>
      <c r="M457" s="88" t="e">
        <f t="shared" si="16"/>
        <v>#DIV/0!</v>
      </c>
      <c r="O457" s="121" t="str">
        <f t="shared" si="17"/>
        <v>נשר</v>
      </c>
      <c r="P457" s="121" t="str">
        <f t="shared" si="17"/>
        <v>כפר מנדא</v>
      </c>
    </row>
    <row r="458" spans="1:16" x14ac:dyDescent="0.3">
      <c r="A458" s="61">
        <v>18</v>
      </c>
      <c r="B458" s="61">
        <v>11</v>
      </c>
      <c r="C458" s="60"/>
      <c r="G458" s="62"/>
      <c r="I458" s="86" t="e">
        <f t="shared" si="16"/>
        <v>#DIV/0!</v>
      </c>
      <c r="J458" s="87" t="e">
        <f t="shared" si="16"/>
        <v>#DIV/0!</v>
      </c>
      <c r="K458" s="87" t="e">
        <f t="shared" si="16"/>
        <v>#DIV/0!</v>
      </c>
      <c r="L458" s="87" t="e">
        <f t="shared" si="16"/>
        <v>#DIV/0!</v>
      </c>
      <c r="M458" s="88" t="e">
        <f t="shared" si="16"/>
        <v>#DIV/0!</v>
      </c>
      <c r="O458" s="121" t="str">
        <f t="shared" si="17"/>
        <v>נשר</v>
      </c>
      <c r="P458" s="121" t="str">
        <f t="shared" si="17"/>
        <v>זבולון</v>
      </c>
    </row>
    <row r="459" spans="1:16" x14ac:dyDescent="0.3">
      <c r="A459" s="61">
        <v>18</v>
      </c>
      <c r="B459" s="61">
        <v>12</v>
      </c>
      <c r="C459" s="60"/>
      <c r="G459" s="62"/>
      <c r="I459" s="86" t="e">
        <f t="shared" si="16"/>
        <v>#DIV/0!</v>
      </c>
      <c r="J459" s="87" t="e">
        <f t="shared" si="16"/>
        <v>#DIV/0!</v>
      </c>
      <c r="K459" s="87" t="e">
        <f t="shared" si="16"/>
        <v>#DIV/0!</v>
      </c>
      <c r="L459" s="87" t="e">
        <f t="shared" si="16"/>
        <v>#DIV/0!</v>
      </c>
      <c r="M459" s="88" t="e">
        <f t="shared" si="16"/>
        <v>#DIV/0!</v>
      </c>
      <c r="O459" s="121" t="str">
        <f t="shared" si="17"/>
        <v>נשר</v>
      </c>
      <c r="P459" s="121" t="str">
        <f t="shared" si="17"/>
        <v>חיפה מפרץ</v>
      </c>
    </row>
    <row r="460" spans="1:16" x14ac:dyDescent="0.3">
      <c r="A460" s="61">
        <v>18</v>
      </c>
      <c r="B460" s="61">
        <v>13</v>
      </c>
      <c r="C460" s="60"/>
      <c r="G460" s="62"/>
      <c r="I460" s="86" t="e">
        <f t="shared" si="16"/>
        <v>#DIV/0!</v>
      </c>
      <c r="J460" s="87" t="e">
        <f t="shared" si="16"/>
        <v>#DIV/0!</v>
      </c>
      <c r="K460" s="87" t="e">
        <f t="shared" si="16"/>
        <v>#DIV/0!</v>
      </c>
      <c r="L460" s="87" t="e">
        <f t="shared" si="16"/>
        <v>#DIV/0!</v>
      </c>
      <c r="M460" s="88" t="e">
        <f t="shared" si="16"/>
        <v>#DIV/0!</v>
      </c>
      <c r="O460" s="121" t="str">
        <f t="shared" si="17"/>
        <v>נשר</v>
      </c>
      <c r="P460" s="121" t="str">
        <f t="shared" si="17"/>
        <v>חיפה עיר תחתית</v>
      </c>
    </row>
    <row r="461" spans="1:16" x14ac:dyDescent="0.3">
      <c r="A461" s="61">
        <v>18</v>
      </c>
      <c r="B461" s="61">
        <v>14</v>
      </c>
      <c r="C461" s="60"/>
      <c r="G461" s="62"/>
      <c r="I461" s="86" t="e">
        <f t="shared" si="16"/>
        <v>#DIV/0!</v>
      </c>
      <c r="J461" s="87" t="e">
        <f t="shared" si="16"/>
        <v>#DIV/0!</v>
      </c>
      <c r="K461" s="87" t="e">
        <f t="shared" si="16"/>
        <v>#DIV/0!</v>
      </c>
      <c r="L461" s="87" t="e">
        <f t="shared" si="16"/>
        <v>#DIV/0!</v>
      </c>
      <c r="M461" s="88" t="e">
        <f t="shared" si="16"/>
        <v>#DIV/0!</v>
      </c>
      <c r="O461" s="121" t="str">
        <f t="shared" si="17"/>
        <v>נשר</v>
      </c>
      <c r="P461" s="121" t="str">
        <f t="shared" si="17"/>
        <v>חיפה הדר-כרמל</v>
      </c>
    </row>
    <row r="462" spans="1:16" x14ac:dyDescent="0.3">
      <c r="A462" s="61">
        <v>18</v>
      </c>
      <c r="B462" s="61">
        <v>15</v>
      </c>
      <c r="C462" s="60"/>
      <c r="G462" s="62"/>
      <c r="I462" s="86" t="e">
        <f t="shared" si="16"/>
        <v>#DIV/0!</v>
      </c>
      <c r="J462" s="87" t="e">
        <f t="shared" si="16"/>
        <v>#DIV/0!</v>
      </c>
      <c r="K462" s="87" t="e">
        <f t="shared" si="16"/>
        <v>#DIV/0!</v>
      </c>
      <c r="L462" s="87" t="e">
        <f t="shared" si="16"/>
        <v>#DIV/0!</v>
      </c>
      <c r="M462" s="88" t="e">
        <f t="shared" si="16"/>
        <v>#DIV/0!</v>
      </c>
      <c r="O462" s="121" t="str">
        <f t="shared" si="17"/>
        <v>נשר</v>
      </c>
      <c r="P462" s="121" t="str">
        <f t="shared" si="17"/>
        <v>חיפה מערב</v>
      </c>
    </row>
    <row r="463" spans="1:16" x14ac:dyDescent="0.3">
      <c r="A463" s="61">
        <v>18</v>
      </c>
      <c r="B463" s="61">
        <v>16</v>
      </c>
      <c r="C463" s="60"/>
      <c r="G463" s="62"/>
      <c r="I463" s="86" t="e">
        <f t="shared" si="16"/>
        <v>#DIV/0!</v>
      </c>
      <c r="J463" s="87" t="e">
        <f t="shared" si="16"/>
        <v>#DIV/0!</v>
      </c>
      <c r="K463" s="87" t="e">
        <f t="shared" si="16"/>
        <v>#DIV/0!</v>
      </c>
      <c r="L463" s="87" t="e">
        <f t="shared" si="16"/>
        <v>#DIV/0!</v>
      </c>
      <c r="M463" s="88" t="e">
        <f t="shared" si="16"/>
        <v>#DIV/0!</v>
      </c>
      <c r="O463" s="121" t="str">
        <f t="shared" si="17"/>
        <v>נשר</v>
      </c>
      <c r="P463" s="121" t="str">
        <f t="shared" si="17"/>
        <v>חיפה כרמל</v>
      </c>
    </row>
    <row r="464" spans="1:16" x14ac:dyDescent="0.3">
      <c r="A464" s="61">
        <v>18</v>
      </c>
      <c r="B464" s="61">
        <v>17</v>
      </c>
      <c r="C464" s="60"/>
      <c r="G464" s="62"/>
      <c r="I464" s="86" t="e">
        <f t="shared" si="16"/>
        <v>#DIV/0!</v>
      </c>
      <c r="J464" s="87" t="e">
        <f t="shared" si="16"/>
        <v>#DIV/0!</v>
      </c>
      <c r="K464" s="87" t="e">
        <f t="shared" si="16"/>
        <v>#DIV/0!</v>
      </c>
      <c r="L464" s="87" t="e">
        <f t="shared" si="16"/>
        <v>#DIV/0!</v>
      </c>
      <c r="M464" s="88" t="e">
        <f t="shared" si="16"/>
        <v>#DIV/0!</v>
      </c>
      <c r="O464" s="121" t="str">
        <f t="shared" si="17"/>
        <v>נשר</v>
      </c>
      <c r="P464" s="121" t="str">
        <f t="shared" si="17"/>
        <v>חיפה נווה שאנן</v>
      </c>
    </row>
    <row r="465" spans="1:16" x14ac:dyDescent="0.3">
      <c r="A465" s="61">
        <v>18</v>
      </c>
      <c r="B465" s="61">
        <v>18</v>
      </c>
      <c r="C465" s="60"/>
      <c r="G465" s="62"/>
      <c r="I465" s="86" t="e">
        <f t="shared" si="16"/>
        <v>#DIV/0!</v>
      </c>
      <c r="J465" s="87" t="e">
        <f t="shared" si="16"/>
        <v>#DIV/0!</v>
      </c>
      <c r="K465" s="87" t="e">
        <f t="shared" si="16"/>
        <v>#DIV/0!</v>
      </c>
      <c r="L465" s="87" t="e">
        <f t="shared" si="16"/>
        <v>#DIV/0!</v>
      </c>
      <c r="M465" s="88" t="e">
        <f t="shared" si="16"/>
        <v>#DIV/0!</v>
      </c>
      <c r="O465" s="121" t="str">
        <f t="shared" si="17"/>
        <v>נשר</v>
      </c>
      <c r="P465" s="121" t="str">
        <f t="shared" si="17"/>
        <v>נשר</v>
      </c>
    </row>
    <row r="466" spans="1:16" x14ac:dyDescent="0.3">
      <c r="A466" s="61">
        <v>18</v>
      </c>
      <c r="B466" s="61">
        <v>19</v>
      </c>
      <c r="C466" s="60"/>
      <c r="G466" s="62"/>
      <c r="I466" s="86" t="e">
        <f t="shared" si="16"/>
        <v>#DIV/0!</v>
      </c>
      <c r="J466" s="87" t="e">
        <f t="shared" si="16"/>
        <v>#DIV/0!</v>
      </c>
      <c r="K466" s="87" t="e">
        <f t="shared" si="16"/>
        <v>#DIV/0!</v>
      </c>
      <c r="L466" s="87" t="e">
        <f t="shared" si="16"/>
        <v>#DIV/0!</v>
      </c>
      <c r="M466" s="88" t="e">
        <f t="shared" si="16"/>
        <v>#DIV/0!</v>
      </c>
      <c r="O466" s="121" t="str">
        <f t="shared" si="17"/>
        <v>נשר</v>
      </c>
      <c r="P466" s="121" t="str">
        <f t="shared" si="17"/>
        <v>נצרת</v>
      </c>
    </row>
    <row r="467" spans="1:16" x14ac:dyDescent="0.3">
      <c r="A467" s="61">
        <v>18</v>
      </c>
      <c r="B467" s="61">
        <v>20</v>
      </c>
      <c r="C467" s="60"/>
      <c r="G467" s="62"/>
      <c r="I467" s="86" t="e">
        <f t="shared" si="16"/>
        <v>#DIV/0!</v>
      </c>
      <c r="J467" s="87" t="e">
        <f t="shared" si="16"/>
        <v>#DIV/0!</v>
      </c>
      <c r="K467" s="87" t="e">
        <f t="shared" si="16"/>
        <v>#DIV/0!</v>
      </c>
      <c r="L467" s="87" t="e">
        <f t="shared" si="16"/>
        <v>#DIV/0!</v>
      </c>
      <c r="M467" s="88" t="e">
        <f t="shared" si="16"/>
        <v>#DIV/0!</v>
      </c>
      <c r="O467" s="121" t="str">
        <f t="shared" si="17"/>
        <v>נשר</v>
      </c>
      <c r="P467" s="121" t="str">
        <f t="shared" si="17"/>
        <v>נצרת-עילית</v>
      </c>
    </row>
    <row r="468" spans="1:16" x14ac:dyDescent="0.3">
      <c r="A468" s="61">
        <v>18</v>
      </c>
      <c r="B468" s="61">
        <v>21</v>
      </c>
      <c r="C468" s="60"/>
      <c r="G468" s="62"/>
      <c r="I468" s="86" t="e">
        <f t="shared" si="16"/>
        <v>#DIV/0!</v>
      </c>
      <c r="J468" s="87" t="e">
        <f t="shared" si="16"/>
        <v>#DIV/0!</v>
      </c>
      <c r="K468" s="87" t="e">
        <f t="shared" si="16"/>
        <v>#DIV/0!</v>
      </c>
      <c r="L468" s="87" t="e">
        <f t="shared" si="16"/>
        <v>#DIV/0!</v>
      </c>
      <c r="M468" s="88" t="e">
        <f t="shared" si="16"/>
        <v>#DIV/0!</v>
      </c>
      <c r="O468" s="121" t="str">
        <f t="shared" si="17"/>
        <v>נשר</v>
      </c>
      <c r="P468" s="121" t="str">
        <f t="shared" si="17"/>
        <v>מגדל העמק</v>
      </c>
    </row>
    <row r="469" spans="1:16" x14ac:dyDescent="0.3">
      <c r="A469" s="61">
        <v>18</v>
      </c>
      <c r="B469" s="61">
        <v>22</v>
      </c>
      <c r="C469" s="60"/>
      <c r="G469" s="62"/>
      <c r="I469" s="86" t="e">
        <f t="shared" si="16"/>
        <v>#DIV/0!</v>
      </c>
      <c r="J469" s="87" t="e">
        <f t="shared" si="16"/>
        <v>#DIV/0!</v>
      </c>
      <c r="K469" s="87" t="e">
        <f t="shared" si="16"/>
        <v>#DIV/0!</v>
      </c>
      <c r="L469" s="87" t="e">
        <f t="shared" si="16"/>
        <v>#DIV/0!</v>
      </c>
      <c r="M469" s="88" t="e">
        <f t="shared" si="16"/>
        <v>#DIV/0!</v>
      </c>
      <c r="O469" s="121" t="str">
        <f t="shared" si="17"/>
        <v>נשר</v>
      </c>
      <c r="P469" s="121" t="str">
        <f t="shared" si="17"/>
        <v>יוקנעם</v>
      </c>
    </row>
    <row r="470" spans="1:16" x14ac:dyDescent="0.3">
      <c r="A470" s="61">
        <v>18</v>
      </c>
      <c r="B470" s="61">
        <v>23</v>
      </c>
      <c r="C470" s="60"/>
      <c r="G470" s="62"/>
      <c r="I470" s="86" t="e">
        <f t="shared" si="16"/>
        <v>#DIV/0!</v>
      </c>
      <c r="J470" s="87" t="e">
        <f t="shared" si="16"/>
        <v>#DIV/0!</v>
      </c>
      <c r="K470" s="87" t="e">
        <f t="shared" si="16"/>
        <v>#DIV/0!</v>
      </c>
      <c r="L470" s="87" t="e">
        <f t="shared" si="16"/>
        <v>#DIV/0!</v>
      </c>
      <c r="M470" s="88" t="e">
        <f t="shared" si="16"/>
        <v>#DIV/0!</v>
      </c>
      <c r="O470" s="121" t="str">
        <f t="shared" si="17"/>
        <v>נשר</v>
      </c>
      <c r="P470" s="121" t="str">
        <f t="shared" si="17"/>
        <v>דלית אל כרמל</v>
      </c>
    </row>
    <row r="471" spans="1:16" x14ac:dyDescent="0.3">
      <c r="A471" s="61">
        <v>18</v>
      </c>
      <c r="B471" s="61">
        <v>24</v>
      </c>
      <c r="C471" s="60"/>
      <c r="G471" s="62"/>
      <c r="I471" s="86" t="e">
        <f t="shared" si="16"/>
        <v>#DIV/0!</v>
      </c>
      <c r="J471" s="87" t="e">
        <f t="shared" si="16"/>
        <v>#DIV/0!</v>
      </c>
      <c r="K471" s="87" t="e">
        <f t="shared" si="16"/>
        <v>#DIV/0!</v>
      </c>
      <c r="L471" s="87" t="e">
        <f t="shared" si="16"/>
        <v>#DIV/0!</v>
      </c>
      <c r="M471" s="88" t="e">
        <f t="shared" si="16"/>
        <v>#DIV/0!</v>
      </c>
      <c r="O471" s="121" t="str">
        <f t="shared" si="17"/>
        <v>נשר</v>
      </c>
      <c r="P471" s="121" t="str">
        <f t="shared" si="17"/>
        <v>חוף הכרמל</v>
      </c>
    </row>
    <row r="472" spans="1:16" x14ac:dyDescent="0.3">
      <c r="A472" s="61">
        <v>18</v>
      </c>
      <c r="B472" s="61">
        <v>25</v>
      </c>
      <c r="C472" s="60"/>
      <c r="G472" s="62"/>
      <c r="I472" s="86" t="e">
        <f t="shared" si="16"/>
        <v>#DIV/0!</v>
      </c>
      <c r="J472" s="87" t="e">
        <f t="shared" si="16"/>
        <v>#DIV/0!</v>
      </c>
      <c r="K472" s="87" t="e">
        <f t="shared" si="16"/>
        <v>#DIV/0!</v>
      </c>
      <c r="L472" s="87" t="e">
        <f t="shared" si="16"/>
        <v>#DIV/0!</v>
      </c>
      <c r="M472" s="88" t="e">
        <f t="shared" si="16"/>
        <v>#DIV/0!</v>
      </c>
      <c r="O472" s="121" t="str">
        <f t="shared" si="17"/>
        <v>נשר</v>
      </c>
      <c r="P472" s="121" t="str">
        <f t="shared" si="17"/>
        <v>זכרון יעקב</v>
      </c>
    </row>
    <row r="473" spans="1:16" x14ac:dyDescent="0.3">
      <c r="A473" s="61">
        <v>18</v>
      </c>
      <c r="B473" s="61">
        <v>30</v>
      </c>
      <c r="C473" s="60"/>
      <c r="G473" s="62"/>
      <c r="I473" s="86" t="e">
        <f t="shared" si="16"/>
        <v>#DIV/0!</v>
      </c>
      <c r="J473" s="87" t="e">
        <f t="shared" si="16"/>
        <v>#DIV/0!</v>
      </c>
      <c r="K473" s="87" t="e">
        <f t="shared" si="16"/>
        <v>#DIV/0!</v>
      </c>
      <c r="L473" s="87" t="e">
        <f t="shared" si="16"/>
        <v>#DIV/0!</v>
      </c>
      <c r="M473" s="88" t="e">
        <f t="shared" si="16"/>
        <v>#DIV/0!</v>
      </c>
      <c r="O473" s="121" t="str">
        <f t="shared" si="17"/>
        <v>נשר</v>
      </c>
      <c r="P473" s="121" t="str">
        <f t="shared" si="17"/>
        <v>סכנין</v>
      </c>
    </row>
    <row r="474" spans="1:16" x14ac:dyDescent="0.3">
      <c r="A474" s="61">
        <v>19</v>
      </c>
      <c r="B474" s="61">
        <v>1</v>
      </c>
      <c r="C474" s="60"/>
      <c r="G474" s="62"/>
      <c r="I474" s="86" t="e">
        <f t="shared" si="16"/>
        <v>#DIV/0!</v>
      </c>
      <c r="J474" s="87" t="e">
        <f t="shared" si="16"/>
        <v>#DIV/0!</v>
      </c>
      <c r="K474" s="87" t="e">
        <f t="shared" si="16"/>
        <v>#DIV/0!</v>
      </c>
      <c r="L474" s="87" t="e">
        <f t="shared" si="16"/>
        <v>#DIV/0!</v>
      </c>
      <c r="M474" s="88" t="e">
        <f t="shared" si="16"/>
        <v>#DIV/0!</v>
      </c>
      <c r="O474" s="121" t="str">
        <f t="shared" si="17"/>
        <v>נצרת</v>
      </c>
      <c r="P474" s="121" t="str">
        <f t="shared" si="17"/>
        <v>נהריה</v>
      </c>
    </row>
    <row r="475" spans="1:16" x14ac:dyDescent="0.3">
      <c r="A475" s="61">
        <v>19</v>
      </c>
      <c r="B475" s="61">
        <v>2</v>
      </c>
      <c r="C475" s="60"/>
      <c r="G475" s="62"/>
      <c r="I475" s="86" t="e">
        <f t="shared" si="16"/>
        <v>#DIV/0!</v>
      </c>
      <c r="J475" s="87" t="e">
        <f t="shared" si="16"/>
        <v>#DIV/0!</v>
      </c>
      <c r="K475" s="87" t="e">
        <f t="shared" si="16"/>
        <v>#DIV/0!</v>
      </c>
      <c r="L475" s="87" t="e">
        <f t="shared" si="16"/>
        <v>#DIV/0!</v>
      </c>
      <c r="M475" s="88" t="e">
        <f t="shared" si="16"/>
        <v>#DIV/0!</v>
      </c>
      <c r="O475" s="121" t="str">
        <f t="shared" si="17"/>
        <v>נצרת</v>
      </c>
      <c r="P475" s="121" t="str">
        <f t="shared" si="17"/>
        <v>עכו</v>
      </c>
    </row>
    <row r="476" spans="1:16" x14ac:dyDescent="0.3">
      <c r="A476" s="61">
        <v>19</v>
      </c>
      <c r="B476" s="61">
        <v>3</v>
      </c>
      <c r="C476" s="60"/>
      <c r="G476" s="62"/>
      <c r="I476" s="86" t="e">
        <f t="shared" si="16"/>
        <v>#DIV/0!</v>
      </c>
      <c r="J476" s="87" t="e">
        <f t="shared" si="16"/>
        <v>#DIV/0!</v>
      </c>
      <c r="K476" s="87" t="e">
        <f t="shared" si="16"/>
        <v>#DIV/0!</v>
      </c>
      <c r="L476" s="87" t="e">
        <f t="shared" si="16"/>
        <v>#DIV/0!</v>
      </c>
      <c r="M476" s="88" t="e">
        <f t="shared" si="16"/>
        <v>#DIV/0!</v>
      </c>
      <c r="O476" s="121" t="str">
        <f t="shared" si="17"/>
        <v>נצרת</v>
      </c>
      <c r="P476" s="121" t="str">
        <f t="shared" si="17"/>
        <v>כרמיאל</v>
      </c>
    </row>
    <row r="477" spans="1:16" x14ac:dyDescent="0.3">
      <c r="A477" s="61">
        <v>19</v>
      </c>
      <c r="B477" s="61">
        <v>4</v>
      </c>
      <c r="C477" s="60"/>
      <c r="G477" s="62"/>
      <c r="I477" s="86" t="e">
        <f t="shared" si="16"/>
        <v>#DIV/0!</v>
      </c>
      <c r="J477" s="87" t="e">
        <f t="shared" si="16"/>
        <v>#DIV/0!</v>
      </c>
      <c r="K477" s="87" t="e">
        <f t="shared" si="16"/>
        <v>#DIV/0!</v>
      </c>
      <c r="L477" s="87" t="e">
        <f t="shared" si="16"/>
        <v>#DIV/0!</v>
      </c>
      <c r="M477" s="88" t="e">
        <f t="shared" si="16"/>
        <v>#DIV/0!</v>
      </c>
      <c r="O477" s="121" t="str">
        <f t="shared" si="17"/>
        <v>נצרת</v>
      </c>
      <c r="P477" s="121" t="str">
        <f t="shared" si="17"/>
        <v>שפרעם</v>
      </c>
    </row>
    <row r="478" spans="1:16" x14ac:dyDescent="0.3">
      <c r="A478" s="61">
        <v>19</v>
      </c>
      <c r="B478" s="61">
        <v>5</v>
      </c>
      <c r="C478" s="60"/>
      <c r="G478" s="62"/>
      <c r="I478" s="86" t="e">
        <f t="shared" ref="I478:M528" si="18">C478/SUM($C478:$G478)</f>
        <v>#DIV/0!</v>
      </c>
      <c r="J478" s="87" t="e">
        <f t="shared" si="18"/>
        <v>#DIV/0!</v>
      </c>
      <c r="K478" s="87" t="e">
        <f t="shared" si="18"/>
        <v>#DIV/0!</v>
      </c>
      <c r="L478" s="87" t="e">
        <f t="shared" si="18"/>
        <v>#DIV/0!</v>
      </c>
      <c r="M478" s="88" t="e">
        <f t="shared" si="18"/>
        <v>#DIV/0!</v>
      </c>
      <c r="O478" s="121" t="str">
        <f t="shared" si="17"/>
        <v>נצרת</v>
      </c>
      <c r="P478" s="121" t="str">
        <f t="shared" si="17"/>
        <v>קרית ים</v>
      </c>
    </row>
    <row r="479" spans="1:16" x14ac:dyDescent="0.3">
      <c r="A479" s="61">
        <v>19</v>
      </c>
      <c r="B479" s="61">
        <v>6</v>
      </c>
      <c r="C479" s="60"/>
      <c r="G479" s="62"/>
      <c r="I479" s="86" t="e">
        <f t="shared" si="18"/>
        <v>#DIV/0!</v>
      </c>
      <c r="J479" s="87" t="e">
        <f t="shared" si="18"/>
        <v>#DIV/0!</v>
      </c>
      <c r="K479" s="87" t="e">
        <f t="shared" si="18"/>
        <v>#DIV/0!</v>
      </c>
      <c r="L479" s="87" t="e">
        <f t="shared" si="18"/>
        <v>#DIV/0!</v>
      </c>
      <c r="M479" s="88" t="e">
        <f t="shared" si="18"/>
        <v>#DIV/0!</v>
      </c>
      <c r="O479" s="121" t="str">
        <f t="shared" si="17"/>
        <v>נצרת</v>
      </c>
      <c r="P479" s="121" t="str">
        <f t="shared" si="17"/>
        <v>קרית מוצקין</v>
      </c>
    </row>
    <row r="480" spans="1:16" x14ac:dyDescent="0.3">
      <c r="A480" s="61">
        <v>19</v>
      </c>
      <c r="B480" s="61">
        <v>7</v>
      </c>
      <c r="C480" s="60"/>
      <c r="G480" s="62"/>
      <c r="I480" s="86" t="e">
        <f t="shared" si="18"/>
        <v>#DIV/0!</v>
      </c>
      <c r="J480" s="87" t="e">
        <f t="shared" si="18"/>
        <v>#DIV/0!</v>
      </c>
      <c r="K480" s="87" t="e">
        <f t="shared" si="18"/>
        <v>#DIV/0!</v>
      </c>
      <c r="L480" s="87" t="e">
        <f t="shared" si="18"/>
        <v>#DIV/0!</v>
      </c>
      <c r="M480" s="88" t="e">
        <f t="shared" si="18"/>
        <v>#DIV/0!</v>
      </c>
      <c r="O480" s="121" t="str">
        <f t="shared" si="17"/>
        <v>נצרת</v>
      </c>
      <c r="P480" s="121" t="str">
        <f t="shared" si="17"/>
        <v>קרית ביאליק</v>
      </c>
    </row>
    <row r="481" spans="1:16" x14ac:dyDescent="0.3">
      <c r="A481" s="61">
        <v>19</v>
      </c>
      <c r="B481" s="61">
        <v>8</v>
      </c>
      <c r="C481" s="60"/>
      <c r="G481" s="62"/>
      <c r="I481" s="86" t="e">
        <f t="shared" si="18"/>
        <v>#DIV/0!</v>
      </c>
      <c r="J481" s="87" t="e">
        <f t="shared" si="18"/>
        <v>#DIV/0!</v>
      </c>
      <c r="K481" s="87" t="e">
        <f t="shared" si="18"/>
        <v>#DIV/0!</v>
      </c>
      <c r="L481" s="87" t="e">
        <f t="shared" si="18"/>
        <v>#DIV/0!</v>
      </c>
      <c r="M481" s="88" t="e">
        <f t="shared" si="18"/>
        <v>#DIV/0!</v>
      </c>
      <c r="O481" s="121" t="str">
        <f t="shared" si="17"/>
        <v>נצרת</v>
      </c>
      <c r="P481" s="121" t="str">
        <f t="shared" si="17"/>
        <v>קרית חיים</v>
      </c>
    </row>
    <row r="482" spans="1:16" x14ac:dyDescent="0.3">
      <c r="A482" s="61">
        <v>19</v>
      </c>
      <c r="B482" s="61">
        <v>9</v>
      </c>
      <c r="C482" s="60"/>
      <c r="G482" s="62"/>
      <c r="I482" s="86" t="e">
        <f t="shared" si="18"/>
        <v>#DIV/0!</v>
      </c>
      <c r="J482" s="87" t="e">
        <f t="shared" si="18"/>
        <v>#DIV/0!</v>
      </c>
      <c r="K482" s="87" t="e">
        <f t="shared" si="18"/>
        <v>#DIV/0!</v>
      </c>
      <c r="L482" s="87" t="e">
        <f t="shared" si="18"/>
        <v>#DIV/0!</v>
      </c>
      <c r="M482" s="88" t="e">
        <f t="shared" si="18"/>
        <v>#DIV/0!</v>
      </c>
      <c r="O482" s="121" t="str">
        <f t="shared" si="17"/>
        <v>נצרת</v>
      </c>
      <c r="P482" s="121" t="str">
        <f t="shared" si="17"/>
        <v>קרית אתא</v>
      </c>
    </row>
    <row r="483" spans="1:16" x14ac:dyDescent="0.3">
      <c r="A483" s="61">
        <v>19</v>
      </c>
      <c r="B483" s="61">
        <v>10</v>
      </c>
      <c r="C483" s="60"/>
      <c r="G483" s="62"/>
      <c r="I483" s="86" t="e">
        <f t="shared" si="18"/>
        <v>#DIV/0!</v>
      </c>
      <c r="J483" s="87" t="e">
        <f t="shared" si="18"/>
        <v>#DIV/0!</v>
      </c>
      <c r="K483" s="87" t="e">
        <f t="shared" si="18"/>
        <v>#DIV/0!</v>
      </c>
      <c r="L483" s="87" t="e">
        <f t="shared" si="18"/>
        <v>#DIV/0!</v>
      </c>
      <c r="M483" s="88" t="e">
        <f t="shared" si="18"/>
        <v>#DIV/0!</v>
      </c>
      <c r="O483" s="121" t="str">
        <f t="shared" si="17"/>
        <v>נצרת</v>
      </c>
      <c r="P483" s="121" t="str">
        <f t="shared" si="17"/>
        <v>כפר מנדא</v>
      </c>
    </row>
    <row r="484" spans="1:16" x14ac:dyDescent="0.3">
      <c r="A484" s="61">
        <v>19</v>
      </c>
      <c r="B484" s="61">
        <v>11</v>
      </c>
      <c r="C484" s="60"/>
      <c r="G484" s="62"/>
      <c r="I484" s="86" t="e">
        <f t="shared" si="18"/>
        <v>#DIV/0!</v>
      </c>
      <c r="J484" s="87" t="e">
        <f t="shared" si="18"/>
        <v>#DIV/0!</v>
      </c>
      <c r="K484" s="87" t="e">
        <f t="shared" si="18"/>
        <v>#DIV/0!</v>
      </c>
      <c r="L484" s="87" t="e">
        <f t="shared" si="18"/>
        <v>#DIV/0!</v>
      </c>
      <c r="M484" s="88" t="e">
        <f t="shared" si="18"/>
        <v>#DIV/0!</v>
      </c>
      <c r="O484" s="121" t="str">
        <f t="shared" si="17"/>
        <v>נצרת</v>
      </c>
      <c r="P484" s="121" t="str">
        <f t="shared" si="17"/>
        <v>זבולון</v>
      </c>
    </row>
    <row r="485" spans="1:16" x14ac:dyDescent="0.3">
      <c r="A485" s="61">
        <v>19</v>
      </c>
      <c r="B485" s="61">
        <v>12</v>
      </c>
      <c r="C485" s="60"/>
      <c r="G485" s="62"/>
      <c r="I485" s="86" t="e">
        <f t="shared" si="18"/>
        <v>#DIV/0!</v>
      </c>
      <c r="J485" s="87" t="e">
        <f t="shared" si="18"/>
        <v>#DIV/0!</v>
      </c>
      <c r="K485" s="87" t="e">
        <f t="shared" si="18"/>
        <v>#DIV/0!</v>
      </c>
      <c r="L485" s="87" t="e">
        <f t="shared" si="18"/>
        <v>#DIV/0!</v>
      </c>
      <c r="M485" s="88" t="e">
        <f t="shared" si="18"/>
        <v>#DIV/0!</v>
      </c>
      <c r="O485" s="121" t="str">
        <f t="shared" si="17"/>
        <v>נצרת</v>
      </c>
      <c r="P485" s="121" t="str">
        <f t="shared" si="17"/>
        <v>חיפה מפרץ</v>
      </c>
    </row>
    <row r="486" spans="1:16" x14ac:dyDescent="0.3">
      <c r="A486" s="61">
        <v>19</v>
      </c>
      <c r="B486" s="61">
        <v>13</v>
      </c>
      <c r="C486" s="60"/>
      <c r="G486" s="62"/>
      <c r="I486" s="86" t="e">
        <f t="shared" si="18"/>
        <v>#DIV/0!</v>
      </c>
      <c r="J486" s="87" t="e">
        <f t="shared" si="18"/>
        <v>#DIV/0!</v>
      </c>
      <c r="K486" s="87" t="e">
        <f t="shared" si="18"/>
        <v>#DIV/0!</v>
      </c>
      <c r="L486" s="87" t="e">
        <f t="shared" si="18"/>
        <v>#DIV/0!</v>
      </c>
      <c r="M486" s="88" t="e">
        <f t="shared" si="18"/>
        <v>#DIV/0!</v>
      </c>
      <c r="O486" s="121" t="str">
        <f t="shared" si="17"/>
        <v>נצרת</v>
      </c>
      <c r="P486" s="121" t="str">
        <f t="shared" si="17"/>
        <v>חיפה עיר תחתית</v>
      </c>
    </row>
    <row r="487" spans="1:16" x14ac:dyDescent="0.3">
      <c r="A487" s="61">
        <v>19</v>
      </c>
      <c r="B487" s="61">
        <v>14</v>
      </c>
      <c r="C487" s="60"/>
      <c r="G487" s="62"/>
      <c r="I487" s="86" t="e">
        <f t="shared" si="18"/>
        <v>#DIV/0!</v>
      </c>
      <c r="J487" s="87" t="e">
        <f t="shared" si="18"/>
        <v>#DIV/0!</v>
      </c>
      <c r="K487" s="87" t="e">
        <f t="shared" si="18"/>
        <v>#DIV/0!</v>
      </c>
      <c r="L487" s="87" t="e">
        <f t="shared" si="18"/>
        <v>#DIV/0!</v>
      </c>
      <c r="M487" s="88" t="e">
        <f t="shared" si="18"/>
        <v>#DIV/0!</v>
      </c>
      <c r="O487" s="121" t="str">
        <f t="shared" si="17"/>
        <v>נצרת</v>
      </c>
      <c r="P487" s="121" t="str">
        <f t="shared" si="17"/>
        <v>חיפה הדר-כרמל</v>
      </c>
    </row>
    <row r="488" spans="1:16" x14ac:dyDescent="0.3">
      <c r="A488" s="61">
        <v>19</v>
      </c>
      <c r="B488" s="61">
        <v>15</v>
      </c>
      <c r="C488" s="60"/>
      <c r="G488" s="62"/>
      <c r="I488" s="86" t="e">
        <f t="shared" si="18"/>
        <v>#DIV/0!</v>
      </c>
      <c r="J488" s="87" t="e">
        <f t="shared" si="18"/>
        <v>#DIV/0!</v>
      </c>
      <c r="K488" s="87" t="e">
        <f t="shared" si="18"/>
        <v>#DIV/0!</v>
      </c>
      <c r="L488" s="87" t="e">
        <f t="shared" si="18"/>
        <v>#DIV/0!</v>
      </c>
      <c r="M488" s="88" t="e">
        <f t="shared" si="18"/>
        <v>#DIV/0!</v>
      </c>
      <c r="O488" s="121" t="str">
        <f t="shared" si="17"/>
        <v>נצרת</v>
      </c>
      <c r="P488" s="121" t="str">
        <f t="shared" si="17"/>
        <v>חיפה מערב</v>
      </c>
    </row>
    <row r="489" spans="1:16" x14ac:dyDescent="0.3">
      <c r="A489" s="61">
        <v>19</v>
      </c>
      <c r="B489" s="61">
        <v>16</v>
      </c>
      <c r="C489" s="60"/>
      <c r="G489" s="62"/>
      <c r="I489" s="86" t="e">
        <f t="shared" si="18"/>
        <v>#DIV/0!</v>
      </c>
      <c r="J489" s="87" t="e">
        <f t="shared" si="18"/>
        <v>#DIV/0!</v>
      </c>
      <c r="K489" s="87" t="e">
        <f t="shared" si="18"/>
        <v>#DIV/0!</v>
      </c>
      <c r="L489" s="87" t="e">
        <f t="shared" si="18"/>
        <v>#DIV/0!</v>
      </c>
      <c r="M489" s="88" t="e">
        <f t="shared" si="18"/>
        <v>#DIV/0!</v>
      </c>
      <c r="O489" s="121" t="str">
        <f t="shared" si="17"/>
        <v>נצרת</v>
      </c>
      <c r="P489" s="121" t="str">
        <f t="shared" si="17"/>
        <v>חיפה כרמל</v>
      </c>
    </row>
    <row r="490" spans="1:16" x14ac:dyDescent="0.3">
      <c r="A490" s="61">
        <v>19</v>
      </c>
      <c r="B490" s="61">
        <v>17</v>
      </c>
      <c r="C490" s="60"/>
      <c r="G490" s="62"/>
      <c r="I490" s="86" t="e">
        <f t="shared" si="18"/>
        <v>#DIV/0!</v>
      </c>
      <c r="J490" s="87" t="e">
        <f t="shared" si="18"/>
        <v>#DIV/0!</v>
      </c>
      <c r="K490" s="87" t="e">
        <f t="shared" si="18"/>
        <v>#DIV/0!</v>
      </c>
      <c r="L490" s="87" t="e">
        <f t="shared" si="18"/>
        <v>#DIV/0!</v>
      </c>
      <c r="M490" s="88" t="e">
        <f t="shared" si="18"/>
        <v>#DIV/0!</v>
      </c>
      <c r="O490" s="121" t="str">
        <f t="shared" si="17"/>
        <v>נצרת</v>
      </c>
      <c r="P490" s="121" t="str">
        <f t="shared" si="17"/>
        <v>חיפה נווה שאנן</v>
      </c>
    </row>
    <row r="491" spans="1:16" x14ac:dyDescent="0.3">
      <c r="A491" s="61">
        <v>19</v>
      </c>
      <c r="B491" s="61">
        <v>18</v>
      </c>
      <c r="C491" s="60"/>
      <c r="G491" s="62"/>
      <c r="I491" s="86" t="e">
        <f t="shared" si="18"/>
        <v>#DIV/0!</v>
      </c>
      <c r="J491" s="87" t="e">
        <f t="shared" si="18"/>
        <v>#DIV/0!</v>
      </c>
      <c r="K491" s="87" t="e">
        <f t="shared" si="18"/>
        <v>#DIV/0!</v>
      </c>
      <c r="L491" s="87" t="e">
        <f t="shared" si="18"/>
        <v>#DIV/0!</v>
      </c>
      <c r="M491" s="88" t="e">
        <f t="shared" si="18"/>
        <v>#DIV/0!</v>
      </c>
      <c r="O491" s="121" t="str">
        <f t="shared" si="17"/>
        <v>נצרת</v>
      </c>
      <c r="P491" s="121" t="str">
        <f t="shared" si="17"/>
        <v>נשר</v>
      </c>
    </row>
    <row r="492" spans="1:16" x14ac:dyDescent="0.3">
      <c r="A492" s="61">
        <v>19</v>
      </c>
      <c r="B492" s="61">
        <v>19</v>
      </c>
      <c r="C492" s="60"/>
      <c r="G492" s="62"/>
      <c r="I492" s="86" t="e">
        <f t="shared" si="18"/>
        <v>#DIV/0!</v>
      </c>
      <c r="J492" s="87" t="e">
        <f t="shared" si="18"/>
        <v>#DIV/0!</v>
      </c>
      <c r="K492" s="87" t="e">
        <f t="shared" si="18"/>
        <v>#DIV/0!</v>
      </c>
      <c r="L492" s="87" t="e">
        <f t="shared" si="18"/>
        <v>#DIV/0!</v>
      </c>
      <c r="M492" s="88" t="e">
        <f t="shared" si="18"/>
        <v>#DIV/0!</v>
      </c>
      <c r="O492" s="121" t="str">
        <f t="shared" si="17"/>
        <v>נצרת</v>
      </c>
      <c r="P492" s="121" t="str">
        <f t="shared" si="17"/>
        <v>נצרת</v>
      </c>
    </row>
    <row r="493" spans="1:16" x14ac:dyDescent="0.3">
      <c r="A493" s="61">
        <v>19</v>
      </c>
      <c r="B493" s="61">
        <v>20</v>
      </c>
      <c r="C493" s="60"/>
      <c r="G493" s="62"/>
      <c r="I493" s="86" t="e">
        <f t="shared" si="18"/>
        <v>#DIV/0!</v>
      </c>
      <c r="J493" s="87" t="e">
        <f t="shared" si="18"/>
        <v>#DIV/0!</v>
      </c>
      <c r="K493" s="87" t="e">
        <f t="shared" si="18"/>
        <v>#DIV/0!</v>
      </c>
      <c r="L493" s="87" t="e">
        <f t="shared" si="18"/>
        <v>#DIV/0!</v>
      </c>
      <c r="M493" s="88" t="e">
        <f t="shared" si="18"/>
        <v>#DIV/0!</v>
      </c>
      <c r="O493" s="121" t="str">
        <f t="shared" si="17"/>
        <v>נצרת</v>
      </c>
      <c r="P493" s="121" t="str">
        <f t="shared" si="17"/>
        <v>נצרת-עילית</v>
      </c>
    </row>
    <row r="494" spans="1:16" x14ac:dyDescent="0.3">
      <c r="A494" s="61">
        <v>19</v>
      </c>
      <c r="B494" s="61">
        <v>21</v>
      </c>
      <c r="C494" s="60"/>
      <c r="G494" s="62"/>
      <c r="I494" s="86" t="e">
        <f t="shared" si="18"/>
        <v>#DIV/0!</v>
      </c>
      <c r="J494" s="87" t="e">
        <f t="shared" si="18"/>
        <v>#DIV/0!</v>
      </c>
      <c r="K494" s="87" t="e">
        <f t="shared" si="18"/>
        <v>#DIV/0!</v>
      </c>
      <c r="L494" s="87" t="e">
        <f t="shared" si="18"/>
        <v>#DIV/0!</v>
      </c>
      <c r="M494" s="88" t="e">
        <f t="shared" si="18"/>
        <v>#DIV/0!</v>
      </c>
      <c r="O494" s="121" t="str">
        <f t="shared" si="17"/>
        <v>נצרת</v>
      </c>
      <c r="P494" s="121" t="str">
        <f t="shared" si="17"/>
        <v>מגדל העמק</v>
      </c>
    </row>
    <row r="495" spans="1:16" x14ac:dyDescent="0.3">
      <c r="A495" s="61">
        <v>19</v>
      </c>
      <c r="B495" s="61">
        <v>22</v>
      </c>
      <c r="C495" s="60"/>
      <c r="G495" s="62"/>
      <c r="I495" s="86" t="e">
        <f t="shared" si="18"/>
        <v>#DIV/0!</v>
      </c>
      <c r="J495" s="87" t="e">
        <f t="shared" si="18"/>
        <v>#DIV/0!</v>
      </c>
      <c r="K495" s="87" t="e">
        <f t="shared" si="18"/>
        <v>#DIV/0!</v>
      </c>
      <c r="L495" s="87" t="e">
        <f t="shared" si="18"/>
        <v>#DIV/0!</v>
      </c>
      <c r="M495" s="88" t="e">
        <f t="shared" si="18"/>
        <v>#DIV/0!</v>
      </c>
      <c r="O495" s="121" t="str">
        <f t="shared" si="17"/>
        <v>נצרת</v>
      </c>
      <c r="P495" s="121" t="str">
        <f t="shared" si="17"/>
        <v>יוקנעם</v>
      </c>
    </row>
    <row r="496" spans="1:16" x14ac:dyDescent="0.3">
      <c r="A496" s="61">
        <v>19</v>
      </c>
      <c r="B496" s="61">
        <v>23</v>
      </c>
      <c r="C496" s="60"/>
      <c r="G496" s="62"/>
      <c r="I496" s="86" t="e">
        <f t="shared" si="18"/>
        <v>#DIV/0!</v>
      </c>
      <c r="J496" s="87" t="e">
        <f t="shared" si="18"/>
        <v>#DIV/0!</v>
      </c>
      <c r="K496" s="87" t="e">
        <f t="shared" si="18"/>
        <v>#DIV/0!</v>
      </c>
      <c r="L496" s="87" t="e">
        <f t="shared" si="18"/>
        <v>#DIV/0!</v>
      </c>
      <c r="M496" s="88" t="e">
        <f t="shared" si="18"/>
        <v>#DIV/0!</v>
      </c>
      <c r="O496" s="121" t="str">
        <f t="shared" si="17"/>
        <v>נצרת</v>
      </c>
      <c r="P496" s="121" t="str">
        <f t="shared" si="17"/>
        <v>דלית אל כרמל</v>
      </c>
    </row>
    <row r="497" spans="1:16" x14ac:dyDescent="0.3">
      <c r="A497" s="61">
        <v>19</v>
      </c>
      <c r="B497" s="61">
        <v>24</v>
      </c>
      <c r="C497" s="60"/>
      <c r="G497" s="62"/>
      <c r="I497" s="86" t="e">
        <f t="shared" si="18"/>
        <v>#DIV/0!</v>
      </c>
      <c r="J497" s="87" t="e">
        <f t="shared" si="18"/>
        <v>#DIV/0!</v>
      </c>
      <c r="K497" s="87" t="e">
        <f t="shared" si="18"/>
        <v>#DIV/0!</v>
      </c>
      <c r="L497" s="87" t="e">
        <f t="shared" si="18"/>
        <v>#DIV/0!</v>
      </c>
      <c r="M497" s="88" t="e">
        <f t="shared" si="18"/>
        <v>#DIV/0!</v>
      </c>
      <c r="O497" s="121" t="str">
        <f t="shared" si="17"/>
        <v>נצרת</v>
      </c>
      <c r="P497" s="121" t="str">
        <f t="shared" si="17"/>
        <v>חוף הכרמל</v>
      </c>
    </row>
    <row r="498" spans="1:16" x14ac:dyDescent="0.3">
      <c r="A498" s="61">
        <v>19</v>
      </c>
      <c r="B498" s="61">
        <v>25</v>
      </c>
      <c r="C498" s="60"/>
      <c r="G498" s="62"/>
      <c r="I498" s="86" t="e">
        <f t="shared" si="18"/>
        <v>#DIV/0!</v>
      </c>
      <c r="J498" s="87" t="e">
        <f t="shared" si="18"/>
        <v>#DIV/0!</v>
      </c>
      <c r="K498" s="87" t="e">
        <f t="shared" si="18"/>
        <v>#DIV/0!</v>
      </c>
      <c r="L498" s="87" t="e">
        <f t="shared" si="18"/>
        <v>#DIV/0!</v>
      </c>
      <c r="M498" s="88" t="e">
        <f t="shared" si="18"/>
        <v>#DIV/0!</v>
      </c>
      <c r="O498" s="121" t="str">
        <f t="shared" si="17"/>
        <v>נצרת</v>
      </c>
      <c r="P498" s="121" t="str">
        <f t="shared" si="17"/>
        <v>זכרון יעקב</v>
      </c>
    </row>
    <row r="499" spans="1:16" x14ac:dyDescent="0.3">
      <c r="A499" s="61">
        <v>19</v>
      </c>
      <c r="B499" s="61">
        <v>30</v>
      </c>
      <c r="C499" s="60"/>
      <c r="G499" s="62"/>
      <c r="I499" s="86" t="e">
        <f t="shared" si="18"/>
        <v>#DIV/0!</v>
      </c>
      <c r="J499" s="87" t="e">
        <f t="shared" si="18"/>
        <v>#DIV/0!</v>
      </c>
      <c r="K499" s="87" t="e">
        <f t="shared" si="18"/>
        <v>#DIV/0!</v>
      </c>
      <c r="L499" s="87" t="e">
        <f t="shared" si="18"/>
        <v>#DIV/0!</v>
      </c>
      <c r="M499" s="88" t="e">
        <f t="shared" si="18"/>
        <v>#DIV/0!</v>
      </c>
      <c r="O499" s="121" t="str">
        <f t="shared" si="17"/>
        <v>נצרת</v>
      </c>
      <c r="P499" s="121" t="str">
        <f t="shared" si="17"/>
        <v>סכנין</v>
      </c>
    </row>
    <row r="500" spans="1:16" x14ac:dyDescent="0.3">
      <c r="A500" s="61">
        <v>20</v>
      </c>
      <c r="B500" s="61">
        <v>1</v>
      </c>
      <c r="C500" s="60"/>
      <c r="G500" s="62"/>
      <c r="I500" s="86" t="e">
        <f t="shared" si="18"/>
        <v>#DIV/0!</v>
      </c>
      <c r="J500" s="87" t="e">
        <f t="shared" si="18"/>
        <v>#DIV/0!</v>
      </c>
      <c r="K500" s="87" t="e">
        <f t="shared" si="18"/>
        <v>#DIV/0!</v>
      </c>
      <c r="L500" s="87" t="e">
        <f t="shared" si="18"/>
        <v>#DIV/0!</v>
      </c>
      <c r="M500" s="88" t="e">
        <f t="shared" si="18"/>
        <v>#DIV/0!</v>
      </c>
      <c r="O500" s="121" t="str">
        <f t="shared" si="17"/>
        <v>נצרת-עילית</v>
      </c>
      <c r="P500" s="121" t="str">
        <f t="shared" si="17"/>
        <v>נהריה</v>
      </c>
    </row>
    <row r="501" spans="1:16" x14ac:dyDescent="0.3">
      <c r="A501" s="61">
        <v>20</v>
      </c>
      <c r="B501" s="61">
        <v>2</v>
      </c>
      <c r="C501" s="60"/>
      <c r="G501" s="62"/>
      <c r="I501" s="86" t="e">
        <f t="shared" si="18"/>
        <v>#DIV/0!</v>
      </c>
      <c r="J501" s="87" t="e">
        <f t="shared" si="18"/>
        <v>#DIV/0!</v>
      </c>
      <c r="K501" s="87" t="e">
        <f t="shared" si="18"/>
        <v>#DIV/0!</v>
      </c>
      <c r="L501" s="87" t="e">
        <f t="shared" si="18"/>
        <v>#DIV/0!</v>
      </c>
      <c r="M501" s="88" t="e">
        <f t="shared" si="18"/>
        <v>#DIV/0!</v>
      </c>
      <c r="O501" s="121" t="str">
        <f t="shared" si="17"/>
        <v>נצרת-עילית</v>
      </c>
      <c r="P501" s="121" t="str">
        <f t="shared" si="17"/>
        <v>עכו</v>
      </c>
    </row>
    <row r="502" spans="1:16" x14ac:dyDescent="0.3">
      <c r="A502" s="61">
        <v>20</v>
      </c>
      <c r="B502" s="61">
        <v>3</v>
      </c>
      <c r="C502" s="60"/>
      <c r="G502" s="62"/>
      <c r="I502" s="86" t="e">
        <f t="shared" si="18"/>
        <v>#DIV/0!</v>
      </c>
      <c r="J502" s="87" t="e">
        <f t="shared" si="18"/>
        <v>#DIV/0!</v>
      </c>
      <c r="K502" s="87" t="e">
        <f t="shared" si="18"/>
        <v>#DIV/0!</v>
      </c>
      <c r="L502" s="87" t="e">
        <f t="shared" si="18"/>
        <v>#DIV/0!</v>
      </c>
      <c r="M502" s="88" t="e">
        <f t="shared" si="18"/>
        <v>#DIV/0!</v>
      </c>
      <c r="O502" s="121" t="str">
        <f t="shared" si="17"/>
        <v>נצרת-עילית</v>
      </c>
      <c r="P502" s="121" t="str">
        <f t="shared" si="17"/>
        <v>כרמיאל</v>
      </c>
    </row>
    <row r="503" spans="1:16" x14ac:dyDescent="0.3">
      <c r="A503" s="61">
        <v>20</v>
      </c>
      <c r="B503" s="61">
        <v>4</v>
      </c>
      <c r="C503" s="60"/>
      <c r="G503" s="62"/>
      <c r="I503" s="86" t="e">
        <f t="shared" si="18"/>
        <v>#DIV/0!</v>
      </c>
      <c r="J503" s="87" t="e">
        <f t="shared" si="18"/>
        <v>#DIV/0!</v>
      </c>
      <c r="K503" s="87" t="e">
        <f t="shared" si="18"/>
        <v>#DIV/0!</v>
      </c>
      <c r="L503" s="87" t="e">
        <f t="shared" si="18"/>
        <v>#DIV/0!</v>
      </c>
      <c r="M503" s="88" t="e">
        <f t="shared" si="18"/>
        <v>#DIV/0!</v>
      </c>
      <c r="O503" s="121" t="str">
        <f t="shared" si="17"/>
        <v>נצרת-עילית</v>
      </c>
      <c r="P503" s="121" t="str">
        <f t="shared" si="17"/>
        <v>שפרעם</v>
      </c>
    </row>
    <row r="504" spans="1:16" x14ac:dyDescent="0.3">
      <c r="A504" s="61">
        <v>20</v>
      </c>
      <c r="B504" s="61">
        <v>5</v>
      </c>
      <c r="C504" s="60"/>
      <c r="G504" s="62"/>
      <c r="I504" s="86" t="e">
        <f t="shared" si="18"/>
        <v>#DIV/0!</v>
      </c>
      <c r="J504" s="87" t="e">
        <f t="shared" si="18"/>
        <v>#DIV/0!</v>
      </c>
      <c r="K504" s="87" t="e">
        <f t="shared" si="18"/>
        <v>#DIV/0!</v>
      </c>
      <c r="L504" s="87" t="e">
        <f t="shared" si="18"/>
        <v>#DIV/0!</v>
      </c>
      <c r="M504" s="88" t="e">
        <f t="shared" si="18"/>
        <v>#DIV/0!</v>
      </c>
      <c r="O504" s="121" t="str">
        <f t="shared" si="17"/>
        <v>נצרת-עילית</v>
      </c>
      <c r="P504" s="121" t="str">
        <f t="shared" si="17"/>
        <v>קרית ים</v>
      </c>
    </row>
    <row r="505" spans="1:16" x14ac:dyDescent="0.3">
      <c r="A505" s="61">
        <v>20</v>
      </c>
      <c r="B505" s="61">
        <v>6</v>
      </c>
      <c r="C505" s="60"/>
      <c r="G505" s="62"/>
      <c r="I505" s="86" t="e">
        <f t="shared" si="18"/>
        <v>#DIV/0!</v>
      </c>
      <c r="J505" s="87" t="e">
        <f t="shared" si="18"/>
        <v>#DIV/0!</v>
      </c>
      <c r="K505" s="87" t="e">
        <f t="shared" si="18"/>
        <v>#DIV/0!</v>
      </c>
      <c r="L505" s="87" t="e">
        <f t="shared" si="18"/>
        <v>#DIV/0!</v>
      </c>
      <c r="M505" s="88" t="e">
        <f t="shared" si="18"/>
        <v>#DIV/0!</v>
      </c>
      <c r="O505" s="121" t="str">
        <f t="shared" si="17"/>
        <v>נצרת-עילית</v>
      </c>
      <c r="P505" s="121" t="str">
        <f t="shared" si="17"/>
        <v>קרית מוצקין</v>
      </c>
    </row>
    <row r="506" spans="1:16" x14ac:dyDescent="0.3">
      <c r="A506" s="61">
        <v>20</v>
      </c>
      <c r="B506" s="61">
        <v>7</v>
      </c>
      <c r="C506" s="60"/>
      <c r="G506" s="62"/>
      <c r="I506" s="86" t="e">
        <f t="shared" si="18"/>
        <v>#DIV/0!</v>
      </c>
      <c r="J506" s="87" t="e">
        <f t="shared" si="18"/>
        <v>#DIV/0!</v>
      </c>
      <c r="K506" s="87" t="e">
        <f t="shared" si="18"/>
        <v>#DIV/0!</v>
      </c>
      <c r="L506" s="87" t="e">
        <f t="shared" si="18"/>
        <v>#DIV/0!</v>
      </c>
      <c r="M506" s="88" t="e">
        <f t="shared" si="18"/>
        <v>#DIV/0!</v>
      </c>
      <c r="O506" s="121" t="str">
        <f t="shared" si="17"/>
        <v>נצרת-עילית</v>
      </c>
      <c r="P506" s="121" t="str">
        <f t="shared" si="17"/>
        <v>קרית ביאליק</v>
      </c>
    </row>
    <row r="507" spans="1:16" x14ac:dyDescent="0.3">
      <c r="A507" s="61">
        <v>20</v>
      </c>
      <c r="B507" s="61">
        <v>8</v>
      </c>
      <c r="C507" s="60"/>
      <c r="G507" s="62"/>
      <c r="I507" s="86" t="e">
        <f t="shared" si="18"/>
        <v>#DIV/0!</v>
      </c>
      <c r="J507" s="87" t="e">
        <f t="shared" si="18"/>
        <v>#DIV/0!</v>
      </c>
      <c r="K507" s="87" t="e">
        <f t="shared" si="18"/>
        <v>#DIV/0!</v>
      </c>
      <c r="L507" s="87" t="e">
        <f t="shared" si="18"/>
        <v>#DIV/0!</v>
      </c>
      <c r="M507" s="88" t="e">
        <f t="shared" si="18"/>
        <v>#DIV/0!</v>
      </c>
      <c r="O507" s="121" t="str">
        <f t="shared" si="17"/>
        <v>נצרת-עילית</v>
      </c>
      <c r="P507" s="121" t="str">
        <f t="shared" si="17"/>
        <v>קרית חיים</v>
      </c>
    </row>
    <row r="508" spans="1:16" x14ac:dyDescent="0.3">
      <c r="A508" s="61">
        <v>20</v>
      </c>
      <c r="B508" s="61">
        <v>9</v>
      </c>
      <c r="C508" s="60"/>
      <c r="G508" s="62"/>
      <c r="I508" s="86" t="e">
        <f t="shared" si="18"/>
        <v>#DIV/0!</v>
      </c>
      <c r="J508" s="87" t="e">
        <f t="shared" si="18"/>
        <v>#DIV/0!</v>
      </c>
      <c r="K508" s="87" t="e">
        <f t="shared" si="18"/>
        <v>#DIV/0!</v>
      </c>
      <c r="L508" s="87" t="e">
        <f t="shared" si="18"/>
        <v>#DIV/0!</v>
      </c>
      <c r="M508" s="88" t="e">
        <f t="shared" si="18"/>
        <v>#DIV/0!</v>
      </c>
      <c r="O508" s="121" t="str">
        <f t="shared" si="17"/>
        <v>נצרת-עילית</v>
      </c>
      <c r="P508" s="121" t="str">
        <f t="shared" si="17"/>
        <v>קרית אתא</v>
      </c>
    </row>
    <row r="509" spans="1:16" x14ac:dyDescent="0.3">
      <c r="A509" s="61">
        <v>20</v>
      </c>
      <c r="B509" s="61">
        <v>10</v>
      </c>
      <c r="C509" s="60"/>
      <c r="G509" s="62"/>
      <c r="I509" s="86" t="e">
        <f t="shared" si="18"/>
        <v>#DIV/0!</v>
      </c>
      <c r="J509" s="87" t="e">
        <f t="shared" si="18"/>
        <v>#DIV/0!</v>
      </c>
      <c r="K509" s="87" t="e">
        <f t="shared" si="18"/>
        <v>#DIV/0!</v>
      </c>
      <c r="L509" s="87" t="e">
        <f t="shared" si="18"/>
        <v>#DIV/0!</v>
      </c>
      <c r="M509" s="88" t="e">
        <f t="shared" si="18"/>
        <v>#DIV/0!</v>
      </c>
      <c r="O509" s="121" t="str">
        <f t="shared" si="17"/>
        <v>נצרת-עילית</v>
      </c>
      <c r="P509" s="121" t="str">
        <f t="shared" si="17"/>
        <v>כפר מנדא</v>
      </c>
    </row>
    <row r="510" spans="1:16" x14ac:dyDescent="0.3">
      <c r="A510" s="61">
        <v>20</v>
      </c>
      <c r="B510" s="61">
        <v>11</v>
      </c>
      <c r="C510" s="60"/>
      <c r="G510" s="62"/>
      <c r="I510" s="86" t="e">
        <f t="shared" si="18"/>
        <v>#DIV/0!</v>
      </c>
      <c r="J510" s="87" t="e">
        <f t="shared" si="18"/>
        <v>#DIV/0!</v>
      </c>
      <c r="K510" s="87" t="e">
        <f t="shared" si="18"/>
        <v>#DIV/0!</v>
      </c>
      <c r="L510" s="87" t="e">
        <f t="shared" si="18"/>
        <v>#DIV/0!</v>
      </c>
      <c r="M510" s="88" t="e">
        <f t="shared" si="18"/>
        <v>#DIV/0!</v>
      </c>
      <c r="O510" s="121" t="str">
        <f t="shared" si="17"/>
        <v>נצרת-עילית</v>
      </c>
      <c r="P510" s="121" t="str">
        <f t="shared" si="17"/>
        <v>זבולון</v>
      </c>
    </row>
    <row r="511" spans="1:16" x14ac:dyDescent="0.3">
      <c r="A511" s="61">
        <v>20</v>
      </c>
      <c r="B511" s="61">
        <v>12</v>
      </c>
      <c r="C511" s="60"/>
      <c r="G511" s="62"/>
      <c r="I511" s="86" t="e">
        <f t="shared" si="18"/>
        <v>#DIV/0!</v>
      </c>
      <c r="J511" s="87" t="e">
        <f t="shared" si="18"/>
        <v>#DIV/0!</v>
      </c>
      <c r="K511" s="87" t="e">
        <f t="shared" si="18"/>
        <v>#DIV/0!</v>
      </c>
      <c r="L511" s="87" t="e">
        <f t="shared" si="18"/>
        <v>#DIV/0!</v>
      </c>
      <c r="M511" s="88" t="e">
        <f t="shared" si="18"/>
        <v>#DIV/0!</v>
      </c>
      <c r="O511" s="121" t="str">
        <f t="shared" si="17"/>
        <v>נצרת-עילית</v>
      </c>
      <c r="P511" s="121" t="str">
        <f t="shared" si="17"/>
        <v>חיפה מפרץ</v>
      </c>
    </row>
    <row r="512" spans="1:16" x14ac:dyDescent="0.3">
      <c r="A512" s="61">
        <v>20</v>
      </c>
      <c r="B512" s="61">
        <v>13</v>
      </c>
      <c r="C512" s="60"/>
      <c r="G512" s="62"/>
      <c r="I512" s="86" t="e">
        <f t="shared" si="18"/>
        <v>#DIV/0!</v>
      </c>
      <c r="J512" s="87" t="e">
        <f t="shared" si="18"/>
        <v>#DIV/0!</v>
      </c>
      <c r="K512" s="87" t="e">
        <f t="shared" si="18"/>
        <v>#DIV/0!</v>
      </c>
      <c r="L512" s="87" t="e">
        <f t="shared" si="18"/>
        <v>#DIV/0!</v>
      </c>
      <c r="M512" s="88" t="e">
        <f t="shared" si="18"/>
        <v>#DIV/0!</v>
      </c>
      <c r="O512" s="121" t="str">
        <f t="shared" si="17"/>
        <v>נצרת-עילית</v>
      </c>
      <c r="P512" s="121" t="str">
        <f t="shared" si="17"/>
        <v>חיפה עיר תחתית</v>
      </c>
    </row>
    <row r="513" spans="1:16" x14ac:dyDescent="0.3">
      <c r="A513" s="61">
        <v>20</v>
      </c>
      <c r="B513" s="61">
        <v>14</v>
      </c>
      <c r="C513" s="60"/>
      <c r="G513" s="62"/>
      <c r="I513" s="86" t="e">
        <f t="shared" si="18"/>
        <v>#DIV/0!</v>
      </c>
      <c r="J513" s="87" t="e">
        <f t="shared" si="18"/>
        <v>#DIV/0!</v>
      </c>
      <c r="K513" s="87" t="e">
        <f t="shared" si="18"/>
        <v>#DIV/0!</v>
      </c>
      <c r="L513" s="87" t="e">
        <f t="shared" si="18"/>
        <v>#DIV/0!</v>
      </c>
      <c r="M513" s="88" t="e">
        <f t="shared" si="18"/>
        <v>#DIV/0!</v>
      </c>
      <c r="O513" s="121" t="str">
        <f t="shared" si="17"/>
        <v>נצרת-עילית</v>
      </c>
      <c r="P513" s="121" t="str">
        <f t="shared" si="17"/>
        <v>חיפה הדר-כרמל</v>
      </c>
    </row>
    <row r="514" spans="1:16" x14ac:dyDescent="0.3">
      <c r="A514" s="61">
        <v>20</v>
      </c>
      <c r="B514" s="61">
        <v>15</v>
      </c>
      <c r="C514" s="60"/>
      <c r="G514" s="62"/>
      <c r="I514" s="86" t="e">
        <f t="shared" si="18"/>
        <v>#DIV/0!</v>
      </c>
      <c r="J514" s="87" t="e">
        <f t="shared" si="18"/>
        <v>#DIV/0!</v>
      </c>
      <c r="K514" s="87" t="e">
        <f t="shared" si="18"/>
        <v>#DIV/0!</v>
      </c>
      <c r="L514" s="87" t="e">
        <f t="shared" si="18"/>
        <v>#DIV/0!</v>
      </c>
      <c r="M514" s="88" t="e">
        <f t="shared" si="18"/>
        <v>#DIV/0!</v>
      </c>
      <c r="O514" s="121" t="str">
        <f t="shared" si="17"/>
        <v>נצרת-עילית</v>
      </c>
      <c r="P514" s="121" t="str">
        <f t="shared" si="17"/>
        <v>חיפה מערב</v>
      </c>
    </row>
    <row r="515" spans="1:16" x14ac:dyDescent="0.3">
      <c r="A515" s="61">
        <v>20</v>
      </c>
      <c r="B515" s="61">
        <v>16</v>
      </c>
      <c r="C515" s="60"/>
      <c r="G515" s="62"/>
      <c r="I515" s="86" t="e">
        <f t="shared" si="18"/>
        <v>#DIV/0!</v>
      </c>
      <c r="J515" s="87" t="e">
        <f t="shared" si="18"/>
        <v>#DIV/0!</v>
      </c>
      <c r="K515" s="87" t="e">
        <f t="shared" si="18"/>
        <v>#DIV/0!</v>
      </c>
      <c r="L515" s="87" t="e">
        <f t="shared" si="18"/>
        <v>#DIV/0!</v>
      </c>
      <c r="M515" s="88" t="e">
        <f t="shared" si="18"/>
        <v>#DIV/0!</v>
      </c>
      <c r="O515" s="121" t="str">
        <f t="shared" si="17"/>
        <v>נצרת-עילית</v>
      </c>
      <c r="P515" s="121" t="str">
        <f t="shared" si="17"/>
        <v>חיפה כרמל</v>
      </c>
    </row>
    <row r="516" spans="1:16" x14ac:dyDescent="0.3">
      <c r="A516" s="61">
        <v>20</v>
      </c>
      <c r="B516" s="61">
        <v>17</v>
      </c>
      <c r="C516" s="60"/>
      <c r="G516" s="62"/>
      <c r="I516" s="86" t="e">
        <f t="shared" si="18"/>
        <v>#DIV/0!</v>
      </c>
      <c r="J516" s="87" t="e">
        <f t="shared" si="18"/>
        <v>#DIV/0!</v>
      </c>
      <c r="K516" s="87" t="e">
        <f t="shared" si="18"/>
        <v>#DIV/0!</v>
      </c>
      <c r="L516" s="87" t="e">
        <f t="shared" si="18"/>
        <v>#DIV/0!</v>
      </c>
      <c r="M516" s="88" t="e">
        <f t="shared" si="18"/>
        <v>#DIV/0!</v>
      </c>
      <c r="O516" s="121" t="str">
        <f t="shared" si="17"/>
        <v>נצרת-עילית</v>
      </c>
      <c r="P516" s="121" t="str">
        <f t="shared" si="17"/>
        <v>חיפה נווה שאנן</v>
      </c>
    </row>
    <row r="517" spans="1:16" x14ac:dyDescent="0.3">
      <c r="A517" s="61">
        <v>20</v>
      </c>
      <c r="B517" s="61">
        <v>18</v>
      </c>
      <c r="C517" s="60"/>
      <c r="G517" s="62"/>
      <c r="I517" s="86" t="e">
        <f t="shared" si="18"/>
        <v>#DIV/0!</v>
      </c>
      <c r="J517" s="87" t="e">
        <f t="shared" si="18"/>
        <v>#DIV/0!</v>
      </c>
      <c r="K517" s="87" t="e">
        <f t="shared" si="18"/>
        <v>#DIV/0!</v>
      </c>
      <c r="L517" s="87" t="e">
        <f t="shared" si="18"/>
        <v>#DIV/0!</v>
      </c>
      <c r="M517" s="88" t="e">
        <f t="shared" si="18"/>
        <v>#DIV/0!</v>
      </c>
      <c r="O517" s="121" t="str">
        <f t="shared" si="17"/>
        <v>נצרת-עילית</v>
      </c>
      <c r="P517" s="121" t="str">
        <f t="shared" si="17"/>
        <v>נשר</v>
      </c>
    </row>
    <row r="518" spans="1:16" x14ac:dyDescent="0.3">
      <c r="A518" s="61">
        <v>20</v>
      </c>
      <c r="B518" s="61">
        <v>19</v>
      </c>
      <c r="C518" s="60"/>
      <c r="G518" s="62"/>
      <c r="I518" s="86" t="e">
        <f t="shared" si="18"/>
        <v>#DIV/0!</v>
      </c>
      <c r="J518" s="87" t="e">
        <f t="shared" si="18"/>
        <v>#DIV/0!</v>
      </c>
      <c r="K518" s="87" t="e">
        <f t="shared" si="18"/>
        <v>#DIV/0!</v>
      </c>
      <c r="L518" s="87" t="e">
        <f t="shared" si="18"/>
        <v>#DIV/0!</v>
      </c>
      <c r="M518" s="88" t="e">
        <f t="shared" si="18"/>
        <v>#DIV/0!</v>
      </c>
      <c r="O518" s="121" t="str">
        <f t="shared" si="17"/>
        <v>נצרת-עילית</v>
      </c>
      <c r="P518" s="121" t="str">
        <f t="shared" si="17"/>
        <v>נצרת</v>
      </c>
    </row>
    <row r="519" spans="1:16" x14ac:dyDescent="0.3">
      <c r="A519" s="61">
        <v>20</v>
      </c>
      <c r="B519" s="61">
        <v>20</v>
      </c>
      <c r="C519" s="60"/>
      <c r="G519" s="62"/>
      <c r="I519" s="86" t="e">
        <f t="shared" si="18"/>
        <v>#DIV/0!</v>
      </c>
      <c r="J519" s="87" t="e">
        <f t="shared" si="18"/>
        <v>#DIV/0!</v>
      </c>
      <c r="K519" s="87" t="e">
        <f t="shared" si="18"/>
        <v>#DIV/0!</v>
      </c>
      <c r="L519" s="87" t="e">
        <f t="shared" si="18"/>
        <v>#DIV/0!</v>
      </c>
      <c r="M519" s="88" t="e">
        <f t="shared" si="18"/>
        <v>#DIV/0!</v>
      </c>
      <c r="O519" s="121" t="str">
        <f t="shared" ref="O519:P582" si="19">VLOOKUP(A519,$S$6:$T$31,2,0)</f>
        <v>נצרת-עילית</v>
      </c>
      <c r="P519" s="121" t="str">
        <f t="shared" si="19"/>
        <v>נצרת-עילית</v>
      </c>
    </row>
    <row r="520" spans="1:16" x14ac:dyDescent="0.3">
      <c r="A520" s="61">
        <v>20</v>
      </c>
      <c r="B520" s="61">
        <v>21</v>
      </c>
      <c r="C520" s="60"/>
      <c r="G520" s="62"/>
      <c r="I520" s="86" t="e">
        <f t="shared" si="18"/>
        <v>#DIV/0!</v>
      </c>
      <c r="J520" s="87" t="e">
        <f t="shared" si="18"/>
        <v>#DIV/0!</v>
      </c>
      <c r="K520" s="87" t="e">
        <f t="shared" si="18"/>
        <v>#DIV/0!</v>
      </c>
      <c r="L520" s="87" t="e">
        <f t="shared" si="18"/>
        <v>#DIV/0!</v>
      </c>
      <c r="M520" s="88" t="e">
        <f t="shared" si="18"/>
        <v>#DIV/0!</v>
      </c>
      <c r="O520" s="121" t="str">
        <f t="shared" si="19"/>
        <v>נצרת-עילית</v>
      </c>
      <c r="P520" s="121" t="str">
        <f t="shared" si="19"/>
        <v>מגדל העמק</v>
      </c>
    </row>
    <row r="521" spans="1:16" x14ac:dyDescent="0.3">
      <c r="A521" s="61">
        <v>20</v>
      </c>
      <c r="B521" s="61">
        <v>22</v>
      </c>
      <c r="C521" s="60"/>
      <c r="G521" s="62"/>
      <c r="I521" s="86" t="e">
        <f t="shared" si="18"/>
        <v>#DIV/0!</v>
      </c>
      <c r="J521" s="87" t="e">
        <f t="shared" si="18"/>
        <v>#DIV/0!</v>
      </c>
      <c r="K521" s="87" t="e">
        <f t="shared" si="18"/>
        <v>#DIV/0!</v>
      </c>
      <c r="L521" s="87" t="e">
        <f t="shared" si="18"/>
        <v>#DIV/0!</v>
      </c>
      <c r="M521" s="88" t="e">
        <f t="shared" si="18"/>
        <v>#DIV/0!</v>
      </c>
      <c r="O521" s="121" t="str">
        <f t="shared" si="19"/>
        <v>נצרת-עילית</v>
      </c>
      <c r="P521" s="121" t="str">
        <f t="shared" si="19"/>
        <v>יוקנעם</v>
      </c>
    </row>
    <row r="522" spans="1:16" x14ac:dyDescent="0.3">
      <c r="A522" s="61">
        <v>20</v>
      </c>
      <c r="B522" s="61">
        <v>23</v>
      </c>
      <c r="C522" s="60"/>
      <c r="G522" s="62"/>
      <c r="I522" s="86" t="e">
        <f t="shared" si="18"/>
        <v>#DIV/0!</v>
      </c>
      <c r="J522" s="87" t="e">
        <f t="shared" si="18"/>
        <v>#DIV/0!</v>
      </c>
      <c r="K522" s="87" t="e">
        <f t="shared" si="18"/>
        <v>#DIV/0!</v>
      </c>
      <c r="L522" s="87" t="e">
        <f t="shared" si="18"/>
        <v>#DIV/0!</v>
      </c>
      <c r="M522" s="88" t="e">
        <f t="shared" si="18"/>
        <v>#DIV/0!</v>
      </c>
      <c r="O522" s="121" t="str">
        <f t="shared" si="19"/>
        <v>נצרת-עילית</v>
      </c>
      <c r="P522" s="121" t="str">
        <f t="shared" si="19"/>
        <v>דלית אל כרמל</v>
      </c>
    </row>
    <row r="523" spans="1:16" x14ac:dyDescent="0.3">
      <c r="A523" s="61">
        <v>20</v>
      </c>
      <c r="B523" s="61">
        <v>24</v>
      </c>
      <c r="C523" s="60"/>
      <c r="G523" s="62"/>
      <c r="I523" s="86" t="e">
        <f t="shared" si="18"/>
        <v>#DIV/0!</v>
      </c>
      <c r="J523" s="87" t="e">
        <f t="shared" si="18"/>
        <v>#DIV/0!</v>
      </c>
      <c r="K523" s="87" t="e">
        <f t="shared" si="18"/>
        <v>#DIV/0!</v>
      </c>
      <c r="L523" s="87" t="e">
        <f t="shared" si="18"/>
        <v>#DIV/0!</v>
      </c>
      <c r="M523" s="88" t="e">
        <f t="shared" si="18"/>
        <v>#DIV/0!</v>
      </c>
      <c r="O523" s="121" t="str">
        <f t="shared" si="19"/>
        <v>נצרת-עילית</v>
      </c>
      <c r="P523" s="121" t="str">
        <f t="shared" si="19"/>
        <v>חוף הכרמל</v>
      </c>
    </row>
    <row r="524" spans="1:16" x14ac:dyDescent="0.3">
      <c r="A524" s="61">
        <v>20</v>
      </c>
      <c r="B524" s="61">
        <v>25</v>
      </c>
      <c r="C524" s="60"/>
      <c r="G524" s="62"/>
      <c r="I524" s="86" t="e">
        <f t="shared" si="18"/>
        <v>#DIV/0!</v>
      </c>
      <c r="J524" s="87" t="e">
        <f t="shared" si="18"/>
        <v>#DIV/0!</v>
      </c>
      <c r="K524" s="87" t="e">
        <f t="shared" si="18"/>
        <v>#DIV/0!</v>
      </c>
      <c r="L524" s="87" t="e">
        <f t="shared" si="18"/>
        <v>#DIV/0!</v>
      </c>
      <c r="M524" s="88" t="e">
        <f t="shared" si="18"/>
        <v>#DIV/0!</v>
      </c>
      <c r="O524" s="121" t="str">
        <f t="shared" si="19"/>
        <v>נצרת-עילית</v>
      </c>
      <c r="P524" s="121" t="str">
        <f t="shared" si="19"/>
        <v>זכרון יעקב</v>
      </c>
    </row>
    <row r="525" spans="1:16" x14ac:dyDescent="0.3">
      <c r="A525" s="61">
        <v>20</v>
      </c>
      <c r="B525" s="61">
        <v>30</v>
      </c>
      <c r="C525" s="60"/>
      <c r="G525" s="62"/>
      <c r="I525" s="86" t="e">
        <f t="shared" si="18"/>
        <v>#DIV/0!</v>
      </c>
      <c r="J525" s="87" t="e">
        <f t="shared" si="18"/>
        <v>#DIV/0!</v>
      </c>
      <c r="K525" s="87" t="e">
        <f t="shared" si="18"/>
        <v>#DIV/0!</v>
      </c>
      <c r="L525" s="87" t="e">
        <f t="shared" si="18"/>
        <v>#DIV/0!</v>
      </c>
      <c r="M525" s="88" t="e">
        <f t="shared" si="18"/>
        <v>#DIV/0!</v>
      </c>
      <c r="O525" s="121" t="str">
        <f t="shared" si="19"/>
        <v>נצרת-עילית</v>
      </c>
      <c r="P525" s="121" t="str">
        <f t="shared" si="19"/>
        <v>סכנין</v>
      </c>
    </row>
    <row r="526" spans="1:16" x14ac:dyDescent="0.3">
      <c r="A526" s="61">
        <v>21</v>
      </c>
      <c r="B526" s="61">
        <v>1</v>
      </c>
      <c r="C526" s="60"/>
      <c r="G526" s="62"/>
      <c r="I526" s="86" t="e">
        <f t="shared" si="18"/>
        <v>#DIV/0!</v>
      </c>
      <c r="J526" s="87" t="e">
        <f t="shared" si="18"/>
        <v>#DIV/0!</v>
      </c>
      <c r="K526" s="87" t="e">
        <f t="shared" si="18"/>
        <v>#DIV/0!</v>
      </c>
      <c r="L526" s="87" t="e">
        <f t="shared" si="18"/>
        <v>#DIV/0!</v>
      </c>
      <c r="M526" s="88" t="e">
        <f t="shared" si="18"/>
        <v>#DIV/0!</v>
      </c>
      <c r="O526" s="121" t="str">
        <f t="shared" si="19"/>
        <v>מגדל העמק</v>
      </c>
      <c r="P526" s="121" t="str">
        <f t="shared" si="19"/>
        <v>נהריה</v>
      </c>
    </row>
    <row r="527" spans="1:16" x14ac:dyDescent="0.3">
      <c r="A527" s="61">
        <v>21</v>
      </c>
      <c r="B527" s="61">
        <v>2</v>
      </c>
      <c r="C527" s="60"/>
      <c r="G527" s="62"/>
      <c r="I527" s="86" t="e">
        <f t="shared" si="18"/>
        <v>#DIV/0!</v>
      </c>
      <c r="J527" s="87" t="e">
        <f t="shared" si="18"/>
        <v>#DIV/0!</v>
      </c>
      <c r="K527" s="87" t="e">
        <f t="shared" si="18"/>
        <v>#DIV/0!</v>
      </c>
      <c r="L527" s="87" t="e">
        <f t="shared" si="18"/>
        <v>#DIV/0!</v>
      </c>
      <c r="M527" s="88" t="e">
        <f t="shared" si="18"/>
        <v>#DIV/0!</v>
      </c>
      <c r="O527" s="121" t="str">
        <f t="shared" si="19"/>
        <v>מגדל העמק</v>
      </c>
      <c r="P527" s="121" t="str">
        <f t="shared" si="19"/>
        <v>עכו</v>
      </c>
    </row>
    <row r="528" spans="1:16" x14ac:dyDescent="0.3">
      <c r="A528" s="61">
        <v>21</v>
      </c>
      <c r="B528" s="61">
        <v>3</v>
      </c>
      <c r="C528" s="60"/>
      <c r="G528" s="62"/>
      <c r="I528" s="86" t="e">
        <f t="shared" si="18"/>
        <v>#DIV/0!</v>
      </c>
      <c r="J528" s="87" t="e">
        <f t="shared" si="18"/>
        <v>#DIV/0!</v>
      </c>
      <c r="K528" s="87" t="e">
        <f t="shared" si="18"/>
        <v>#DIV/0!</v>
      </c>
      <c r="L528" s="87" t="e">
        <f t="shared" si="18"/>
        <v>#DIV/0!</v>
      </c>
      <c r="M528" s="88" t="e">
        <f t="shared" si="18"/>
        <v>#DIV/0!</v>
      </c>
      <c r="O528" s="121" t="str">
        <f t="shared" si="19"/>
        <v>מגדל העמק</v>
      </c>
      <c r="P528" s="121" t="str">
        <f t="shared" si="19"/>
        <v>כרמיאל</v>
      </c>
    </row>
    <row r="529" spans="1:16" x14ac:dyDescent="0.3">
      <c r="A529" s="61">
        <v>21</v>
      </c>
      <c r="B529" s="61">
        <v>4</v>
      </c>
      <c r="C529" s="60"/>
      <c r="G529" s="62"/>
      <c r="I529" s="86" t="e">
        <f t="shared" ref="I529:M579" si="20">C529/SUM($C529:$G529)</f>
        <v>#DIV/0!</v>
      </c>
      <c r="J529" s="87" t="e">
        <f t="shared" si="20"/>
        <v>#DIV/0!</v>
      </c>
      <c r="K529" s="87" t="e">
        <f t="shared" si="20"/>
        <v>#DIV/0!</v>
      </c>
      <c r="L529" s="87" t="e">
        <f t="shared" si="20"/>
        <v>#DIV/0!</v>
      </c>
      <c r="M529" s="88" t="e">
        <f t="shared" si="20"/>
        <v>#DIV/0!</v>
      </c>
      <c r="O529" s="121" t="str">
        <f t="shared" si="19"/>
        <v>מגדל העמק</v>
      </c>
      <c r="P529" s="121" t="str">
        <f t="shared" si="19"/>
        <v>שפרעם</v>
      </c>
    </row>
    <row r="530" spans="1:16" x14ac:dyDescent="0.3">
      <c r="A530" s="61">
        <v>21</v>
      </c>
      <c r="B530" s="61">
        <v>5</v>
      </c>
      <c r="C530" s="60"/>
      <c r="G530" s="62"/>
      <c r="I530" s="86" t="e">
        <f t="shared" si="20"/>
        <v>#DIV/0!</v>
      </c>
      <c r="J530" s="87" t="e">
        <f t="shared" si="20"/>
        <v>#DIV/0!</v>
      </c>
      <c r="K530" s="87" t="e">
        <f t="shared" si="20"/>
        <v>#DIV/0!</v>
      </c>
      <c r="L530" s="87" t="e">
        <f t="shared" si="20"/>
        <v>#DIV/0!</v>
      </c>
      <c r="M530" s="88" t="e">
        <f t="shared" si="20"/>
        <v>#DIV/0!</v>
      </c>
      <c r="O530" s="121" t="str">
        <f t="shared" si="19"/>
        <v>מגדל העמק</v>
      </c>
      <c r="P530" s="121" t="str">
        <f t="shared" si="19"/>
        <v>קרית ים</v>
      </c>
    </row>
    <row r="531" spans="1:16" x14ac:dyDescent="0.3">
      <c r="A531" s="61">
        <v>21</v>
      </c>
      <c r="B531" s="61">
        <v>6</v>
      </c>
      <c r="C531" s="60"/>
      <c r="G531" s="62"/>
      <c r="I531" s="86" t="e">
        <f t="shared" si="20"/>
        <v>#DIV/0!</v>
      </c>
      <c r="J531" s="87" t="e">
        <f t="shared" si="20"/>
        <v>#DIV/0!</v>
      </c>
      <c r="K531" s="87" t="e">
        <f t="shared" si="20"/>
        <v>#DIV/0!</v>
      </c>
      <c r="L531" s="87" t="e">
        <f t="shared" si="20"/>
        <v>#DIV/0!</v>
      </c>
      <c r="M531" s="88" t="e">
        <f t="shared" si="20"/>
        <v>#DIV/0!</v>
      </c>
      <c r="O531" s="121" t="str">
        <f t="shared" si="19"/>
        <v>מגדל העמק</v>
      </c>
      <c r="P531" s="121" t="str">
        <f t="shared" si="19"/>
        <v>קרית מוצקין</v>
      </c>
    </row>
    <row r="532" spans="1:16" x14ac:dyDescent="0.3">
      <c r="A532" s="61">
        <v>21</v>
      </c>
      <c r="B532" s="61">
        <v>7</v>
      </c>
      <c r="C532" s="60"/>
      <c r="G532" s="62"/>
      <c r="I532" s="86" t="e">
        <f t="shared" si="20"/>
        <v>#DIV/0!</v>
      </c>
      <c r="J532" s="87" t="e">
        <f t="shared" si="20"/>
        <v>#DIV/0!</v>
      </c>
      <c r="K532" s="87" t="e">
        <f t="shared" si="20"/>
        <v>#DIV/0!</v>
      </c>
      <c r="L532" s="87" t="e">
        <f t="shared" si="20"/>
        <v>#DIV/0!</v>
      </c>
      <c r="M532" s="88" t="e">
        <f t="shared" si="20"/>
        <v>#DIV/0!</v>
      </c>
      <c r="O532" s="121" t="str">
        <f t="shared" si="19"/>
        <v>מגדל העמק</v>
      </c>
      <c r="P532" s="121" t="str">
        <f t="shared" si="19"/>
        <v>קרית ביאליק</v>
      </c>
    </row>
    <row r="533" spans="1:16" x14ac:dyDescent="0.3">
      <c r="A533" s="61">
        <v>21</v>
      </c>
      <c r="B533" s="61">
        <v>8</v>
      </c>
      <c r="C533" s="60"/>
      <c r="G533" s="62"/>
      <c r="I533" s="86" t="e">
        <f t="shared" si="20"/>
        <v>#DIV/0!</v>
      </c>
      <c r="J533" s="87" t="e">
        <f t="shared" si="20"/>
        <v>#DIV/0!</v>
      </c>
      <c r="K533" s="87" t="e">
        <f t="shared" si="20"/>
        <v>#DIV/0!</v>
      </c>
      <c r="L533" s="87" t="e">
        <f t="shared" si="20"/>
        <v>#DIV/0!</v>
      </c>
      <c r="M533" s="88" t="e">
        <f t="shared" si="20"/>
        <v>#DIV/0!</v>
      </c>
      <c r="O533" s="121" t="str">
        <f t="shared" si="19"/>
        <v>מגדל העמק</v>
      </c>
      <c r="P533" s="121" t="str">
        <f t="shared" si="19"/>
        <v>קרית חיים</v>
      </c>
    </row>
    <row r="534" spans="1:16" x14ac:dyDescent="0.3">
      <c r="A534" s="61">
        <v>21</v>
      </c>
      <c r="B534" s="61">
        <v>9</v>
      </c>
      <c r="C534" s="60"/>
      <c r="G534" s="62"/>
      <c r="I534" s="86" t="e">
        <f t="shared" si="20"/>
        <v>#DIV/0!</v>
      </c>
      <c r="J534" s="87" t="e">
        <f t="shared" si="20"/>
        <v>#DIV/0!</v>
      </c>
      <c r="K534" s="87" t="e">
        <f t="shared" si="20"/>
        <v>#DIV/0!</v>
      </c>
      <c r="L534" s="87" t="e">
        <f t="shared" si="20"/>
        <v>#DIV/0!</v>
      </c>
      <c r="M534" s="88" t="e">
        <f t="shared" si="20"/>
        <v>#DIV/0!</v>
      </c>
      <c r="O534" s="121" t="str">
        <f t="shared" si="19"/>
        <v>מגדל העמק</v>
      </c>
      <c r="P534" s="121" t="str">
        <f t="shared" si="19"/>
        <v>קרית אתא</v>
      </c>
    </row>
    <row r="535" spans="1:16" x14ac:dyDescent="0.3">
      <c r="A535" s="61">
        <v>21</v>
      </c>
      <c r="B535" s="61">
        <v>10</v>
      </c>
      <c r="C535" s="60"/>
      <c r="G535" s="62"/>
      <c r="I535" s="86" t="e">
        <f t="shared" si="20"/>
        <v>#DIV/0!</v>
      </c>
      <c r="J535" s="87" t="e">
        <f t="shared" si="20"/>
        <v>#DIV/0!</v>
      </c>
      <c r="K535" s="87" t="e">
        <f t="shared" si="20"/>
        <v>#DIV/0!</v>
      </c>
      <c r="L535" s="87" t="e">
        <f t="shared" si="20"/>
        <v>#DIV/0!</v>
      </c>
      <c r="M535" s="88" t="e">
        <f t="shared" si="20"/>
        <v>#DIV/0!</v>
      </c>
      <c r="O535" s="121" t="str">
        <f t="shared" si="19"/>
        <v>מגדל העמק</v>
      </c>
      <c r="P535" s="121" t="str">
        <f t="shared" si="19"/>
        <v>כפר מנדא</v>
      </c>
    </row>
    <row r="536" spans="1:16" x14ac:dyDescent="0.3">
      <c r="A536" s="61">
        <v>21</v>
      </c>
      <c r="B536" s="61">
        <v>11</v>
      </c>
      <c r="C536" s="60"/>
      <c r="G536" s="62"/>
      <c r="I536" s="86" t="e">
        <f t="shared" si="20"/>
        <v>#DIV/0!</v>
      </c>
      <c r="J536" s="87" t="e">
        <f t="shared" si="20"/>
        <v>#DIV/0!</v>
      </c>
      <c r="K536" s="87" t="e">
        <f t="shared" si="20"/>
        <v>#DIV/0!</v>
      </c>
      <c r="L536" s="87" t="e">
        <f t="shared" si="20"/>
        <v>#DIV/0!</v>
      </c>
      <c r="M536" s="88" t="e">
        <f t="shared" si="20"/>
        <v>#DIV/0!</v>
      </c>
      <c r="O536" s="121" t="str">
        <f t="shared" si="19"/>
        <v>מגדל העמק</v>
      </c>
      <c r="P536" s="121" t="str">
        <f t="shared" si="19"/>
        <v>זבולון</v>
      </c>
    </row>
    <row r="537" spans="1:16" x14ac:dyDescent="0.3">
      <c r="A537" s="61">
        <v>21</v>
      </c>
      <c r="B537" s="61">
        <v>12</v>
      </c>
      <c r="C537" s="60"/>
      <c r="G537" s="62"/>
      <c r="I537" s="86" t="e">
        <f t="shared" si="20"/>
        <v>#DIV/0!</v>
      </c>
      <c r="J537" s="87" t="e">
        <f t="shared" si="20"/>
        <v>#DIV/0!</v>
      </c>
      <c r="K537" s="87" t="e">
        <f t="shared" si="20"/>
        <v>#DIV/0!</v>
      </c>
      <c r="L537" s="87" t="e">
        <f t="shared" si="20"/>
        <v>#DIV/0!</v>
      </c>
      <c r="M537" s="88" t="e">
        <f t="shared" si="20"/>
        <v>#DIV/0!</v>
      </c>
      <c r="O537" s="121" t="str">
        <f t="shared" si="19"/>
        <v>מגדל העמק</v>
      </c>
      <c r="P537" s="121" t="str">
        <f t="shared" si="19"/>
        <v>חיפה מפרץ</v>
      </c>
    </row>
    <row r="538" spans="1:16" x14ac:dyDescent="0.3">
      <c r="A538" s="61">
        <v>21</v>
      </c>
      <c r="B538" s="61">
        <v>13</v>
      </c>
      <c r="C538" s="60"/>
      <c r="G538" s="62"/>
      <c r="I538" s="86" t="e">
        <f t="shared" si="20"/>
        <v>#DIV/0!</v>
      </c>
      <c r="J538" s="87" t="e">
        <f t="shared" si="20"/>
        <v>#DIV/0!</v>
      </c>
      <c r="K538" s="87" t="e">
        <f t="shared" si="20"/>
        <v>#DIV/0!</v>
      </c>
      <c r="L538" s="87" t="e">
        <f t="shared" si="20"/>
        <v>#DIV/0!</v>
      </c>
      <c r="M538" s="88" t="e">
        <f t="shared" si="20"/>
        <v>#DIV/0!</v>
      </c>
      <c r="O538" s="121" t="str">
        <f t="shared" si="19"/>
        <v>מגדל העמק</v>
      </c>
      <c r="P538" s="121" t="str">
        <f t="shared" si="19"/>
        <v>חיפה עיר תחתית</v>
      </c>
    </row>
    <row r="539" spans="1:16" x14ac:dyDescent="0.3">
      <c r="A539" s="61">
        <v>21</v>
      </c>
      <c r="B539" s="61">
        <v>14</v>
      </c>
      <c r="C539" s="60"/>
      <c r="G539" s="62"/>
      <c r="I539" s="86" t="e">
        <f t="shared" si="20"/>
        <v>#DIV/0!</v>
      </c>
      <c r="J539" s="87" t="e">
        <f t="shared" si="20"/>
        <v>#DIV/0!</v>
      </c>
      <c r="K539" s="87" t="e">
        <f t="shared" si="20"/>
        <v>#DIV/0!</v>
      </c>
      <c r="L539" s="87" t="e">
        <f t="shared" si="20"/>
        <v>#DIV/0!</v>
      </c>
      <c r="M539" s="88" t="e">
        <f t="shared" si="20"/>
        <v>#DIV/0!</v>
      </c>
      <c r="O539" s="121" t="str">
        <f t="shared" si="19"/>
        <v>מגדל העמק</v>
      </c>
      <c r="P539" s="121" t="str">
        <f t="shared" si="19"/>
        <v>חיפה הדר-כרמל</v>
      </c>
    </row>
    <row r="540" spans="1:16" x14ac:dyDescent="0.3">
      <c r="A540" s="61">
        <v>21</v>
      </c>
      <c r="B540" s="61">
        <v>15</v>
      </c>
      <c r="C540" s="60"/>
      <c r="G540" s="62"/>
      <c r="I540" s="86" t="e">
        <f t="shared" si="20"/>
        <v>#DIV/0!</v>
      </c>
      <c r="J540" s="87" t="e">
        <f t="shared" si="20"/>
        <v>#DIV/0!</v>
      </c>
      <c r="K540" s="87" t="e">
        <f t="shared" si="20"/>
        <v>#DIV/0!</v>
      </c>
      <c r="L540" s="87" t="e">
        <f t="shared" si="20"/>
        <v>#DIV/0!</v>
      </c>
      <c r="M540" s="88" t="e">
        <f t="shared" si="20"/>
        <v>#DIV/0!</v>
      </c>
      <c r="O540" s="121" t="str">
        <f t="shared" si="19"/>
        <v>מגדל העמק</v>
      </c>
      <c r="P540" s="121" t="str">
        <f t="shared" si="19"/>
        <v>חיפה מערב</v>
      </c>
    </row>
    <row r="541" spans="1:16" x14ac:dyDescent="0.3">
      <c r="A541" s="61">
        <v>21</v>
      </c>
      <c r="B541" s="61">
        <v>16</v>
      </c>
      <c r="C541" s="60"/>
      <c r="G541" s="62"/>
      <c r="I541" s="86" t="e">
        <f t="shared" si="20"/>
        <v>#DIV/0!</v>
      </c>
      <c r="J541" s="87" t="e">
        <f t="shared" si="20"/>
        <v>#DIV/0!</v>
      </c>
      <c r="K541" s="87" t="e">
        <f t="shared" si="20"/>
        <v>#DIV/0!</v>
      </c>
      <c r="L541" s="87" t="e">
        <f t="shared" si="20"/>
        <v>#DIV/0!</v>
      </c>
      <c r="M541" s="88" t="e">
        <f t="shared" si="20"/>
        <v>#DIV/0!</v>
      </c>
      <c r="O541" s="121" t="str">
        <f t="shared" si="19"/>
        <v>מגדל העמק</v>
      </c>
      <c r="P541" s="121" t="str">
        <f t="shared" si="19"/>
        <v>חיפה כרמל</v>
      </c>
    </row>
    <row r="542" spans="1:16" x14ac:dyDescent="0.3">
      <c r="A542" s="61">
        <v>21</v>
      </c>
      <c r="B542" s="61">
        <v>17</v>
      </c>
      <c r="C542" s="60"/>
      <c r="G542" s="62"/>
      <c r="I542" s="86" t="e">
        <f t="shared" si="20"/>
        <v>#DIV/0!</v>
      </c>
      <c r="J542" s="87" t="e">
        <f t="shared" si="20"/>
        <v>#DIV/0!</v>
      </c>
      <c r="K542" s="87" t="e">
        <f t="shared" si="20"/>
        <v>#DIV/0!</v>
      </c>
      <c r="L542" s="87" t="e">
        <f t="shared" si="20"/>
        <v>#DIV/0!</v>
      </c>
      <c r="M542" s="88" t="e">
        <f t="shared" si="20"/>
        <v>#DIV/0!</v>
      </c>
      <c r="O542" s="121" t="str">
        <f t="shared" si="19"/>
        <v>מגדל העמק</v>
      </c>
      <c r="P542" s="121" t="str">
        <f t="shared" si="19"/>
        <v>חיפה נווה שאנן</v>
      </c>
    </row>
    <row r="543" spans="1:16" x14ac:dyDescent="0.3">
      <c r="A543" s="61">
        <v>21</v>
      </c>
      <c r="B543" s="61">
        <v>18</v>
      </c>
      <c r="C543" s="60"/>
      <c r="G543" s="62"/>
      <c r="I543" s="86" t="e">
        <f t="shared" si="20"/>
        <v>#DIV/0!</v>
      </c>
      <c r="J543" s="87" t="e">
        <f t="shared" si="20"/>
        <v>#DIV/0!</v>
      </c>
      <c r="K543" s="87" t="e">
        <f t="shared" si="20"/>
        <v>#DIV/0!</v>
      </c>
      <c r="L543" s="87" t="e">
        <f t="shared" si="20"/>
        <v>#DIV/0!</v>
      </c>
      <c r="M543" s="88" t="e">
        <f t="shared" si="20"/>
        <v>#DIV/0!</v>
      </c>
      <c r="O543" s="121" t="str">
        <f t="shared" si="19"/>
        <v>מגדל העמק</v>
      </c>
      <c r="P543" s="121" t="str">
        <f t="shared" si="19"/>
        <v>נשר</v>
      </c>
    </row>
    <row r="544" spans="1:16" x14ac:dyDescent="0.3">
      <c r="A544" s="61">
        <v>21</v>
      </c>
      <c r="B544" s="61">
        <v>19</v>
      </c>
      <c r="C544" s="60"/>
      <c r="G544" s="62"/>
      <c r="I544" s="86" t="e">
        <f t="shared" si="20"/>
        <v>#DIV/0!</v>
      </c>
      <c r="J544" s="87" t="e">
        <f t="shared" si="20"/>
        <v>#DIV/0!</v>
      </c>
      <c r="K544" s="87" t="e">
        <f t="shared" si="20"/>
        <v>#DIV/0!</v>
      </c>
      <c r="L544" s="87" t="e">
        <f t="shared" si="20"/>
        <v>#DIV/0!</v>
      </c>
      <c r="M544" s="88" t="e">
        <f t="shared" si="20"/>
        <v>#DIV/0!</v>
      </c>
      <c r="O544" s="121" t="str">
        <f t="shared" si="19"/>
        <v>מגדל העמק</v>
      </c>
      <c r="P544" s="121" t="str">
        <f t="shared" si="19"/>
        <v>נצרת</v>
      </c>
    </row>
    <row r="545" spans="1:16" x14ac:dyDescent="0.3">
      <c r="A545" s="61">
        <v>21</v>
      </c>
      <c r="B545" s="61">
        <v>20</v>
      </c>
      <c r="C545" s="60"/>
      <c r="G545" s="62"/>
      <c r="I545" s="86" t="e">
        <f t="shared" si="20"/>
        <v>#DIV/0!</v>
      </c>
      <c r="J545" s="87" t="e">
        <f t="shared" si="20"/>
        <v>#DIV/0!</v>
      </c>
      <c r="K545" s="87" t="e">
        <f t="shared" si="20"/>
        <v>#DIV/0!</v>
      </c>
      <c r="L545" s="87" t="e">
        <f t="shared" si="20"/>
        <v>#DIV/0!</v>
      </c>
      <c r="M545" s="88" t="e">
        <f t="shared" si="20"/>
        <v>#DIV/0!</v>
      </c>
      <c r="O545" s="121" t="str">
        <f t="shared" si="19"/>
        <v>מגדל העמק</v>
      </c>
      <c r="P545" s="121" t="str">
        <f t="shared" si="19"/>
        <v>נצרת-עילית</v>
      </c>
    </row>
    <row r="546" spans="1:16" x14ac:dyDescent="0.3">
      <c r="A546" s="61">
        <v>21</v>
      </c>
      <c r="B546" s="61">
        <v>21</v>
      </c>
      <c r="C546" s="60"/>
      <c r="G546" s="62"/>
      <c r="I546" s="86" t="e">
        <f t="shared" si="20"/>
        <v>#DIV/0!</v>
      </c>
      <c r="J546" s="87" t="e">
        <f t="shared" si="20"/>
        <v>#DIV/0!</v>
      </c>
      <c r="K546" s="87" t="e">
        <f t="shared" si="20"/>
        <v>#DIV/0!</v>
      </c>
      <c r="L546" s="87" t="e">
        <f t="shared" si="20"/>
        <v>#DIV/0!</v>
      </c>
      <c r="M546" s="88" t="e">
        <f t="shared" si="20"/>
        <v>#DIV/0!</v>
      </c>
      <c r="O546" s="121" t="str">
        <f t="shared" si="19"/>
        <v>מגדל העמק</v>
      </c>
      <c r="P546" s="121" t="str">
        <f t="shared" si="19"/>
        <v>מגדל העמק</v>
      </c>
    </row>
    <row r="547" spans="1:16" x14ac:dyDescent="0.3">
      <c r="A547" s="61">
        <v>21</v>
      </c>
      <c r="B547" s="61">
        <v>22</v>
      </c>
      <c r="C547" s="60"/>
      <c r="G547" s="62"/>
      <c r="I547" s="86" t="e">
        <f t="shared" si="20"/>
        <v>#DIV/0!</v>
      </c>
      <c r="J547" s="87" t="e">
        <f t="shared" si="20"/>
        <v>#DIV/0!</v>
      </c>
      <c r="K547" s="87" t="e">
        <f t="shared" si="20"/>
        <v>#DIV/0!</v>
      </c>
      <c r="L547" s="87" t="e">
        <f t="shared" si="20"/>
        <v>#DIV/0!</v>
      </c>
      <c r="M547" s="88" t="e">
        <f t="shared" si="20"/>
        <v>#DIV/0!</v>
      </c>
      <c r="O547" s="121" t="str">
        <f t="shared" si="19"/>
        <v>מגדל העמק</v>
      </c>
      <c r="P547" s="121" t="str">
        <f t="shared" si="19"/>
        <v>יוקנעם</v>
      </c>
    </row>
    <row r="548" spans="1:16" x14ac:dyDescent="0.3">
      <c r="A548" s="61">
        <v>21</v>
      </c>
      <c r="B548" s="61">
        <v>23</v>
      </c>
      <c r="C548" s="60"/>
      <c r="G548" s="62"/>
      <c r="I548" s="86" t="e">
        <f t="shared" si="20"/>
        <v>#DIV/0!</v>
      </c>
      <c r="J548" s="87" t="e">
        <f t="shared" si="20"/>
        <v>#DIV/0!</v>
      </c>
      <c r="K548" s="87" t="e">
        <f t="shared" si="20"/>
        <v>#DIV/0!</v>
      </c>
      <c r="L548" s="87" t="e">
        <f t="shared" si="20"/>
        <v>#DIV/0!</v>
      </c>
      <c r="M548" s="88" t="e">
        <f t="shared" si="20"/>
        <v>#DIV/0!</v>
      </c>
      <c r="O548" s="121" t="str">
        <f t="shared" si="19"/>
        <v>מגדל העמק</v>
      </c>
      <c r="P548" s="121" t="str">
        <f t="shared" si="19"/>
        <v>דלית אל כרמל</v>
      </c>
    </row>
    <row r="549" spans="1:16" x14ac:dyDescent="0.3">
      <c r="A549" s="61">
        <v>21</v>
      </c>
      <c r="B549" s="61">
        <v>24</v>
      </c>
      <c r="C549" s="60"/>
      <c r="G549" s="62"/>
      <c r="I549" s="86" t="e">
        <f t="shared" si="20"/>
        <v>#DIV/0!</v>
      </c>
      <c r="J549" s="87" t="e">
        <f t="shared" si="20"/>
        <v>#DIV/0!</v>
      </c>
      <c r="K549" s="87" t="e">
        <f t="shared" si="20"/>
        <v>#DIV/0!</v>
      </c>
      <c r="L549" s="87" t="e">
        <f t="shared" si="20"/>
        <v>#DIV/0!</v>
      </c>
      <c r="M549" s="88" t="e">
        <f t="shared" si="20"/>
        <v>#DIV/0!</v>
      </c>
      <c r="O549" s="121" t="str">
        <f t="shared" si="19"/>
        <v>מגדל העמק</v>
      </c>
      <c r="P549" s="121" t="str">
        <f t="shared" si="19"/>
        <v>חוף הכרמל</v>
      </c>
    </row>
    <row r="550" spans="1:16" x14ac:dyDescent="0.3">
      <c r="A550" s="61">
        <v>21</v>
      </c>
      <c r="B550" s="61">
        <v>25</v>
      </c>
      <c r="C550" s="60"/>
      <c r="G550" s="62"/>
      <c r="I550" s="86" t="e">
        <f t="shared" si="20"/>
        <v>#DIV/0!</v>
      </c>
      <c r="J550" s="87" t="e">
        <f t="shared" si="20"/>
        <v>#DIV/0!</v>
      </c>
      <c r="K550" s="87" t="e">
        <f t="shared" si="20"/>
        <v>#DIV/0!</v>
      </c>
      <c r="L550" s="87" t="e">
        <f t="shared" si="20"/>
        <v>#DIV/0!</v>
      </c>
      <c r="M550" s="88" t="e">
        <f t="shared" si="20"/>
        <v>#DIV/0!</v>
      </c>
      <c r="O550" s="121" t="str">
        <f t="shared" si="19"/>
        <v>מגדל העמק</v>
      </c>
      <c r="P550" s="121" t="str">
        <f t="shared" si="19"/>
        <v>זכרון יעקב</v>
      </c>
    </row>
    <row r="551" spans="1:16" x14ac:dyDescent="0.3">
      <c r="A551" s="61">
        <v>21</v>
      </c>
      <c r="B551" s="61">
        <v>30</v>
      </c>
      <c r="C551" s="60"/>
      <c r="G551" s="62"/>
      <c r="I551" s="86" t="e">
        <f t="shared" si="20"/>
        <v>#DIV/0!</v>
      </c>
      <c r="J551" s="87" t="e">
        <f t="shared" si="20"/>
        <v>#DIV/0!</v>
      </c>
      <c r="K551" s="87" t="e">
        <f t="shared" si="20"/>
        <v>#DIV/0!</v>
      </c>
      <c r="L551" s="87" t="e">
        <f t="shared" si="20"/>
        <v>#DIV/0!</v>
      </c>
      <c r="M551" s="88" t="e">
        <f t="shared" si="20"/>
        <v>#DIV/0!</v>
      </c>
      <c r="O551" s="121" t="str">
        <f t="shared" si="19"/>
        <v>מגדל העמק</v>
      </c>
      <c r="P551" s="121" t="str">
        <f t="shared" si="19"/>
        <v>סכנין</v>
      </c>
    </row>
    <row r="552" spans="1:16" x14ac:dyDescent="0.3">
      <c r="A552" s="61">
        <v>22</v>
      </c>
      <c r="B552" s="61">
        <v>1</v>
      </c>
      <c r="C552" s="60"/>
      <c r="G552" s="62"/>
      <c r="I552" s="86" t="e">
        <f t="shared" si="20"/>
        <v>#DIV/0!</v>
      </c>
      <c r="J552" s="87" t="e">
        <f t="shared" si="20"/>
        <v>#DIV/0!</v>
      </c>
      <c r="K552" s="87" t="e">
        <f t="shared" si="20"/>
        <v>#DIV/0!</v>
      </c>
      <c r="L552" s="87" t="e">
        <f t="shared" si="20"/>
        <v>#DIV/0!</v>
      </c>
      <c r="M552" s="88" t="e">
        <f t="shared" si="20"/>
        <v>#DIV/0!</v>
      </c>
      <c r="O552" s="121" t="str">
        <f t="shared" si="19"/>
        <v>יוקנעם</v>
      </c>
      <c r="P552" s="121" t="str">
        <f t="shared" si="19"/>
        <v>נהריה</v>
      </c>
    </row>
    <row r="553" spans="1:16" x14ac:dyDescent="0.3">
      <c r="A553" s="61">
        <v>22</v>
      </c>
      <c r="B553" s="61">
        <v>2</v>
      </c>
      <c r="C553" s="60"/>
      <c r="G553" s="62"/>
      <c r="I553" s="86" t="e">
        <f t="shared" si="20"/>
        <v>#DIV/0!</v>
      </c>
      <c r="J553" s="87" t="e">
        <f t="shared" si="20"/>
        <v>#DIV/0!</v>
      </c>
      <c r="K553" s="87" t="e">
        <f t="shared" si="20"/>
        <v>#DIV/0!</v>
      </c>
      <c r="L553" s="87" t="e">
        <f t="shared" si="20"/>
        <v>#DIV/0!</v>
      </c>
      <c r="M553" s="88" t="e">
        <f t="shared" si="20"/>
        <v>#DIV/0!</v>
      </c>
      <c r="O553" s="121" t="str">
        <f t="shared" si="19"/>
        <v>יוקנעם</v>
      </c>
      <c r="P553" s="121" t="str">
        <f t="shared" si="19"/>
        <v>עכו</v>
      </c>
    </row>
    <row r="554" spans="1:16" x14ac:dyDescent="0.3">
      <c r="A554" s="61">
        <v>22</v>
      </c>
      <c r="B554" s="61">
        <v>3</v>
      </c>
      <c r="C554" s="60"/>
      <c r="G554" s="62"/>
      <c r="I554" s="86" t="e">
        <f t="shared" si="20"/>
        <v>#DIV/0!</v>
      </c>
      <c r="J554" s="87" t="e">
        <f t="shared" si="20"/>
        <v>#DIV/0!</v>
      </c>
      <c r="K554" s="87" t="e">
        <f t="shared" si="20"/>
        <v>#DIV/0!</v>
      </c>
      <c r="L554" s="87" t="e">
        <f t="shared" si="20"/>
        <v>#DIV/0!</v>
      </c>
      <c r="M554" s="88" t="e">
        <f t="shared" si="20"/>
        <v>#DIV/0!</v>
      </c>
      <c r="O554" s="121" t="str">
        <f t="shared" si="19"/>
        <v>יוקנעם</v>
      </c>
      <c r="P554" s="121" t="str">
        <f t="shared" si="19"/>
        <v>כרמיאל</v>
      </c>
    </row>
    <row r="555" spans="1:16" x14ac:dyDescent="0.3">
      <c r="A555" s="61">
        <v>22</v>
      </c>
      <c r="B555" s="61">
        <v>4</v>
      </c>
      <c r="C555" s="60"/>
      <c r="G555" s="62"/>
      <c r="I555" s="86" t="e">
        <f t="shared" si="20"/>
        <v>#DIV/0!</v>
      </c>
      <c r="J555" s="87" t="e">
        <f t="shared" si="20"/>
        <v>#DIV/0!</v>
      </c>
      <c r="K555" s="87" t="e">
        <f t="shared" si="20"/>
        <v>#DIV/0!</v>
      </c>
      <c r="L555" s="87" t="e">
        <f t="shared" si="20"/>
        <v>#DIV/0!</v>
      </c>
      <c r="M555" s="88" t="e">
        <f t="shared" si="20"/>
        <v>#DIV/0!</v>
      </c>
      <c r="O555" s="121" t="str">
        <f t="shared" si="19"/>
        <v>יוקנעם</v>
      </c>
      <c r="P555" s="121" t="str">
        <f t="shared" si="19"/>
        <v>שפרעם</v>
      </c>
    </row>
    <row r="556" spans="1:16" x14ac:dyDescent="0.3">
      <c r="A556" s="61">
        <v>22</v>
      </c>
      <c r="B556" s="61">
        <v>5</v>
      </c>
      <c r="C556" s="60"/>
      <c r="G556" s="62"/>
      <c r="I556" s="86" t="e">
        <f t="shared" si="20"/>
        <v>#DIV/0!</v>
      </c>
      <c r="J556" s="87" t="e">
        <f t="shared" si="20"/>
        <v>#DIV/0!</v>
      </c>
      <c r="K556" s="87" t="e">
        <f t="shared" si="20"/>
        <v>#DIV/0!</v>
      </c>
      <c r="L556" s="87" t="e">
        <f t="shared" si="20"/>
        <v>#DIV/0!</v>
      </c>
      <c r="M556" s="88" t="e">
        <f t="shared" si="20"/>
        <v>#DIV/0!</v>
      </c>
      <c r="O556" s="121" t="str">
        <f t="shared" si="19"/>
        <v>יוקנעם</v>
      </c>
      <c r="P556" s="121" t="str">
        <f t="shared" si="19"/>
        <v>קרית ים</v>
      </c>
    </row>
    <row r="557" spans="1:16" x14ac:dyDescent="0.3">
      <c r="A557" s="61">
        <v>22</v>
      </c>
      <c r="B557" s="61">
        <v>6</v>
      </c>
      <c r="C557" s="60"/>
      <c r="G557" s="62"/>
      <c r="I557" s="86" t="e">
        <f t="shared" si="20"/>
        <v>#DIV/0!</v>
      </c>
      <c r="J557" s="87" t="e">
        <f t="shared" si="20"/>
        <v>#DIV/0!</v>
      </c>
      <c r="K557" s="87" t="e">
        <f t="shared" si="20"/>
        <v>#DIV/0!</v>
      </c>
      <c r="L557" s="87" t="e">
        <f t="shared" si="20"/>
        <v>#DIV/0!</v>
      </c>
      <c r="M557" s="88" t="e">
        <f t="shared" si="20"/>
        <v>#DIV/0!</v>
      </c>
      <c r="O557" s="121" t="str">
        <f t="shared" si="19"/>
        <v>יוקנעם</v>
      </c>
      <c r="P557" s="121" t="str">
        <f t="shared" si="19"/>
        <v>קרית מוצקין</v>
      </c>
    </row>
    <row r="558" spans="1:16" x14ac:dyDescent="0.3">
      <c r="A558" s="61">
        <v>22</v>
      </c>
      <c r="B558" s="61">
        <v>7</v>
      </c>
      <c r="C558" s="60"/>
      <c r="G558" s="62"/>
      <c r="I558" s="86" t="e">
        <f t="shared" si="20"/>
        <v>#DIV/0!</v>
      </c>
      <c r="J558" s="87" t="e">
        <f t="shared" si="20"/>
        <v>#DIV/0!</v>
      </c>
      <c r="K558" s="87" t="e">
        <f t="shared" si="20"/>
        <v>#DIV/0!</v>
      </c>
      <c r="L558" s="87" t="e">
        <f t="shared" si="20"/>
        <v>#DIV/0!</v>
      </c>
      <c r="M558" s="88" t="e">
        <f t="shared" si="20"/>
        <v>#DIV/0!</v>
      </c>
      <c r="O558" s="121" t="str">
        <f t="shared" si="19"/>
        <v>יוקנעם</v>
      </c>
      <c r="P558" s="121" t="str">
        <f t="shared" si="19"/>
        <v>קרית ביאליק</v>
      </c>
    </row>
    <row r="559" spans="1:16" x14ac:dyDescent="0.3">
      <c r="A559" s="61">
        <v>22</v>
      </c>
      <c r="B559" s="61">
        <v>8</v>
      </c>
      <c r="C559" s="60"/>
      <c r="G559" s="62"/>
      <c r="I559" s="86" t="e">
        <f t="shared" si="20"/>
        <v>#DIV/0!</v>
      </c>
      <c r="J559" s="87" t="e">
        <f t="shared" si="20"/>
        <v>#DIV/0!</v>
      </c>
      <c r="K559" s="87" t="e">
        <f t="shared" si="20"/>
        <v>#DIV/0!</v>
      </c>
      <c r="L559" s="87" t="e">
        <f t="shared" si="20"/>
        <v>#DIV/0!</v>
      </c>
      <c r="M559" s="88" t="e">
        <f t="shared" si="20"/>
        <v>#DIV/0!</v>
      </c>
      <c r="O559" s="121" t="str">
        <f t="shared" si="19"/>
        <v>יוקנעם</v>
      </c>
      <c r="P559" s="121" t="str">
        <f t="shared" si="19"/>
        <v>קרית חיים</v>
      </c>
    </row>
    <row r="560" spans="1:16" x14ac:dyDescent="0.3">
      <c r="A560" s="61">
        <v>22</v>
      </c>
      <c r="B560" s="61">
        <v>9</v>
      </c>
      <c r="C560" s="60"/>
      <c r="G560" s="62"/>
      <c r="I560" s="86" t="e">
        <f t="shared" si="20"/>
        <v>#DIV/0!</v>
      </c>
      <c r="J560" s="87" t="e">
        <f t="shared" si="20"/>
        <v>#DIV/0!</v>
      </c>
      <c r="K560" s="87" t="e">
        <f t="shared" si="20"/>
        <v>#DIV/0!</v>
      </c>
      <c r="L560" s="87" t="e">
        <f t="shared" si="20"/>
        <v>#DIV/0!</v>
      </c>
      <c r="M560" s="88" t="e">
        <f t="shared" si="20"/>
        <v>#DIV/0!</v>
      </c>
      <c r="O560" s="121" t="str">
        <f t="shared" si="19"/>
        <v>יוקנעם</v>
      </c>
      <c r="P560" s="121" t="str">
        <f t="shared" si="19"/>
        <v>קרית אתא</v>
      </c>
    </row>
    <row r="561" spans="1:16" x14ac:dyDescent="0.3">
      <c r="A561" s="61">
        <v>22</v>
      </c>
      <c r="B561" s="61">
        <v>10</v>
      </c>
      <c r="C561" s="60"/>
      <c r="G561" s="62"/>
      <c r="I561" s="86" t="e">
        <f t="shared" si="20"/>
        <v>#DIV/0!</v>
      </c>
      <c r="J561" s="87" t="e">
        <f t="shared" si="20"/>
        <v>#DIV/0!</v>
      </c>
      <c r="K561" s="87" t="e">
        <f t="shared" si="20"/>
        <v>#DIV/0!</v>
      </c>
      <c r="L561" s="87" t="e">
        <f t="shared" si="20"/>
        <v>#DIV/0!</v>
      </c>
      <c r="M561" s="88" t="e">
        <f t="shared" si="20"/>
        <v>#DIV/0!</v>
      </c>
      <c r="O561" s="121" t="str">
        <f t="shared" si="19"/>
        <v>יוקנעם</v>
      </c>
      <c r="P561" s="121" t="str">
        <f t="shared" si="19"/>
        <v>כפר מנדא</v>
      </c>
    </row>
    <row r="562" spans="1:16" x14ac:dyDescent="0.3">
      <c r="A562" s="61">
        <v>22</v>
      </c>
      <c r="B562" s="61">
        <v>11</v>
      </c>
      <c r="C562" s="60"/>
      <c r="G562" s="62"/>
      <c r="I562" s="86" t="e">
        <f t="shared" si="20"/>
        <v>#DIV/0!</v>
      </c>
      <c r="J562" s="87" t="e">
        <f t="shared" si="20"/>
        <v>#DIV/0!</v>
      </c>
      <c r="K562" s="87" t="e">
        <f t="shared" si="20"/>
        <v>#DIV/0!</v>
      </c>
      <c r="L562" s="87" t="e">
        <f t="shared" si="20"/>
        <v>#DIV/0!</v>
      </c>
      <c r="M562" s="88" t="e">
        <f t="shared" si="20"/>
        <v>#DIV/0!</v>
      </c>
      <c r="O562" s="121" t="str">
        <f t="shared" si="19"/>
        <v>יוקנעם</v>
      </c>
      <c r="P562" s="121" t="str">
        <f t="shared" si="19"/>
        <v>זבולון</v>
      </c>
    </row>
    <row r="563" spans="1:16" x14ac:dyDescent="0.3">
      <c r="A563" s="61">
        <v>22</v>
      </c>
      <c r="B563" s="61">
        <v>12</v>
      </c>
      <c r="C563" s="60"/>
      <c r="G563" s="62"/>
      <c r="I563" s="86" t="e">
        <f t="shared" si="20"/>
        <v>#DIV/0!</v>
      </c>
      <c r="J563" s="87" t="e">
        <f t="shared" si="20"/>
        <v>#DIV/0!</v>
      </c>
      <c r="K563" s="87" t="e">
        <f t="shared" si="20"/>
        <v>#DIV/0!</v>
      </c>
      <c r="L563" s="87" t="e">
        <f t="shared" si="20"/>
        <v>#DIV/0!</v>
      </c>
      <c r="M563" s="88" t="e">
        <f t="shared" si="20"/>
        <v>#DIV/0!</v>
      </c>
      <c r="O563" s="121" t="str">
        <f t="shared" si="19"/>
        <v>יוקנעם</v>
      </c>
      <c r="P563" s="121" t="str">
        <f t="shared" si="19"/>
        <v>חיפה מפרץ</v>
      </c>
    </row>
    <row r="564" spans="1:16" x14ac:dyDescent="0.3">
      <c r="A564" s="61">
        <v>22</v>
      </c>
      <c r="B564" s="61">
        <v>13</v>
      </c>
      <c r="C564" s="60"/>
      <c r="G564" s="62"/>
      <c r="I564" s="86" t="e">
        <f t="shared" si="20"/>
        <v>#DIV/0!</v>
      </c>
      <c r="J564" s="87" t="e">
        <f t="shared" si="20"/>
        <v>#DIV/0!</v>
      </c>
      <c r="K564" s="87" t="e">
        <f t="shared" si="20"/>
        <v>#DIV/0!</v>
      </c>
      <c r="L564" s="87" t="e">
        <f t="shared" si="20"/>
        <v>#DIV/0!</v>
      </c>
      <c r="M564" s="88" t="e">
        <f t="shared" si="20"/>
        <v>#DIV/0!</v>
      </c>
      <c r="O564" s="121" t="str">
        <f t="shared" si="19"/>
        <v>יוקנעם</v>
      </c>
      <c r="P564" s="121" t="str">
        <f t="shared" si="19"/>
        <v>חיפה עיר תחתית</v>
      </c>
    </row>
    <row r="565" spans="1:16" x14ac:dyDescent="0.3">
      <c r="A565" s="61">
        <v>22</v>
      </c>
      <c r="B565" s="61">
        <v>14</v>
      </c>
      <c r="C565" s="60"/>
      <c r="G565" s="62"/>
      <c r="I565" s="86" t="e">
        <f t="shared" si="20"/>
        <v>#DIV/0!</v>
      </c>
      <c r="J565" s="87" t="e">
        <f t="shared" si="20"/>
        <v>#DIV/0!</v>
      </c>
      <c r="K565" s="87" t="e">
        <f t="shared" si="20"/>
        <v>#DIV/0!</v>
      </c>
      <c r="L565" s="87" t="e">
        <f t="shared" si="20"/>
        <v>#DIV/0!</v>
      </c>
      <c r="M565" s="88" t="e">
        <f t="shared" si="20"/>
        <v>#DIV/0!</v>
      </c>
      <c r="O565" s="121" t="str">
        <f t="shared" si="19"/>
        <v>יוקנעם</v>
      </c>
      <c r="P565" s="121" t="str">
        <f t="shared" si="19"/>
        <v>חיפה הדר-כרמל</v>
      </c>
    </row>
    <row r="566" spans="1:16" x14ac:dyDescent="0.3">
      <c r="A566" s="61">
        <v>22</v>
      </c>
      <c r="B566" s="61">
        <v>15</v>
      </c>
      <c r="C566" s="60"/>
      <c r="G566" s="62"/>
      <c r="I566" s="86" t="e">
        <f t="shared" si="20"/>
        <v>#DIV/0!</v>
      </c>
      <c r="J566" s="87" t="e">
        <f t="shared" si="20"/>
        <v>#DIV/0!</v>
      </c>
      <c r="K566" s="87" t="e">
        <f t="shared" si="20"/>
        <v>#DIV/0!</v>
      </c>
      <c r="L566" s="87" t="e">
        <f t="shared" si="20"/>
        <v>#DIV/0!</v>
      </c>
      <c r="M566" s="88" t="e">
        <f t="shared" si="20"/>
        <v>#DIV/0!</v>
      </c>
      <c r="O566" s="121" t="str">
        <f t="shared" si="19"/>
        <v>יוקנעם</v>
      </c>
      <c r="P566" s="121" t="str">
        <f t="shared" si="19"/>
        <v>חיפה מערב</v>
      </c>
    </row>
    <row r="567" spans="1:16" x14ac:dyDescent="0.3">
      <c r="A567" s="61">
        <v>22</v>
      </c>
      <c r="B567" s="61">
        <v>16</v>
      </c>
      <c r="C567" s="60"/>
      <c r="G567" s="62"/>
      <c r="I567" s="86" t="e">
        <f t="shared" si="20"/>
        <v>#DIV/0!</v>
      </c>
      <c r="J567" s="87" t="e">
        <f t="shared" si="20"/>
        <v>#DIV/0!</v>
      </c>
      <c r="K567" s="87" t="e">
        <f t="shared" si="20"/>
        <v>#DIV/0!</v>
      </c>
      <c r="L567" s="87" t="e">
        <f t="shared" si="20"/>
        <v>#DIV/0!</v>
      </c>
      <c r="M567" s="88" t="e">
        <f t="shared" si="20"/>
        <v>#DIV/0!</v>
      </c>
      <c r="O567" s="121" t="str">
        <f t="shared" si="19"/>
        <v>יוקנעם</v>
      </c>
      <c r="P567" s="121" t="str">
        <f t="shared" si="19"/>
        <v>חיפה כרמל</v>
      </c>
    </row>
    <row r="568" spans="1:16" x14ac:dyDescent="0.3">
      <c r="A568" s="61">
        <v>22</v>
      </c>
      <c r="B568" s="61">
        <v>17</v>
      </c>
      <c r="C568" s="60"/>
      <c r="G568" s="62"/>
      <c r="I568" s="86" t="e">
        <f t="shared" si="20"/>
        <v>#DIV/0!</v>
      </c>
      <c r="J568" s="87" t="e">
        <f t="shared" si="20"/>
        <v>#DIV/0!</v>
      </c>
      <c r="K568" s="87" t="e">
        <f t="shared" si="20"/>
        <v>#DIV/0!</v>
      </c>
      <c r="L568" s="87" t="e">
        <f t="shared" si="20"/>
        <v>#DIV/0!</v>
      </c>
      <c r="M568" s="88" t="e">
        <f t="shared" si="20"/>
        <v>#DIV/0!</v>
      </c>
      <c r="O568" s="121" t="str">
        <f t="shared" si="19"/>
        <v>יוקנעם</v>
      </c>
      <c r="P568" s="121" t="str">
        <f t="shared" si="19"/>
        <v>חיפה נווה שאנן</v>
      </c>
    </row>
    <row r="569" spans="1:16" x14ac:dyDescent="0.3">
      <c r="A569" s="61">
        <v>22</v>
      </c>
      <c r="B569" s="61">
        <v>18</v>
      </c>
      <c r="C569" s="60"/>
      <c r="G569" s="62"/>
      <c r="I569" s="86" t="e">
        <f t="shared" si="20"/>
        <v>#DIV/0!</v>
      </c>
      <c r="J569" s="87" t="e">
        <f t="shared" si="20"/>
        <v>#DIV/0!</v>
      </c>
      <c r="K569" s="87" t="e">
        <f t="shared" si="20"/>
        <v>#DIV/0!</v>
      </c>
      <c r="L569" s="87" t="e">
        <f t="shared" si="20"/>
        <v>#DIV/0!</v>
      </c>
      <c r="M569" s="88" t="e">
        <f t="shared" si="20"/>
        <v>#DIV/0!</v>
      </c>
      <c r="O569" s="121" t="str">
        <f t="shared" si="19"/>
        <v>יוקנעם</v>
      </c>
      <c r="P569" s="121" t="str">
        <f t="shared" si="19"/>
        <v>נשר</v>
      </c>
    </row>
    <row r="570" spans="1:16" x14ac:dyDescent="0.3">
      <c r="A570" s="61">
        <v>22</v>
      </c>
      <c r="B570" s="61">
        <v>19</v>
      </c>
      <c r="C570" s="60"/>
      <c r="G570" s="62"/>
      <c r="I570" s="86" t="e">
        <f t="shared" si="20"/>
        <v>#DIV/0!</v>
      </c>
      <c r="J570" s="87" t="e">
        <f t="shared" si="20"/>
        <v>#DIV/0!</v>
      </c>
      <c r="K570" s="87" t="e">
        <f t="shared" si="20"/>
        <v>#DIV/0!</v>
      </c>
      <c r="L570" s="87" t="e">
        <f t="shared" si="20"/>
        <v>#DIV/0!</v>
      </c>
      <c r="M570" s="88" t="e">
        <f t="shared" si="20"/>
        <v>#DIV/0!</v>
      </c>
      <c r="O570" s="121" t="str">
        <f t="shared" si="19"/>
        <v>יוקנעם</v>
      </c>
      <c r="P570" s="121" t="str">
        <f t="shared" si="19"/>
        <v>נצרת</v>
      </c>
    </row>
    <row r="571" spans="1:16" x14ac:dyDescent="0.3">
      <c r="A571" s="61">
        <v>22</v>
      </c>
      <c r="B571" s="61">
        <v>20</v>
      </c>
      <c r="C571" s="60"/>
      <c r="G571" s="62"/>
      <c r="I571" s="86" t="e">
        <f t="shared" si="20"/>
        <v>#DIV/0!</v>
      </c>
      <c r="J571" s="87" t="e">
        <f t="shared" si="20"/>
        <v>#DIV/0!</v>
      </c>
      <c r="K571" s="87" t="e">
        <f t="shared" si="20"/>
        <v>#DIV/0!</v>
      </c>
      <c r="L571" s="87" t="e">
        <f t="shared" si="20"/>
        <v>#DIV/0!</v>
      </c>
      <c r="M571" s="88" t="e">
        <f t="shared" si="20"/>
        <v>#DIV/0!</v>
      </c>
      <c r="O571" s="121" t="str">
        <f t="shared" si="19"/>
        <v>יוקנעם</v>
      </c>
      <c r="P571" s="121" t="str">
        <f t="shared" si="19"/>
        <v>נצרת-עילית</v>
      </c>
    </row>
    <row r="572" spans="1:16" x14ac:dyDescent="0.3">
      <c r="A572" s="61">
        <v>22</v>
      </c>
      <c r="B572" s="61">
        <v>21</v>
      </c>
      <c r="C572" s="60"/>
      <c r="G572" s="62"/>
      <c r="I572" s="86" t="e">
        <f t="shared" si="20"/>
        <v>#DIV/0!</v>
      </c>
      <c r="J572" s="87" t="e">
        <f t="shared" si="20"/>
        <v>#DIV/0!</v>
      </c>
      <c r="K572" s="87" t="e">
        <f t="shared" si="20"/>
        <v>#DIV/0!</v>
      </c>
      <c r="L572" s="87" t="e">
        <f t="shared" si="20"/>
        <v>#DIV/0!</v>
      </c>
      <c r="M572" s="88" t="e">
        <f t="shared" si="20"/>
        <v>#DIV/0!</v>
      </c>
      <c r="O572" s="121" t="str">
        <f t="shared" si="19"/>
        <v>יוקנעם</v>
      </c>
      <c r="P572" s="121" t="str">
        <f t="shared" si="19"/>
        <v>מגדל העמק</v>
      </c>
    </row>
    <row r="573" spans="1:16" x14ac:dyDescent="0.3">
      <c r="A573" s="61">
        <v>22</v>
      </c>
      <c r="B573" s="61">
        <v>22</v>
      </c>
      <c r="C573" s="60"/>
      <c r="G573" s="62"/>
      <c r="I573" s="86" t="e">
        <f t="shared" si="20"/>
        <v>#DIV/0!</v>
      </c>
      <c r="J573" s="87" t="e">
        <f t="shared" si="20"/>
        <v>#DIV/0!</v>
      </c>
      <c r="K573" s="87" t="e">
        <f t="shared" si="20"/>
        <v>#DIV/0!</v>
      </c>
      <c r="L573" s="87" t="e">
        <f t="shared" si="20"/>
        <v>#DIV/0!</v>
      </c>
      <c r="M573" s="88" t="e">
        <f t="shared" si="20"/>
        <v>#DIV/0!</v>
      </c>
      <c r="O573" s="121" t="str">
        <f t="shared" si="19"/>
        <v>יוקנעם</v>
      </c>
      <c r="P573" s="121" t="str">
        <f t="shared" si="19"/>
        <v>יוקנעם</v>
      </c>
    </row>
    <row r="574" spans="1:16" x14ac:dyDescent="0.3">
      <c r="A574" s="61">
        <v>22</v>
      </c>
      <c r="B574" s="61">
        <v>23</v>
      </c>
      <c r="C574" s="60"/>
      <c r="G574" s="62"/>
      <c r="I574" s="86" t="e">
        <f t="shared" si="20"/>
        <v>#DIV/0!</v>
      </c>
      <c r="J574" s="87" t="e">
        <f t="shared" si="20"/>
        <v>#DIV/0!</v>
      </c>
      <c r="K574" s="87" t="e">
        <f t="shared" si="20"/>
        <v>#DIV/0!</v>
      </c>
      <c r="L574" s="87" t="e">
        <f t="shared" si="20"/>
        <v>#DIV/0!</v>
      </c>
      <c r="M574" s="88" t="e">
        <f t="shared" si="20"/>
        <v>#DIV/0!</v>
      </c>
      <c r="O574" s="121" t="str">
        <f t="shared" si="19"/>
        <v>יוקנעם</v>
      </c>
      <c r="P574" s="121" t="str">
        <f t="shared" si="19"/>
        <v>דלית אל כרמל</v>
      </c>
    </row>
    <row r="575" spans="1:16" x14ac:dyDescent="0.3">
      <c r="A575" s="61">
        <v>22</v>
      </c>
      <c r="B575" s="61">
        <v>24</v>
      </c>
      <c r="C575" s="60"/>
      <c r="G575" s="62"/>
      <c r="I575" s="86" t="e">
        <f t="shared" si="20"/>
        <v>#DIV/0!</v>
      </c>
      <c r="J575" s="87" t="e">
        <f t="shared" si="20"/>
        <v>#DIV/0!</v>
      </c>
      <c r="K575" s="87" t="e">
        <f t="shared" si="20"/>
        <v>#DIV/0!</v>
      </c>
      <c r="L575" s="87" t="e">
        <f t="shared" si="20"/>
        <v>#DIV/0!</v>
      </c>
      <c r="M575" s="88" t="e">
        <f t="shared" si="20"/>
        <v>#DIV/0!</v>
      </c>
      <c r="O575" s="121" t="str">
        <f t="shared" si="19"/>
        <v>יוקנעם</v>
      </c>
      <c r="P575" s="121" t="str">
        <f t="shared" si="19"/>
        <v>חוף הכרמל</v>
      </c>
    </row>
    <row r="576" spans="1:16" x14ac:dyDescent="0.3">
      <c r="A576" s="61">
        <v>22</v>
      </c>
      <c r="B576" s="61">
        <v>25</v>
      </c>
      <c r="C576" s="60"/>
      <c r="G576" s="62"/>
      <c r="I576" s="86" t="e">
        <f t="shared" si="20"/>
        <v>#DIV/0!</v>
      </c>
      <c r="J576" s="87" t="e">
        <f t="shared" si="20"/>
        <v>#DIV/0!</v>
      </c>
      <c r="K576" s="87" t="e">
        <f t="shared" si="20"/>
        <v>#DIV/0!</v>
      </c>
      <c r="L576" s="87" t="e">
        <f t="shared" si="20"/>
        <v>#DIV/0!</v>
      </c>
      <c r="M576" s="88" t="e">
        <f t="shared" si="20"/>
        <v>#DIV/0!</v>
      </c>
      <c r="O576" s="121" t="str">
        <f t="shared" si="19"/>
        <v>יוקנעם</v>
      </c>
      <c r="P576" s="121" t="str">
        <f t="shared" si="19"/>
        <v>זכרון יעקב</v>
      </c>
    </row>
    <row r="577" spans="1:16" x14ac:dyDescent="0.3">
      <c r="A577" s="61">
        <v>22</v>
      </c>
      <c r="B577" s="61">
        <v>30</v>
      </c>
      <c r="C577" s="60"/>
      <c r="G577" s="62"/>
      <c r="I577" s="86" t="e">
        <f t="shared" si="20"/>
        <v>#DIV/0!</v>
      </c>
      <c r="J577" s="87" t="e">
        <f t="shared" si="20"/>
        <v>#DIV/0!</v>
      </c>
      <c r="K577" s="87" t="e">
        <f t="shared" si="20"/>
        <v>#DIV/0!</v>
      </c>
      <c r="L577" s="87" t="e">
        <f t="shared" si="20"/>
        <v>#DIV/0!</v>
      </c>
      <c r="M577" s="88" t="e">
        <f t="shared" si="20"/>
        <v>#DIV/0!</v>
      </c>
      <c r="O577" s="121" t="str">
        <f t="shared" si="19"/>
        <v>יוקנעם</v>
      </c>
      <c r="P577" s="121" t="str">
        <f t="shared" si="19"/>
        <v>סכנין</v>
      </c>
    </row>
    <row r="578" spans="1:16" x14ac:dyDescent="0.3">
      <c r="A578" s="61">
        <v>23</v>
      </c>
      <c r="B578" s="61">
        <v>1</v>
      </c>
      <c r="C578" s="60"/>
      <c r="G578" s="62"/>
      <c r="I578" s="86" t="e">
        <f t="shared" si="20"/>
        <v>#DIV/0!</v>
      </c>
      <c r="J578" s="87" t="e">
        <f t="shared" si="20"/>
        <v>#DIV/0!</v>
      </c>
      <c r="K578" s="87" t="e">
        <f t="shared" si="20"/>
        <v>#DIV/0!</v>
      </c>
      <c r="L578" s="87" t="e">
        <f t="shared" si="20"/>
        <v>#DIV/0!</v>
      </c>
      <c r="M578" s="88" t="e">
        <f t="shared" si="20"/>
        <v>#DIV/0!</v>
      </c>
      <c r="O578" s="121" t="str">
        <f t="shared" si="19"/>
        <v>דלית אל כרמל</v>
      </c>
      <c r="P578" s="121" t="str">
        <f t="shared" si="19"/>
        <v>נהריה</v>
      </c>
    </row>
    <row r="579" spans="1:16" x14ac:dyDescent="0.3">
      <c r="A579" s="61">
        <v>23</v>
      </c>
      <c r="B579" s="61">
        <v>2</v>
      </c>
      <c r="C579" s="60"/>
      <c r="G579" s="62"/>
      <c r="I579" s="86" t="e">
        <f t="shared" si="20"/>
        <v>#DIV/0!</v>
      </c>
      <c r="J579" s="87" t="e">
        <f t="shared" si="20"/>
        <v>#DIV/0!</v>
      </c>
      <c r="K579" s="87" t="e">
        <f t="shared" si="20"/>
        <v>#DIV/0!</v>
      </c>
      <c r="L579" s="87" t="e">
        <f t="shared" si="20"/>
        <v>#DIV/0!</v>
      </c>
      <c r="M579" s="88" t="e">
        <f t="shared" si="20"/>
        <v>#DIV/0!</v>
      </c>
      <c r="O579" s="121" t="str">
        <f t="shared" si="19"/>
        <v>דלית אל כרמל</v>
      </c>
      <c r="P579" s="121" t="str">
        <f t="shared" si="19"/>
        <v>עכו</v>
      </c>
    </row>
    <row r="580" spans="1:16" x14ac:dyDescent="0.3">
      <c r="A580" s="61">
        <v>23</v>
      </c>
      <c r="B580" s="61">
        <v>3</v>
      </c>
      <c r="C580" s="60"/>
      <c r="G580" s="62"/>
      <c r="I580" s="86" t="e">
        <f t="shared" ref="I580:M630" si="21">C580/SUM($C580:$G580)</f>
        <v>#DIV/0!</v>
      </c>
      <c r="J580" s="87" t="e">
        <f t="shared" si="21"/>
        <v>#DIV/0!</v>
      </c>
      <c r="K580" s="87" t="e">
        <f t="shared" si="21"/>
        <v>#DIV/0!</v>
      </c>
      <c r="L580" s="87" t="e">
        <f t="shared" si="21"/>
        <v>#DIV/0!</v>
      </c>
      <c r="M580" s="88" t="e">
        <f t="shared" si="21"/>
        <v>#DIV/0!</v>
      </c>
      <c r="O580" s="121" t="str">
        <f t="shared" si="19"/>
        <v>דלית אל כרמל</v>
      </c>
      <c r="P580" s="121" t="str">
        <f t="shared" si="19"/>
        <v>כרמיאל</v>
      </c>
    </row>
    <row r="581" spans="1:16" x14ac:dyDescent="0.3">
      <c r="A581" s="61">
        <v>23</v>
      </c>
      <c r="B581" s="61">
        <v>4</v>
      </c>
      <c r="C581" s="60"/>
      <c r="G581" s="62"/>
      <c r="I581" s="86" t="e">
        <f t="shared" si="21"/>
        <v>#DIV/0!</v>
      </c>
      <c r="J581" s="87" t="e">
        <f t="shared" si="21"/>
        <v>#DIV/0!</v>
      </c>
      <c r="K581" s="87" t="e">
        <f t="shared" si="21"/>
        <v>#DIV/0!</v>
      </c>
      <c r="L581" s="87" t="e">
        <f t="shared" si="21"/>
        <v>#DIV/0!</v>
      </c>
      <c r="M581" s="88" t="e">
        <f t="shared" si="21"/>
        <v>#DIV/0!</v>
      </c>
      <c r="O581" s="121" t="str">
        <f t="shared" si="19"/>
        <v>דלית אל כרמל</v>
      </c>
      <c r="P581" s="121" t="str">
        <f t="shared" si="19"/>
        <v>שפרעם</v>
      </c>
    </row>
    <row r="582" spans="1:16" x14ac:dyDescent="0.3">
      <c r="A582" s="61">
        <v>23</v>
      </c>
      <c r="B582" s="61">
        <v>5</v>
      </c>
      <c r="C582" s="60"/>
      <c r="G582" s="62"/>
      <c r="I582" s="86" t="e">
        <f t="shared" si="21"/>
        <v>#DIV/0!</v>
      </c>
      <c r="J582" s="87" t="e">
        <f t="shared" si="21"/>
        <v>#DIV/0!</v>
      </c>
      <c r="K582" s="87" t="e">
        <f t="shared" si="21"/>
        <v>#DIV/0!</v>
      </c>
      <c r="L582" s="87" t="e">
        <f t="shared" si="21"/>
        <v>#DIV/0!</v>
      </c>
      <c r="M582" s="88" t="e">
        <f t="shared" si="21"/>
        <v>#DIV/0!</v>
      </c>
      <c r="O582" s="121" t="str">
        <f t="shared" si="19"/>
        <v>דלית אל כרמל</v>
      </c>
      <c r="P582" s="121" t="str">
        <f t="shared" si="19"/>
        <v>קרית ים</v>
      </c>
    </row>
    <row r="583" spans="1:16" x14ac:dyDescent="0.3">
      <c r="A583" s="61">
        <v>23</v>
      </c>
      <c r="B583" s="61">
        <v>6</v>
      </c>
      <c r="C583" s="60"/>
      <c r="G583" s="62"/>
      <c r="I583" s="86" t="e">
        <f t="shared" si="21"/>
        <v>#DIV/0!</v>
      </c>
      <c r="J583" s="87" t="e">
        <f t="shared" si="21"/>
        <v>#DIV/0!</v>
      </c>
      <c r="K583" s="87" t="e">
        <f t="shared" si="21"/>
        <v>#DIV/0!</v>
      </c>
      <c r="L583" s="87" t="e">
        <f t="shared" si="21"/>
        <v>#DIV/0!</v>
      </c>
      <c r="M583" s="88" t="e">
        <f t="shared" si="21"/>
        <v>#DIV/0!</v>
      </c>
      <c r="O583" s="121" t="str">
        <f t="shared" ref="O583:P646" si="22">VLOOKUP(A583,$S$6:$T$31,2,0)</f>
        <v>דלית אל כרמל</v>
      </c>
      <c r="P583" s="121" t="str">
        <f t="shared" si="22"/>
        <v>קרית מוצקין</v>
      </c>
    </row>
    <row r="584" spans="1:16" x14ac:dyDescent="0.3">
      <c r="A584" s="61">
        <v>23</v>
      </c>
      <c r="B584" s="61">
        <v>7</v>
      </c>
      <c r="C584" s="60"/>
      <c r="G584" s="62"/>
      <c r="I584" s="86" t="e">
        <f t="shared" si="21"/>
        <v>#DIV/0!</v>
      </c>
      <c r="J584" s="87" t="e">
        <f t="shared" si="21"/>
        <v>#DIV/0!</v>
      </c>
      <c r="K584" s="87" t="e">
        <f t="shared" si="21"/>
        <v>#DIV/0!</v>
      </c>
      <c r="L584" s="87" t="e">
        <f t="shared" si="21"/>
        <v>#DIV/0!</v>
      </c>
      <c r="M584" s="88" t="e">
        <f t="shared" si="21"/>
        <v>#DIV/0!</v>
      </c>
      <c r="O584" s="121" t="str">
        <f t="shared" si="22"/>
        <v>דלית אל כרמל</v>
      </c>
      <c r="P584" s="121" t="str">
        <f t="shared" si="22"/>
        <v>קרית ביאליק</v>
      </c>
    </row>
    <row r="585" spans="1:16" x14ac:dyDescent="0.3">
      <c r="A585" s="61">
        <v>23</v>
      </c>
      <c r="B585" s="61">
        <v>8</v>
      </c>
      <c r="C585" s="60"/>
      <c r="G585" s="62"/>
      <c r="I585" s="86" t="e">
        <f t="shared" si="21"/>
        <v>#DIV/0!</v>
      </c>
      <c r="J585" s="87" t="e">
        <f t="shared" si="21"/>
        <v>#DIV/0!</v>
      </c>
      <c r="K585" s="87" t="e">
        <f t="shared" si="21"/>
        <v>#DIV/0!</v>
      </c>
      <c r="L585" s="87" t="e">
        <f t="shared" si="21"/>
        <v>#DIV/0!</v>
      </c>
      <c r="M585" s="88" t="e">
        <f t="shared" si="21"/>
        <v>#DIV/0!</v>
      </c>
      <c r="O585" s="121" t="str">
        <f t="shared" si="22"/>
        <v>דלית אל כרמל</v>
      </c>
      <c r="P585" s="121" t="str">
        <f t="shared" si="22"/>
        <v>קרית חיים</v>
      </c>
    </row>
    <row r="586" spans="1:16" x14ac:dyDescent="0.3">
      <c r="A586" s="61">
        <v>23</v>
      </c>
      <c r="B586" s="61">
        <v>9</v>
      </c>
      <c r="C586" s="60"/>
      <c r="G586" s="62"/>
      <c r="I586" s="86" t="e">
        <f t="shared" si="21"/>
        <v>#DIV/0!</v>
      </c>
      <c r="J586" s="87" t="e">
        <f t="shared" si="21"/>
        <v>#DIV/0!</v>
      </c>
      <c r="K586" s="87" t="e">
        <f t="shared" si="21"/>
        <v>#DIV/0!</v>
      </c>
      <c r="L586" s="87" t="e">
        <f t="shared" si="21"/>
        <v>#DIV/0!</v>
      </c>
      <c r="M586" s="88" t="e">
        <f t="shared" si="21"/>
        <v>#DIV/0!</v>
      </c>
      <c r="O586" s="121" t="str">
        <f t="shared" si="22"/>
        <v>דלית אל כרמל</v>
      </c>
      <c r="P586" s="121" t="str">
        <f t="shared" si="22"/>
        <v>קרית אתא</v>
      </c>
    </row>
    <row r="587" spans="1:16" x14ac:dyDescent="0.3">
      <c r="A587" s="61">
        <v>23</v>
      </c>
      <c r="B587" s="61">
        <v>10</v>
      </c>
      <c r="C587" s="60"/>
      <c r="G587" s="62"/>
      <c r="I587" s="86" t="e">
        <f t="shared" si="21"/>
        <v>#DIV/0!</v>
      </c>
      <c r="J587" s="87" t="e">
        <f t="shared" si="21"/>
        <v>#DIV/0!</v>
      </c>
      <c r="K587" s="87" t="e">
        <f t="shared" si="21"/>
        <v>#DIV/0!</v>
      </c>
      <c r="L587" s="87" t="e">
        <f t="shared" si="21"/>
        <v>#DIV/0!</v>
      </c>
      <c r="M587" s="88" t="e">
        <f t="shared" si="21"/>
        <v>#DIV/0!</v>
      </c>
      <c r="O587" s="121" t="str">
        <f t="shared" si="22"/>
        <v>דלית אל כרמל</v>
      </c>
      <c r="P587" s="121" t="str">
        <f t="shared" si="22"/>
        <v>כפר מנדא</v>
      </c>
    </row>
    <row r="588" spans="1:16" x14ac:dyDescent="0.3">
      <c r="A588" s="61">
        <v>23</v>
      </c>
      <c r="B588" s="61">
        <v>11</v>
      </c>
      <c r="C588" s="60"/>
      <c r="G588" s="62"/>
      <c r="I588" s="86" t="e">
        <f t="shared" si="21"/>
        <v>#DIV/0!</v>
      </c>
      <c r="J588" s="87" t="e">
        <f t="shared" si="21"/>
        <v>#DIV/0!</v>
      </c>
      <c r="K588" s="87" t="e">
        <f t="shared" si="21"/>
        <v>#DIV/0!</v>
      </c>
      <c r="L588" s="87" t="e">
        <f t="shared" si="21"/>
        <v>#DIV/0!</v>
      </c>
      <c r="M588" s="88" t="e">
        <f t="shared" si="21"/>
        <v>#DIV/0!</v>
      </c>
      <c r="O588" s="121" t="str">
        <f t="shared" si="22"/>
        <v>דלית אל כרמל</v>
      </c>
      <c r="P588" s="121" t="str">
        <f t="shared" si="22"/>
        <v>זבולון</v>
      </c>
    </row>
    <row r="589" spans="1:16" x14ac:dyDescent="0.3">
      <c r="A589" s="61">
        <v>23</v>
      </c>
      <c r="B589" s="61">
        <v>12</v>
      </c>
      <c r="C589" s="60"/>
      <c r="G589" s="62"/>
      <c r="I589" s="86" t="e">
        <f t="shared" si="21"/>
        <v>#DIV/0!</v>
      </c>
      <c r="J589" s="87" t="e">
        <f t="shared" si="21"/>
        <v>#DIV/0!</v>
      </c>
      <c r="K589" s="87" t="e">
        <f t="shared" si="21"/>
        <v>#DIV/0!</v>
      </c>
      <c r="L589" s="87" t="e">
        <f t="shared" si="21"/>
        <v>#DIV/0!</v>
      </c>
      <c r="M589" s="88" t="e">
        <f t="shared" si="21"/>
        <v>#DIV/0!</v>
      </c>
      <c r="O589" s="121" t="str">
        <f t="shared" si="22"/>
        <v>דלית אל כרמל</v>
      </c>
      <c r="P589" s="121" t="str">
        <f t="shared" si="22"/>
        <v>חיפה מפרץ</v>
      </c>
    </row>
    <row r="590" spans="1:16" x14ac:dyDescent="0.3">
      <c r="A590" s="61">
        <v>23</v>
      </c>
      <c r="B590" s="61">
        <v>13</v>
      </c>
      <c r="C590" s="60"/>
      <c r="G590" s="62"/>
      <c r="I590" s="86" t="e">
        <f t="shared" si="21"/>
        <v>#DIV/0!</v>
      </c>
      <c r="J590" s="87" t="e">
        <f t="shared" si="21"/>
        <v>#DIV/0!</v>
      </c>
      <c r="K590" s="87" t="e">
        <f t="shared" si="21"/>
        <v>#DIV/0!</v>
      </c>
      <c r="L590" s="87" t="e">
        <f t="shared" si="21"/>
        <v>#DIV/0!</v>
      </c>
      <c r="M590" s="88" t="e">
        <f t="shared" si="21"/>
        <v>#DIV/0!</v>
      </c>
      <c r="O590" s="121" t="str">
        <f t="shared" si="22"/>
        <v>דלית אל כרמל</v>
      </c>
      <c r="P590" s="121" t="str">
        <f t="shared" si="22"/>
        <v>חיפה עיר תחתית</v>
      </c>
    </row>
    <row r="591" spans="1:16" x14ac:dyDescent="0.3">
      <c r="A591" s="61">
        <v>23</v>
      </c>
      <c r="B591" s="61">
        <v>14</v>
      </c>
      <c r="C591" s="60"/>
      <c r="G591" s="62"/>
      <c r="I591" s="86" t="e">
        <f t="shared" si="21"/>
        <v>#DIV/0!</v>
      </c>
      <c r="J591" s="87" t="e">
        <f t="shared" si="21"/>
        <v>#DIV/0!</v>
      </c>
      <c r="K591" s="87" t="e">
        <f t="shared" si="21"/>
        <v>#DIV/0!</v>
      </c>
      <c r="L591" s="87" t="e">
        <f t="shared" si="21"/>
        <v>#DIV/0!</v>
      </c>
      <c r="M591" s="88" t="e">
        <f t="shared" si="21"/>
        <v>#DIV/0!</v>
      </c>
      <c r="O591" s="121" t="str">
        <f t="shared" si="22"/>
        <v>דלית אל כרמל</v>
      </c>
      <c r="P591" s="121" t="str">
        <f t="shared" si="22"/>
        <v>חיפה הדר-כרמל</v>
      </c>
    </row>
    <row r="592" spans="1:16" x14ac:dyDescent="0.3">
      <c r="A592" s="61">
        <v>23</v>
      </c>
      <c r="B592" s="61">
        <v>15</v>
      </c>
      <c r="C592" s="60"/>
      <c r="G592" s="62"/>
      <c r="I592" s="86" t="e">
        <f t="shared" si="21"/>
        <v>#DIV/0!</v>
      </c>
      <c r="J592" s="87" t="e">
        <f t="shared" si="21"/>
        <v>#DIV/0!</v>
      </c>
      <c r="K592" s="87" t="e">
        <f t="shared" si="21"/>
        <v>#DIV/0!</v>
      </c>
      <c r="L592" s="87" t="e">
        <f t="shared" si="21"/>
        <v>#DIV/0!</v>
      </c>
      <c r="M592" s="88" t="e">
        <f t="shared" si="21"/>
        <v>#DIV/0!</v>
      </c>
      <c r="O592" s="121" t="str">
        <f t="shared" si="22"/>
        <v>דלית אל כרמל</v>
      </c>
      <c r="P592" s="121" t="str">
        <f t="shared" si="22"/>
        <v>חיפה מערב</v>
      </c>
    </row>
    <row r="593" spans="1:16" x14ac:dyDescent="0.3">
      <c r="A593" s="61">
        <v>23</v>
      </c>
      <c r="B593" s="61">
        <v>16</v>
      </c>
      <c r="C593" s="60"/>
      <c r="G593" s="62"/>
      <c r="I593" s="86" t="e">
        <f t="shared" si="21"/>
        <v>#DIV/0!</v>
      </c>
      <c r="J593" s="87" t="e">
        <f t="shared" si="21"/>
        <v>#DIV/0!</v>
      </c>
      <c r="K593" s="87" t="e">
        <f t="shared" si="21"/>
        <v>#DIV/0!</v>
      </c>
      <c r="L593" s="87" t="e">
        <f t="shared" si="21"/>
        <v>#DIV/0!</v>
      </c>
      <c r="M593" s="88" t="e">
        <f t="shared" si="21"/>
        <v>#DIV/0!</v>
      </c>
      <c r="O593" s="121" t="str">
        <f t="shared" si="22"/>
        <v>דלית אל כרמל</v>
      </c>
      <c r="P593" s="121" t="str">
        <f t="shared" si="22"/>
        <v>חיפה כרמל</v>
      </c>
    </row>
    <row r="594" spans="1:16" x14ac:dyDescent="0.3">
      <c r="A594" s="61">
        <v>23</v>
      </c>
      <c r="B594" s="61">
        <v>17</v>
      </c>
      <c r="C594" s="60"/>
      <c r="G594" s="62"/>
      <c r="I594" s="86" t="e">
        <f t="shared" si="21"/>
        <v>#DIV/0!</v>
      </c>
      <c r="J594" s="87" t="e">
        <f t="shared" si="21"/>
        <v>#DIV/0!</v>
      </c>
      <c r="K594" s="87" t="e">
        <f t="shared" si="21"/>
        <v>#DIV/0!</v>
      </c>
      <c r="L594" s="87" t="e">
        <f t="shared" si="21"/>
        <v>#DIV/0!</v>
      </c>
      <c r="M594" s="88" t="e">
        <f t="shared" si="21"/>
        <v>#DIV/0!</v>
      </c>
      <c r="O594" s="121" t="str">
        <f t="shared" si="22"/>
        <v>דלית אל כרמל</v>
      </c>
      <c r="P594" s="121" t="str">
        <f t="shared" si="22"/>
        <v>חיפה נווה שאנן</v>
      </c>
    </row>
    <row r="595" spans="1:16" x14ac:dyDescent="0.3">
      <c r="A595" s="61">
        <v>23</v>
      </c>
      <c r="B595" s="61">
        <v>18</v>
      </c>
      <c r="C595" s="60"/>
      <c r="G595" s="62"/>
      <c r="I595" s="86" t="e">
        <f t="shared" si="21"/>
        <v>#DIV/0!</v>
      </c>
      <c r="J595" s="87" t="e">
        <f t="shared" si="21"/>
        <v>#DIV/0!</v>
      </c>
      <c r="K595" s="87" t="e">
        <f t="shared" si="21"/>
        <v>#DIV/0!</v>
      </c>
      <c r="L595" s="87" t="e">
        <f t="shared" si="21"/>
        <v>#DIV/0!</v>
      </c>
      <c r="M595" s="88" t="e">
        <f t="shared" si="21"/>
        <v>#DIV/0!</v>
      </c>
      <c r="O595" s="121" t="str">
        <f t="shared" si="22"/>
        <v>דלית אל כרמל</v>
      </c>
      <c r="P595" s="121" t="str">
        <f t="shared" si="22"/>
        <v>נשר</v>
      </c>
    </row>
    <row r="596" spans="1:16" x14ac:dyDescent="0.3">
      <c r="A596" s="61">
        <v>23</v>
      </c>
      <c r="B596" s="61">
        <v>19</v>
      </c>
      <c r="C596" s="60"/>
      <c r="G596" s="62"/>
      <c r="I596" s="86" t="e">
        <f t="shared" si="21"/>
        <v>#DIV/0!</v>
      </c>
      <c r="J596" s="87" t="e">
        <f t="shared" si="21"/>
        <v>#DIV/0!</v>
      </c>
      <c r="K596" s="87" t="e">
        <f t="shared" si="21"/>
        <v>#DIV/0!</v>
      </c>
      <c r="L596" s="87" t="e">
        <f t="shared" si="21"/>
        <v>#DIV/0!</v>
      </c>
      <c r="M596" s="88" t="e">
        <f t="shared" si="21"/>
        <v>#DIV/0!</v>
      </c>
      <c r="O596" s="121" t="str">
        <f t="shared" si="22"/>
        <v>דלית אל כרמל</v>
      </c>
      <c r="P596" s="121" t="str">
        <f t="shared" si="22"/>
        <v>נצרת</v>
      </c>
    </row>
    <row r="597" spans="1:16" x14ac:dyDescent="0.3">
      <c r="A597" s="61">
        <v>23</v>
      </c>
      <c r="B597" s="61">
        <v>20</v>
      </c>
      <c r="C597" s="60"/>
      <c r="G597" s="62"/>
      <c r="I597" s="86" t="e">
        <f t="shared" si="21"/>
        <v>#DIV/0!</v>
      </c>
      <c r="J597" s="87" t="e">
        <f t="shared" si="21"/>
        <v>#DIV/0!</v>
      </c>
      <c r="K597" s="87" t="e">
        <f t="shared" si="21"/>
        <v>#DIV/0!</v>
      </c>
      <c r="L597" s="87" t="e">
        <f t="shared" si="21"/>
        <v>#DIV/0!</v>
      </c>
      <c r="M597" s="88" t="e">
        <f t="shared" si="21"/>
        <v>#DIV/0!</v>
      </c>
      <c r="O597" s="121" t="str">
        <f t="shared" si="22"/>
        <v>דלית אל כרמל</v>
      </c>
      <c r="P597" s="121" t="str">
        <f t="shared" si="22"/>
        <v>נצרת-עילית</v>
      </c>
    </row>
    <row r="598" spans="1:16" x14ac:dyDescent="0.3">
      <c r="A598" s="61">
        <v>23</v>
      </c>
      <c r="B598" s="61">
        <v>21</v>
      </c>
      <c r="C598" s="60"/>
      <c r="G598" s="62"/>
      <c r="I598" s="86" t="e">
        <f t="shared" si="21"/>
        <v>#DIV/0!</v>
      </c>
      <c r="J598" s="87" t="e">
        <f t="shared" si="21"/>
        <v>#DIV/0!</v>
      </c>
      <c r="K598" s="87" t="e">
        <f t="shared" si="21"/>
        <v>#DIV/0!</v>
      </c>
      <c r="L598" s="87" t="e">
        <f t="shared" si="21"/>
        <v>#DIV/0!</v>
      </c>
      <c r="M598" s="88" t="e">
        <f t="shared" si="21"/>
        <v>#DIV/0!</v>
      </c>
      <c r="O598" s="121" t="str">
        <f t="shared" si="22"/>
        <v>דלית אל כרמל</v>
      </c>
      <c r="P598" s="121" t="str">
        <f t="shared" si="22"/>
        <v>מגדל העמק</v>
      </c>
    </row>
    <row r="599" spans="1:16" x14ac:dyDescent="0.3">
      <c r="A599" s="61">
        <v>23</v>
      </c>
      <c r="B599" s="61">
        <v>22</v>
      </c>
      <c r="C599" s="60"/>
      <c r="G599" s="62"/>
      <c r="I599" s="86" t="e">
        <f t="shared" si="21"/>
        <v>#DIV/0!</v>
      </c>
      <c r="J599" s="87" t="e">
        <f t="shared" si="21"/>
        <v>#DIV/0!</v>
      </c>
      <c r="K599" s="87" t="e">
        <f t="shared" si="21"/>
        <v>#DIV/0!</v>
      </c>
      <c r="L599" s="87" t="e">
        <f t="shared" si="21"/>
        <v>#DIV/0!</v>
      </c>
      <c r="M599" s="88" t="e">
        <f t="shared" si="21"/>
        <v>#DIV/0!</v>
      </c>
      <c r="O599" s="121" t="str">
        <f t="shared" si="22"/>
        <v>דלית אל כרמל</v>
      </c>
      <c r="P599" s="121" t="str">
        <f t="shared" si="22"/>
        <v>יוקנעם</v>
      </c>
    </row>
    <row r="600" spans="1:16" x14ac:dyDescent="0.3">
      <c r="A600" s="61">
        <v>23</v>
      </c>
      <c r="B600" s="61">
        <v>23</v>
      </c>
      <c r="C600" s="60"/>
      <c r="G600" s="62"/>
      <c r="I600" s="86" t="e">
        <f t="shared" si="21"/>
        <v>#DIV/0!</v>
      </c>
      <c r="J600" s="87" t="e">
        <f t="shared" si="21"/>
        <v>#DIV/0!</v>
      </c>
      <c r="K600" s="87" t="e">
        <f t="shared" si="21"/>
        <v>#DIV/0!</v>
      </c>
      <c r="L600" s="87" t="e">
        <f t="shared" si="21"/>
        <v>#DIV/0!</v>
      </c>
      <c r="M600" s="88" t="e">
        <f t="shared" si="21"/>
        <v>#DIV/0!</v>
      </c>
      <c r="O600" s="121" t="str">
        <f t="shared" si="22"/>
        <v>דלית אל כרמל</v>
      </c>
      <c r="P600" s="121" t="str">
        <f t="shared" si="22"/>
        <v>דלית אל כרמל</v>
      </c>
    </row>
    <row r="601" spans="1:16" x14ac:dyDescent="0.3">
      <c r="A601" s="61">
        <v>23</v>
      </c>
      <c r="B601" s="61">
        <v>24</v>
      </c>
      <c r="C601" s="60"/>
      <c r="G601" s="62"/>
      <c r="I601" s="86" t="e">
        <f t="shared" si="21"/>
        <v>#DIV/0!</v>
      </c>
      <c r="J601" s="87" t="e">
        <f t="shared" si="21"/>
        <v>#DIV/0!</v>
      </c>
      <c r="K601" s="87" t="e">
        <f t="shared" si="21"/>
        <v>#DIV/0!</v>
      </c>
      <c r="L601" s="87" t="e">
        <f t="shared" si="21"/>
        <v>#DIV/0!</v>
      </c>
      <c r="M601" s="88" t="e">
        <f t="shared" si="21"/>
        <v>#DIV/0!</v>
      </c>
      <c r="O601" s="121" t="str">
        <f t="shared" si="22"/>
        <v>דלית אל כרמל</v>
      </c>
      <c r="P601" s="121" t="str">
        <f t="shared" si="22"/>
        <v>חוף הכרמל</v>
      </c>
    </row>
    <row r="602" spans="1:16" x14ac:dyDescent="0.3">
      <c r="A602" s="61">
        <v>23</v>
      </c>
      <c r="B602" s="61">
        <v>25</v>
      </c>
      <c r="C602" s="60"/>
      <c r="G602" s="62"/>
      <c r="I602" s="86" t="e">
        <f t="shared" si="21"/>
        <v>#DIV/0!</v>
      </c>
      <c r="J602" s="87" t="e">
        <f t="shared" si="21"/>
        <v>#DIV/0!</v>
      </c>
      <c r="K602" s="87" t="e">
        <f t="shared" si="21"/>
        <v>#DIV/0!</v>
      </c>
      <c r="L602" s="87" t="e">
        <f t="shared" si="21"/>
        <v>#DIV/0!</v>
      </c>
      <c r="M602" s="88" t="e">
        <f t="shared" si="21"/>
        <v>#DIV/0!</v>
      </c>
      <c r="O602" s="121" t="str">
        <f t="shared" si="22"/>
        <v>דלית אל כרמל</v>
      </c>
      <c r="P602" s="121" t="str">
        <f t="shared" si="22"/>
        <v>זכרון יעקב</v>
      </c>
    </row>
    <row r="603" spans="1:16" x14ac:dyDescent="0.3">
      <c r="A603" s="61">
        <v>23</v>
      </c>
      <c r="B603" s="61">
        <v>30</v>
      </c>
      <c r="C603" s="60"/>
      <c r="G603" s="62"/>
      <c r="I603" s="86" t="e">
        <f t="shared" si="21"/>
        <v>#DIV/0!</v>
      </c>
      <c r="J603" s="87" t="e">
        <f t="shared" si="21"/>
        <v>#DIV/0!</v>
      </c>
      <c r="K603" s="87" t="e">
        <f t="shared" si="21"/>
        <v>#DIV/0!</v>
      </c>
      <c r="L603" s="87" t="e">
        <f t="shared" si="21"/>
        <v>#DIV/0!</v>
      </c>
      <c r="M603" s="88" t="e">
        <f t="shared" si="21"/>
        <v>#DIV/0!</v>
      </c>
      <c r="O603" s="121" t="str">
        <f t="shared" si="22"/>
        <v>דלית אל כרמל</v>
      </c>
      <c r="P603" s="121" t="str">
        <f t="shared" si="22"/>
        <v>סכנין</v>
      </c>
    </row>
    <row r="604" spans="1:16" x14ac:dyDescent="0.3">
      <c r="A604" s="61">
        <v>24</v>
      </c>
      <c r="B604" s="61">
        <v>1</v>
      </c>
      <c r="C604" s="60"/>
      <c r="G604" s="62"/>
      <c r="I604" s="86" t="e">
        <f t="shared" si="21"/>
        <v>#DIV/0!</v>
      </c>
      <c r="J604" s="87" t="e">
        <f t="shared" si="21"/>
        <v>#DIV/0!</v>
      </c>
      <c r="K604" s="87" t="e">
        <f t="shared" si="21"/>
        <v>#DIV/0!</v>
      </c>
      <c r="L604" s="87" t="e">
        <f t="shared" si="21"/>
        <v>#DIV/0!</v>
      </c>
      <c r="M604" s="88" t="e">
        <f t="shared" si="21"/>
        <v>#DIV/0!</v>
      </c>
      <c r="O604" s="121" t="str">
        <f t="shared" si="22"/>
        <v>חוף הכרמל</v>
      </c>
      <c r="P604" s="121" t="str">
        <f t="shared" si="22"/>
        <v>נהריה</v>
      </c>
    </row>
    <row r="605" spans="1:16" x14ac:dyDescent="0.3">
      <c r="A605" s="61">
        <v>24</v>
      </c>
      <c r="B605" s="61">
        <v>2</v>
      </c>
      <c r="C605" s="60"/>
      <c r="G605" s="62"/>
      <c r="I605" s="86" t="e">
        <f t="shared" si="21"/>
        <v>#DIV/0!</v>
      </c>
      <c r="J605" s="87" t="e">
        <f t="shared" si="21"/>
        <v>#DIV/0!</v>
      </c>
      <c r="K605" s="87" t="e">
        <f t="shared" si="21"/>
        <v>#DIV/0!</v>
      </c>
      <c r="L605" s="87" t="e">
        <f t="shared" si="21"/>
        <v>#DIV/0!</v>
      </c>
      <c r="M605" s="88" t="e">
        <f t="shared" si="21"/>
        <v>#DIV/0!</v>
      </c>
      <c r="O605" s="121" t="str">
        <f t="shared" si="22"/>
        <v>חוף הכרמל</v>
      </c>
      <c r="P605" s="121" t="str">
        <f t="shared" si="22"/>
        <v>עכו</v>
      </c>
    </row>
    <row r="606" spans="1:16" x14ac:dyDescent="0.3">
      <c r="A606" s="61">
        <v>24</v>
      </c>
      <c r="B606" s="61">
        <v>3</v>
      </c>
      <c r="C606" s="60"/>
      <c r="G606" s="62"/>
      <c r="I606" s="86" t="e">
        <f t="shared" si="21"/>
        <v>#DIV/0!</v>
      </c>
      <c r="J606" s="87" t="e">
        <f t="shared" si="21"/>
        <v>#DIV/0!</v>
      </c>
      <c r="K606" s="87" t="e">
        <f t="shared" si="21"/>
        <v>#DIV/0!</v>
      </c>
      <c r="L606" s="87" t="e">
        <f t="shared" si="21"/>
        <v>#DIV/0!</v>
      </c>
      <c r="M606" s="88" t="e">
        <f t="shared" si="21"/>
        <v>#DIV/0!</v>
      </c>
      <c r="O606" s="121" t="str">
        <f t="shared" si="22"/>
        <v>חוף הכרמל</v>
      </c>
      <c r="P606" s="121" t="str">
        <f t="shared" si="22"/>
        <v>כרמיאל</v>
      </c>
    </row>
    <row r="607" spans="1:16" x14ac:dyDescent="0.3">
      <c r="A607" s="61">
        <v>24</v>
      </c>
      <c r="B607" s="61">
        <v>4</v>
      </c>
      <c r="C607" s="60"/>
      <c r="G607" s="62"/>
      <c r="I607" s="86" t="e">
        <f t="shared" si="21"/>
        <v>#DIV/0!</v>
      </c>
      <c r="J607" s="87" t="e">
        <f t="shared" si="21"/>
        <v>#DIV/0!</v>
      </c>
      <c r="K607" s="87" t="e">
        <f t="shared" si="21"/>
        <v>#DIV/0!</v>
      </c>
      <c r="L607" s="87" t="e">
        <f t="shared" si="21"/>
        <v>#DIV/0!</v>
      </c>
      <c r="M607" s="88" t="e">
        <f t="shared" si="21"/>
        <v>#DIV/0!</v>
      </c>
      <c r="O607" s="121" t="str">
        <f t="shared" si="22"/>
        <v>חוף הכרמל</v>
      </c>
      <c r="P607" s="121" t="str">
        <f t="shared" si="22"/>
        <v>שפרעם</v>
      </c>
    </row>
    <row r="608" spans="1:16" x14ac:dyDescent="0.3">
      <c r="A608" s="61">
        <v>24</v>
      </c>
      <c r="B608" s="61">
        <v>5</v>
      </c>
      <c r="C608" s="60"/>
      <c r="G608" s="62"/>
      <c r="I608" s="86" t="e">
        <f t="shared" si="21"/>
        <v>#DIV/0!</v>
      </c>
      <c r="J608" s="87" t="e">
        <f t="shared" si="21"/>
        <v>#DIV/0!</v>
      </c>
      <c r="K608" s="87" t="e">
        <f t="shared" si="21"/>
        <v>#DIV/0!</v>
      </c>
      <c r="L608" s="87" t="e">
        <f t="shared" si="21"/>
        <v>#DIV/0!</v>
      </c>
      <c r="M608" s="88" t="e">
        <f t="shared" si="21"/>
        <v>#DIV/0!</v>
      </c>
      <c r="O608" s="121" t="str">
        <f t="shared" si="22"/>
        <v>חוף הכרמל</v>
      </c>
      <c r="P608" s="121" t="str">
        <f t="shared" si="22"/>
        <v>קרית ים</v>
      </c>
    </row>
    <row r="609" spans="1:16" x14ac:dyDescent="0.3">
      <c r="A609" s="61">
        <v>24</v>
      </c>
      <c r="B609" s="61">
        <v>6</v>
      </c>
      <c r="C609" s="60"/>
      <c r="G609" s="62"/>
      <c r="I609" s="86" t="e">
        <f t="shared" si="21"/>
        <v>#DIV/0!</v>
      </c>
      <c r="J609" s="87" t="e">
        <f t="shared" si="21"/>
        <v>#DIV/0!</v>
      </c>
      <c r="K609" s="87" t="e">
        <f t="shared" si="21"/>
        <v>#DIV/0!</v>
      </c>
      <c r="L609" s="87" t="e">
        <f t="shared" si="21"/>
        <v>#DIV/0!</v>
      </c>
      <c r="M609" s="88" t="e">
        <f t="shared" si="21"/>
        <v>#DIV/0!</v>
      </c>
      <c r="O609" s="121" t="str">
        <f t="shared" si="22"/>
        <v>חוף הכרמל</v>
      </c>
      <c r="P609" s="121" t="str">
        <f t="shared" si="22"/>
        <v>קרית מוצקין</v>
      </c>
    </row>
    <row r="610" spans="1:16" x14ac:dyDescent="0.3">
      <c r="A610" s="61">
        <v>24</v>
      </c>
      <c r="B610" s="61">
        <v>7</v>
      </c>
      <c r="C610" s="60"/>
      <c r="G610" s="62"/>
      <c r="I610" s="86" t="e">
        <f t="shared" si="21"/>
        <v>#DIV/0!</v>
      </c>
      <c r="J610" s="87" t="e">
        <f t="shared" si="21"/>
        <v>#DIV/0!</v>
      </c>
      <c r="K610" s="87" t="e">
        <f t="shared" si="21"/>
        <v>#DIV/0!</v>
      </c>
      <c r="L610" s="87" t="e">
        <f t="shared" si="21"/>
        <v>#DIV/0!</v>
      </c>
      <c r="M610" s="88" t="e">
        <f t="shared" si="21"/>
        <v>#DIV/0!</v>
      </c>
      <c r="O610" s="121" t="str">
        <f t="shared" si="22"/>
        <v>חוף הכרמל</v>
      </c>
      <c r="P610" s="121" t="str">
        <f t="shared" si="22"/>
        <v>קרית ביאליק</v>
      </c>
    </row>
    <row r="611" spans="1:16" x14ac:dyDescent="0.3">
      <c r="A611" s="61">
        <v>24</v>
      </c>
      <c r="B611" s="61">
        <v>8</v>
      </c>
      <c r="C611" s="60"/>
      <c r="G611" s="62"/>
      <c r="I611" s="86" t="e">
        <f t="shared" si="21"/>
        <v>#DIV/0!</v>
      </c>
      <c r="J611" s="87" t="e">
        <f t="shared" si="21"/>
        <v>#DIV/0!</v>
      </c>
      <c r="K611" s="87" t="e">
        <f t="shared" si="21"/>
        <v>#DIV/0!</v>
      </c>
      <c r="L611" s="87" t="e">
        <f t="shared" si="21"/>
        <v>#DIV/0!</v>
      </c>
      <c r="M611" s="88" t="e">
        <f t="shared" si="21"/>
        <v>#DIV/0!</v>
      </c>
      <c r="O611" s="121" t="str">
        <f t="shared" si="22"/>
        <v>חוף הכרמל</v>
      </c>
      <c r="P611" s="121" t="str">
        <f t="shared" si="22"/>
        <v>קרית חיים</v>
      </c>
    </row>
    <row r="612" spans="1:16" x14ac:dyDescent="0.3">
      <c r="A612" s="61">
        <v>24</v>
      </c>
      <c r="B612" s="61">
        <v>9</v>
      </c>
      <c r="C612" s="60"/>
      <c r="G612" s="62"/>
      <c r="I612" s="86" t="e">
        <f t="shared" si="21"/>
        <v>#DIV/0!</v>
      </c>
      <c r="J612" s="87" t="e">
        <f t="shared" si="21"/>
        <v>#DIV/0!</v>
      </c>
      <c r="K612" s="87" t="e">
        <f t="shared" si="21"/>
        <v>#DIV/0!</v>
      </c>
      <c r="L612" s="87" t="e">
        <f t="shared" si="21"/>
        <v>#DIV/0!</v>
      </c>
      <c r="M612" s="88" t="e">
        <f t="shared" si="21"/>
        <v>#DIV/0!</v>
      </c>
      <c r="O612" s="121" t="str">
        <f t="shared" si="22"/>
        <v>חוף הכרמל</v>
      </c>
      <c r="P612" s="121" t="str">
        <f t="shared" si="22"/>
        <v>קרית אתא</v>
      </c>
    </row>
    <row r="613" spans="1:16" x14ac:dyDescent="0.3">
      <c r="A613" s="61">
        <v>24</v>
      </c>
      <c r="B613" s="61">
        <v>10</v>
      </c>
      <c r="C613" s="60"/>
      <c r="G613" s="62"/>
      <c r="I613" s="86" t="e">
        <f t="shared" si="21"/>
        <v>#DIV/0!</v>
      </c>
      <c r="J613" s="87" t="e">
        <f t="shared" si="21"/>
        <v>#DIV/0!</v>
      </c>
      <c r="K613" s="87" t="e">
        <f t="shared" si="21"/>
        <v>#DIV/0!</v>
      </c>
      <c r="L613" s="87" t="e">
        <f t="shared" si="21"/>
        <v>#DIV/0!</v>
      </c>
      <c r="M613" s="88" t="e">
        <f t="shared" si="21"/>
        <v>#DIV/0!</v>
      </c>
      <c r="O613" s="121" t="str">
        <f t="shared" si="22"/>
        <v>חוף הכרמל</v>
      </c>
      <c r="P613" s="121" t="str">
        <f t="shared" si="22"/>
        <v>כפר מנדא</v>
      </c>
    </row>
    <row r="614" spans="1:16" x14ac:dyDescent="0.3">
      <c r="A614" s="61">
        <v>24</v>
      </c>
      <c r="B614" s="61">
        <v>11</v>
      </c>
      <c r="C614" s="60"/>
      <c r="G614" s="62"/>
      <c r="I614" s="86" t="e">
        <f t="shared" si="21"/>
        <v>#DIV/0!</v>
      </c>
      <c r="J614" s="87" t="e">
        <f t="shared" si="21"/>
        <v>#DIV/0!</v>
      </c>
      <c r="K614" s="87" t="e">
        <f t="shared" si="21"/>
        <v>#DIV/0!</v>
      </c>
      <c r="L614" s="87" t="e">
        <f t="shared" si="21"/>
        <v>#DIV/0!</v>
      </c>
      <c r="M614" s="88" t="e">
        <f t="shared" si="21"/>
        <v>#DIV/0!</v>
      </c>
      <c r="O614" s="121" t="str">
        <f t="shared" si="22"/>
        <v>חוף הכרמל</v>
      </c>
      <c r="P614" s="121" t="str">
        <f t="shared" si="22"/>
        <v>זבולון</v>
      </c>
    </row>
    <row r="615" spans="1:16" x14ac:dyDescent="0.3">
      <c r="A615" s="61">
        <v>24</v>
      </c>
      <c r="B615" s="61">
        <v>12</v>
      </c>
      <c r="C615" s="60"/>
      <c r="G615" s="62"/>
      <c r="I615" s="86" t="e">
        <f t="shared" si="21"/>
        <v>#DIV/0!</v>
      </c>
      <c r="J615" s="87" t="e">
        <f t="shared" si="21"/>
        <v>#DIV/0!</v>
      </c>
      <c r="K615" s="87" t="e">
        <f t="shared" si="21"/>
        <v>#DIV/0!</v>
      </c>
      <c r="L615" s="87" t="e">
        <f t="shared" si="21"/>
        <v>#DIV/0!</v>
      </c>
      <c r="M615" s="88" t="e">
        <f t="shared" si="21"/>
        <v>#DIV/0!</v>
      </c>
      <c r="O615" s="121" t="str">
        <f t="shared" si="22"/>
        <v>חוף הכרמל</v>
      </c>
      <c r="P615" s="121" t="str">
        <f t="shared" si="22"/>
        <v>חיפה מפרץ</v>
      </c>
    </row>
    <row r="616" spans="1:16" x14ac:dyDescent="0.3">
      <c r="A616" s="61">
        <v>24</v>
      </c>
      <c r="B616" s="61">
        <v>13</v>
      </c>
      <c r="C616" s="60"/>
      <c r="G616" s="62"/>
      <c r="I616" s="86" t="e">
        <f t="shared" si="21"/>
        <v>#DIV/0!</v>
      </c>
      <c r="J616" s="87" t="e">
        <f t="shared" si="21"/>
        <v>#DIV/0!</v>
      </c>
      <c r="K616" s="87" t="e">
        <f t="shared" si="21"/>
        <v>#DIV/0!</v>
      </c>
      <c r="L616" s="87" t="e">
        <f t="shared" si="21"/>
        <v>#DIV/0!</v>
      </c>
      <c r="M616" s="88" t="e">
        <f t="shared" si="21"/>
        <v>#DIV/0!</v>
      </c>
      <c r="O616" s="121" t="str">
        <f t="shared" si="22"/>
        <v>חוף הכרמל</v>
      </c>
      <c r="P616" s="121" t="str">
        <f t="shared" si="22"/>
        <v>חיפה עיר תחתית</v>
      </c>
    </row>
    <row r="617" spans="1:16" x14ac:dyDescent="0.3">
      <c r="A617" s="61">
        <v>24</v>
      </c>
      <c r="B617" s="61">
        <v>14</v>
      </c>
      <c r="C617" s="60"/>
      <c r="G617" s="62"/>
      <c r="I617" s="86" t="e">
        <f t="shared" si="21"/>
        <v>#DIV/0!</v>
      </c>
      <c r="J617" s="87" t="e">
        <f t="shared" si="21"/>
        <v>#DIV/0!</v>
      </c>
      <c r="K617" s="87" t="e">
        <f t="shared" si="21"/>
        <v>#DIV/0!</v>
      </c>
      <c r="L617" s="87" t="e">
        <f t="shared" si="21"/>
        <v>#DIV/0!</v>
      </c>
      <c r="M617" s="88" t="e">
        <f t="shared" si="21"/>
        <v>#DIV/0!</v>
      </c>
      <c r="O617" s="121" t="str">
        <f t="shared" si="22"/>
        <v>חוף הכרמל</v>
      </c>
      <c r="P617" s="121" t="str">
        <f t="shared" si="22"/>
        <v>חיפה הדר-כרמל</v>
      </c>
    </row>
    <row r="618" spans="1:16" x14ac:dyDescent="0.3">
      <c r="A618" s="61">
        <v>24</v>
      </c>
      <c r="B618" s="61">
        <v>15</v>
      </c>
      <c r="C618" s="60"/>
      <c r="G618" s="62"/>
      <c r="I618" s="86" t="e">
        <f t="shared" si="21"/>
        <v>#DIV/0!</v>
      </c>
      <c r="J618" s="87" t="e">
        <f t="shared" si="21"/>
        <v>#DIV/0!</v>
      </c>
      <c r="K618" s="87" t="e">
        <f t="shared" si="21"/>
        <v>#DIV/0!</v>
      </c>
      <c r="L618" s="87" t="e">
        <f t="shared" si="21"/>
        <v>#DIV/0!</v>
      </c>
      <c r="M618" s="88" t="e">
        <f t="shared" si="21"/>
        <v>#DIV/0!</v>
      </c>
      <c r="O618" s="121" t="str">
        <f t="shared" si="22"/>
        <v>חוף הכרמל</v>
      </c>
      <c r="P618" s="121" t="str">
        <f t="shared" si="22"/>
        <v>חיפה מערב</v>
      </c>
    </row>
    <row r="619" spans="1:16" x14ac:dyDescent="0.3">
      <c r="A619" s="61">
        <v>24</v>
      </c>
      <c r="B619" s="61">
        <v>16</v>
      </c>
      <c r="C619" s="60"/>
      <c r="G619" s="62"/>
      <c r="I619" s="86" t="e">
        <f t="shared" si="21"/>
        <v>#DIV/0!</v>
      </c>
      <c r="J619" s="87" t="e">
        <f t="shared" si="21"/>
        <v>#DIV/0!</v>
      </c>
      <c r="K619" s="87" t="e">
        <f t="shared" si="21"/>
        <v>#DIV/0!</v>
      </c>
      <c r="L619" s="87" t="e">
        <f t="shared" si="21"/>
        <v>#DIV/0!</v>
      </c>
      <c r="M619" s="88" t="e">
        <f t="shared" si="21"/>
        <v>#DIV/0!</v>
      </c>
      <c r="O619" s="121" t="str">
        <f t="shared" si="22"/>
        <v>חוף הכרמל</v>
      </c>
      <c r="P619" s="121" t="str">
        <f t="shared" si="22"/>
        <v>חיפה כרמל</v>
      </c>
    </row>
    <row r="620" spans="1:16" x14ac:dyDescent="0.3">
      <c r="A620" s="61">
        <v>24</v>
      </c>
      <c r="B620" s="61">
        <v>17</v>
      </c>
      <c r="C620" s="60"/>
      <c r="G620" s="62"/>
      <c r="I620" s="86" t="e">
        <f t="shared" si="21"/>
        <v>#DIV/0!</v>
      </c>
      <c r="J620" s="87" t="e">
        <f t="shared" si="21"/>
        <v>#DIV/0!</v>
      </c>
      <c r="K620" s="87" t="e">
        <f t="shared" si="21"/>
        <v>#DIV/0!</v>
      </c>
      <c r="L620" s="87" t="e">
        <f t="shared" si="21"/>
        <v>#DIV/0!</v>
      </c>
      <c r="M620" s="88" t="e">
        <f t="shared" si="21"/>
        <v>#DIV/0!</v>
      </c>
      <c r="O620" s="121" t="str">
        <f t="shared" si="22"/>
        <v>חוף הכרמל</v>
      </c>
      <c r="P620" s="121" t="str">
        <f t="shared" si="22"/>
        <v>חיפה נווה שאנן</v>
      </c>
    </row>
    <row r="621" spans="1:16" x14ac:dyDescent="0.3">
      <c r="A621" s="61">
        <v>24</v>
      </c>
      <c r="B621" s="61">
        <v>18</v>
      </c>
      <c r="C621" s="60"/>
      <c r="G621" s="62"/>
      <c r="I621" s="86" t="e">
        <f t="shared" si="21"/>
        <v>#DIV/0!</v>
      </c>
      <c r="J621" s="87" t="e">
        <f t="shared" si="21"/>
        <v>#DIV/0!</v>
      </c>
      <c r="K621" s="87" t="e">
        <f t="shared" si="21"/>
        <v>#DIV/0!</v>
      </c>
      <c r="L621" s="87" t="e">
        <f t="shared" si="21"/>
        <v>#DIV/0!</v>
      </c>
      <c r="M621" s="88" t="e">
        <f t="shared" si="21"/>
        <v>#DIV/0!</v>
      </c>
      <c r="O621" s="121" t="str">
        <f t="shared" si="22"/>
        <v>חוף הכרמל</v>
      </c>
      <c r="P621" s="121" t="str">
        <f t="shared" si="22"/>
        <v>נשר</v>
      </c>
    </row>
    <row r="622" spans="1:16" x14ac:dyDescent="0.3">
      <c r="A622" s="61">
        <v>24</v>
      </c>
      <c r="B622" s="61">
        <v>19</v>
      </c>
      <c r="C622" s="60"/>
      <c r="G622" s="62"/>
      <c r="I622" s="86" t="e">
        <f t="shared" si="21"/>
        <v>#DIV/0!</v>
      </c>
      <c r="J622" s="87" t="e">
        <f t="shared" si="21"/>
        <v>#DIV/0!</v>
      </c>
      <c r="K622" s="87" t="e">
        <f t="shared" si="21"/>
        <v>#DIV/0!</v>
      </c>
      <c r="L622" s="87" t="e">
        <f t="shared" si="21"/>
        <v>#DIV/0!</v>
      </c>
      <c r="M622" s="88" t="e">
        <f t="shared" si="21"/>
        <v>#DIV/0!</v>
      </c>
      <c r="O622" s="121" t="str">
        <f t="shared" si="22"/>
        <v>חוף הכרמל</v>
      </c>
      <c r="P622" s="121" t="str">
        <f t="shared" si="22"/>
        <v>נצרת</v>
      </c>
    </row>
    <row r="623" spans="1:16" x14ac:dyDescent="0.3">
      <c r="A623" s="61">
        <v>24</v>
      </c>
      <c r="B623" s="61">
        <v>20</v>
      </c>
      <c r="C623" s="60"/>
      <c r="G623" s="62"/>
      <c r="I623" s="86" t="e">
        <f t="shared" si="21"/>
        <v>#DIV/0!</v>
      </c>
      <c r="J623" s="87" t="e">
        <f t="shared" si="21"/>
        <v>#DIV/0!</v>
      </c>
      <c r="K623" s="87" t="e">
        <f t="shared" si="21"/>
        <v>#DIV/0!</v>
      </c>
      <c r="L623" s="87" t="e">
        <f t="shared" si="21"/>
        <v>#DIV/0!</v>
      </c>
      <c r="M623" s="88" t="e">
        <f t="shared" si="21"/>
        <v>#DIV/0!</v>
      </c>
      <c r="O623" s="121" t="str">
        <f t="shared" si="22"/>
        <v>חוף הכרמל</v>
      </c>
      <c r="P623" s="121" t="str">
        <f t="shared" si="22"/>
        <v>נצרת-עילית</v>
      </c>
    </row>
    <row r="624" spans="1:16" x14ac:dyDescent="0.3">
      <c r="A624" s="61">
        <v>24</v>
      </c>
      <c r="B624" s="61">
        <v>21</v>
      </c>
      <c r="C624" s="60"/>
      <c r="G624" s="62"/>
      <c r="I624" s="86" t="e">
        <f t="shared" si="21"/>
        <v>#DIV/0!</v>
      </c>
      <c r="J624" s="87" t="e">
        <f t="shared" si="21"/>
        <v>#DIV/0!</v>
      </c>
      <c r="K624" s="87" t="e">
        <f t="shared" si="21"/>
        <v>#DIV/0!</v>
      </c>
      <c r="L624" s="87" t="e">
        <f t="shared" si="21"/>
        <v>#DIV/0!</v>
      </c>
      <c r="M624" s="88" t="e">
        <f t="shared" si="21"/>
        <v>#DIV/0!</v>
      </c>
      <c r="O624" s="121" t="str">
        <f t="shared" si="22"/>
        <v>חוף הכרמל</v>
      </c>
      <c r="P624" s="121" t="str">
        <f t="shared" si="22"/>
        <v>מגדל העמק</v>
      </c>
    </row>
    <row r="625" spans="1:16" x14ac:dyDescent="0.3">
      <c r="A625" s="61">
        <v>24</v>
      </c>
      <c r="B625" s="61">
        <v>22</v>
      </c>
      <c r="C625" s="60"/>
      <c r="G625" s="62"/>
      <c r="I625" s="86" t="e">
        <f t="shared" si="21"/>
        <v>#DIV/0!</v>
      </c>
      <c r="J625" s="87" t="e">
        <f t="shared" si="21"/>
        <v>#DIV/0!</v>
      </c>
      <c r="K625" s="87" t="e">
        <f t="shared" si="21"/>
        <v>#DIV/0!</v>
      </c>
      <c r="L625" s="87" t="e">
        <f t="shared" si="21"/>
        <v>#DIV/0!</v>
      </c>
      <c r="M625" s="88" t="e">
        <f t="shared" si="21"/>
        <v>#DIV/0!</v>
      </c>
      <c r="O625" s="121" t="str">
        <f t="shared" si="22"/>
        <v>חוף הכרמל</v>
      </c>
      <c r="P625" s="121" t="str">
        <f t="shared" si="22"/>
        <v>יוקנעם</v>
      </c>
    </row>
    <row r="626" spans="1:16" x14ac:dyDescent="0.3">
      <c r="A626" s="61">
        <v>24</v>
      </c>
      <c r="B626" s="61">
        <v>23</v>
      </c>
      <c r="C626" s="60"/>
      <c r="G626" s="62"/>
      <c r="I626" s="86" t="e">
        <f t="shared" si="21"/>
        <v>#DIV/0!</v>
      </c>
      <c r="J626" s="87" t="e">
        <f t="shared" si="21"/>
        <v>#DIV/0!</v>
      </c>
      <c r="K626" s="87" t="e">
        <f t="shared" si="21"/>
        <v>#DIV/0!</v>
      </c>
      <c r="L626" s="87" t="e">
        <f t="shared" si="21"/>
        <v>#DIV/0!</v>
      </c>
      <c r="M626" s="88" t="e">
        <f t="shared" si="21"/>
        <v>#DIV/0!</v>
      </c>
      <c r="O626" s="121" t="str">
        <f t="shared" si="22"/>
        <v>חוף הכרמל</v>
      </c>
      <c r="P626" s="121" t="str">
        <f t="shared" si="22"/>
        <v>דלית אל כרמל</v>
      </c>
    </row>
    <row r="627" spans="1:16" x14ac:dyDescent="0.3">
      <c r="A627" s="61">
        <v>24</v>
      </c>
      <c r="B627" s="61">
        <v>24</v>
      </c>
      <c r="C627" s="60"/>
      <c r="G627" s="62"/>
      <c r="I627" s="86" t="e">
        <f t="shared" si="21"/>
        <v>#DIV/0!</v>
      </c>
      <c r="J627" s="87" t="e">
        <f t="shared" si="21"/>
        <v>#DIV/0!</v>
      </c>
      <c r="K627" s="87" t="e">
        <f t="shared" si="21"/>
        <v>#DIV/0!</v>
      </c>
      <c r="L627" s="87" t="e">
        <f t="shared" si="21"/>
        <v>#DIV/0!</v>
      </c>
      <c r="M627" s="88" t="e">
        <f t="shared" si="21"/>
        <v>#DIV/0!</v>
      </c>
      <c r="O627" s="121" t="str">
        <f t="shared" si="22"/>
        <v>חוף הכרמל</v>
      </c>
      <c r="P627" s="121" t="str">
        <f t="shared" si="22"/>
        <v>חוף הכרמל</v>
      </c>
    </row>
    <row r="628" spans="1:16" x14ac:dyDescent="0.3">
      <c r="A628" s="61">
        <v>24</v>
      </c>
      <c r="B628" s="61">
        <v>25</v>
      </c>
      <c r="C628" s="60"/>
      <c r="G628" s="62"/>
      <c r="I628" s="86" t="e">
        <f t="shared" si="21"/>
        <v>#DIV/0!</v>
      </c>
      <c r="J628" s="87" t="e">
        <f t="shared" si="21"/>
        <v>#DIV/0!</v>
      </c>
      <c r="K628" s="87" t="e">
        <f t="shared" si="21"/>
        <v>#DIV/0!</v>
      </c>
      <c r="L628" s="87" t="e">
        <f t="shared" si="21"/>
        <v>#DIV/0!</v>
      </c>
      <c r="M628" s="88" t="e">
        <f t="shared" si="21"/>
        <v>#DIV/0!</v>
      </c>
      <c r="O628" s="121" t="str">
        <f t="shared" si="22"/>
        <v>חוף הכרמל</v>
      </c>
      <c r="P628" s="121" t="str">
        <f t="shared" si="22"/>
        <v>זכרון יעקב</v>
      </c>
    </row>
    <row r="629" spans="1:16" x14ac:dyDescent="0.3">
      <c r="A629" s="61">
        <v>24</v>
      </c>
      <c r="B629" s="61">
        <v>30</v>
      </c>
      <c r="C629" s="60"/>
      <c r="G629" s="62"/>
      <c r="I629" s="86" t="e">
        <f t="shared" si="21"/>
        <v>#DIV/0!</v>
      </c>
      <c r="J629" s="87" t="e">
        <f t="shared" si="21"/>
        <v>#DIV/0!</v>
      </c>
      <c r="K629" s="87" t="e">
        <f t="shared" si="21"/>
        <v>#DIV/0!</v>
      </c>
      <c r="L629" s="87" t="e">
        <f t="shared" si="21"/>
        <v>#DIV/0!</v>
      </c>
      <c r="M629" s="88" t="e">
        <f t="shared" si="21"/>
        <v>#DIV/0!</v>
      </c>
      <c r="O629" s="121" t="str">
        <f t="shared" si="22"/>
        <v>חוף הכרמל</v>
      </c>
      <c r="P629" s="121" t="str">
        <f t="shared" si="22"/>
        <v>סכנין</v>
      </c>
    </row>
    <row r="630" spans="1:16" x14ac:dyDescent="0.3">
      <c r="A630" s="61">
        <v>25</v>
      </c>
      <c r="B630" s="61">
        <v>1</v>
      </c>
      <c r="C630" s="60"/>
      <c r="G630" s="62"/>
      <c r="I630" s="86" t="e">
        <f t="shared" si="21"/>
        <v>#DIV/0!</v>
      </c>
      <c r="J630" s="87" t="e">
        <f t="shared" si="21"/>
        <v>#DIV/0!</v>
      </c>
      <c r="K630" s="87" t="e">
        <f t="shared" si="21"/>
        <v>#DIV/0!</v>
      </c>
      <c r="L630" s="87" t="e">
        <f t="shared" si="21"/>
        <v>#DIV/0!</v>
      </c>
      <c r="M630" s="88" t="e">
        <f t="shared" si="21"/>
        <v>#DIV/0!</v>
      </c>
      <c r="O630" s="121" t="str">
        <f t="shared" si="22"/>
        <v>זכרון יעקב</v>
      </c>
      <c r="P630" s="121" t="str">
        <f t="shared" si="22"/>
        <v>נהריה</v>
      </c>
    </row>
    <row r="631" spans="1:16" x14ac:dyDescent="0.3">
      <c r="A631" s="61">
        <v>25</v>
      </c>
      <c r="B631" s="61">
        <v>2</v>
      </c>
      <c r="C631" s="60"/>
      <c r="G631" s="62"/>
      <c r="I631" s="86" t="e">
        <f t="shared" ref="I631:M681" si="23">C631/SUM($C631:$G631)</f>
        <v>#DIV/0!</v>
      </c>
      <c r="J631" s="87" t="e">
        <f t="shared" si="23"/>
        <v>#DIV/0!</v>
      </c>
      <c r="K631" s="87" t="e">
        <f t="shared" si="23"/>
        <v>#DIV/0!</v>
      </c>
      <c r="L631" s="87" t="e">
        <f t="shared" si="23"/>
        <v>#DIV/0!</v>
      </c>
      <c r="M631" s="88" t="e">
        <f t="shared" si="23"/>
        <v>#DIV/0!</v>
      </c>
      <c r="O631" s="121" t="str">
        <f t="shared" si="22"/>
        <v>זכרון יעקב</v>
      </c>
      <c r="P631" s="121" t="str">
        <f t="shared" si="22"/>
        <v>עכו</v>
      </c>
    </row>
    <row r="632" spans="1:16" x14ac:dyDescent="0.3">
      <c r="A632" s="61">
        <v>25</v>
      </c>
      <c r="B632" s="61">
        <v>3</v>
      </c>
      <c r="C632" s="60"/>
      <c r="G632" s="62"/>
      <c r="I632" s="86" t="e">
        <f t="shared" si="23"/>
        <v>#DIV/0!</v>
      </c>
      <c r="J632" s="87" t="e">
        <f t="shared" si="23"/>
        <v>#DIV/0!</v>
      </c>
      <c r="K632" s="87" t="e">
        <f t="shared" si="23"/>
        <v>#DIV/0!</v>
      </c>
      <c r="L632" s="87" t="e">
        <f t="shared" si="23"/>
        <v>#DIV/0!</v>
      </c>
      <c r="M632" s="88" t="e">
        <f t="shared" si="23"/>
        <v>#DIV/0!</v>
      </c>
      <c r="O632" s="121" t="str">
        <f t="shared" si="22"/>
        <v>זכרון יעקב</v>
      </c>
      <c r="P632" s="121" t="str">
        <f t="shared" si="22"/>
        <v>כרמיאל</v>
      </c>
    </row>
    <row r="633" spans="1:16" x14ac:dyDescent="0.3">
      <c r="A633" s="61">
        <v>25</v>
      </c>
      <c r="B633" s="61">
        <v>4</v>
      </c>
      <c r="C633" s="60"/>
      <c r="G633" s="62"/>
      <c r="I633" s="86" t="e">
        <f t="shared" si="23"/>
        <v>#DIV/0!</v>
      </c>
      <c r="J633" s="87" t="e">
        <f t="shared" si="23"/>
        <v>#DIV/0!</v>
      </c>
      <c r="K633" s="87" t="e">
        <f t="shared" si="23"/>
        <v>#DIV/0!</v>
      </c>
      <c r="L633" s="87" t="e">
        <f t="shared" si="23"/>
        <v>#DIV/0!</v>
      </c>
      <c r="M633" s="88" t="e">
        <f t="shared" si="23"/>
        <v>#DIV/0!</v>
      </c>
      <c r="O633" s="121" t="str">
        <f t="shared" si="22"/>
        <v>זכרון יעקב</v>
      </c>
      <c r="P633" s="121" t="str">
        <f t="shared" si="22"/>
        <v>שפרעם</v>
      </c>
    </row>
    <row r="634" spans="1:16" x14ac:dyDescent="0.3">
      <c r="A634" s="61">
        <v>25</v>
      </c>
      <c r="B634" s="61">
        <v>5</v>
      </c>
      <c r="C634" s="60"/>
      <c r="G634" s="62"/>
      <c r="I634" s="86" t="e">
        <f t="shared" si="23"/>
        <v>#DIV/0!</v>
      </c>
      <c r="J634" s="87" t="e">
        <f t="shared" si="23"/>
        <v>#DIV/0!</v>
      </c>
      <c r="K634" s="87" t="e">
        <f t="shared" si="23"/>
        <v>#DIV/0!</v>
      </c>
      <c r="L634" s="87" t="e">
        <f t="shared" si="23"/>
        <v>#DIV/0!</v>
      </c>
      <c r="M634" s="88" t="e">
        <f t="shared" si="23"/>
        <v>#DIV/0!</v>
      </c>
      <c r="O634" s="121" t="str">
        <f t="shared" si="22"/>
        <v>זכרון יעקב</v>
      </c>
      <c r="P634" s="121" t="str">
        <f t="shared" si="22"/>
        <v>קרית ים</v>
      </c>
    </row>
    <row r="635" spans="1:16" x14ac:dyDescent="0.3">
      <c r="A635" s="61">
        <v>25</v>
      </c>
      <c r="B635" s="61">
        <v>6</v>
      </c>
      <c r="C635" s="60"/>
      <c r="G635" s="62"/>
      <c r="I635" s="86" t="e">
        <f t="shared" si="23"/>
        <v>#DIV/0!</v>
      </c>
      <c r="J635" s="87" t="e">
        <f t="shared" si="23"/>
        <v>#DIV/0!</v>
      </c>
      <c r="K635" s="87" t="e">
        <f t="shared" si="23"/>
        <v>#DIV/0!</v>
      </c>
      <c r="L635" s="87" t="e">
        <f t="shared" si="23"/>
        <v>#DIV/0!</v>
      </c>
      <c r="M635" s="88" t="e">
        <f t="shared" si="23"/>
        <v>#DIV/0!</v>
      </c>
      <c r="O635" s="121" t="str">
        <f t="shared" si="22"/>
        <v>זכרון יעקב</v>
      </c>
      <c r="P635" s="121" t="str">
        <f t="shared" si="22"/>
        <v>קרית מוצקין</v>
      </c>
    </row>
    <row r="636" spans="1:16" x14ac:dyDescent="0.3">
      <c r="A636" s="61">
        <v>25</v>
      </c>
      <c r="B636" s="61">
        <v>7</v>
      </c>
      <c r="C636" s="60"/>
      <c r="G636" s="62"/>
      <c r="I636" s="86" t="e">
        <f t="shared" si="23"/>
        <v>#DIV/0!</v>
      </c>
      <c r="J636" s="87" t="e">
        <f t="shared" si="23"/>
        <v>#DIV/0!</v>
      </c>
      <c r="K636" s="87" t="e">
        <f t="shared" si="23"/>
        <v>#DIV/0!</v>
      </c>
      <c r="L636" s="87" t="e">
        <f t="shared" si="23"/>
        <v>#DIV/0!</v>
      </c>
      <c r="M636" s="88" t="e">
        <f t="shared" si="23"/>
        <v>#DIV/0!</v>
      </c>
      <c r="O636" s="121" t="str">
        <f t="shared" si="22"/>
        <v>זכרון יעקב</v>
      </c>
      <c r="P636" s="121" t="str">
        <f t="shared" si="22"/>
        <v>קרית ביאליק</v>
      </c>
    </row>
    <row r="637" spans="1:16" x14ac:dyDescent="0.3">
      <c r="A637" s="61">
        <v>25</v>
      </c>
      <c r="B637" s="61">
        <v>8</v>
      </c>
      <c r="C637" s="60"/>
      <c r="G637" s="62"/>
      <c r="I637" s="86" t="e">
        <f t="shared" si="23"/>
        <v>#DIV/0!</v>
      </c>
      <c r="J637" s="87" t="e">
        <f t="shared" si="23"/>
        <v>#DIV/0!</v>
      </c>
      <c r="K637" s="87" t="e">
        <f t="shared" si="23"/>
        <v>#DIV/0!</v>
      </c>
      <c r="L637" s="87" t="e">
        <f t="shared" si="23"/>
        <v>#DIV/0!</v>
      </c>
      <c r="M637" s="88" t="e">
        <f t="shared" si="23"/>
        <v>#DIV/0!</v>
      </c>
      <c r="O637" s="121" t="str">
        <f t="shared" si="22"/>
        <v>זכרון יעקב</v>
      </c>
      <c r="P637" s="121" t="str">
        <f t="shared" si="22"/>
        <v>קרית חיים</v>
      </c>
    </row>
    <row r="638" spans="1:16" x14ac:dyDescent="0.3">
      <c r="A638" s="61">
        <v>25</v>
      </c>
      <c r="B638" s="61">
        <v>9</v>
      </c>
      <c r="C638" s="60"/>
      <c r="G638" s="62"/>
      <c r="I638" s="86" t="e">
        <f t="shared" si="23"/>
        <v>#DIV/0!</v>
      </c>
      <c r="J638" s="87" t="e">
        <f t="shared" si="23"/>
        <v>#DIV/0!</v>
      </c>
      <c r="K638" s="87" t="e">
        <f t="shared" si="23"/>
        <v>#DIV/0!</v>
      </c>
      <c r="L638" s="87" t="e">
        <f t="shared" si="23"/>
        <v>#DIV/0!</v>
      </c>
      <c r="M638" s="88" t="e">
        <f t="shared" si="23"/>
        <v>#DIV/0!</v>
      </c>
      <c r="O638" s="121" t="str">
        <f t="shared" si="22"/>
        <v>זכרון יעקב</v>
      </c>
      <c r="P638" s="121" t="str">
        <f t="shared" si="22"/>
        <v>קרית אתא</v>
      </c>
    </row>
    <row r="639" spans="1:16" x14ac:dyDescent="0.3">
      <c r="A639" s="61">
        <v>25</v>
      </c>
      <c r="B639" s="61">
        <v>10</v>
      </c>
      <c r="C639" s="60"/>
      <c r="G639" s="62"/>
      <c r="I639" s="86" t="e">
        <f t="shared" si="23"/>
        <v>#DIV/0!</v>
      </c>
      <c r="J639" s="87" t="e">
        <f t="shared" si="23"/>
        <v>#DIV/0!</v>
      </c>
      <c r="K639" s="87" t="e">
        <f t="shared" si="23"/>
        <v>#DIV/0!</v>
      </c>
      <c r="L639" s="87" t="e">
        <f t="shared" si="23"/>
        <v>#DIV/0!</v>
      </c>
      <c r="M639" s="88" t="e">
        <f t="shared" si="23"/>
        <v>#DIV/0!</v>
      </c>
      <c r="O639" s="121" t="str">
        <f t="shared" si="22"/>
        <v>זכרון יעקב</v>
      </c>
      <c r="P639" s="121" t="str">
        <f t="shared" si="22"/>
        <v>כפר מנדא</v>
      </c>
    </row>
    <row r="640" spans="1:16" x14ac:dyDescent="0.3">
      <c r="A640" s="61">
        <v>25</v>
      </c>
      <c r="B640" s="61">
        <v>11</v>
      </c>
      <c r="C640" s="60"/>
      <c r="G640" s="62"/>
      <c r="I640" s="86" t="e">
        <f t="shared" si="23"/>
        <v>#DIV/0!</v>
      </c>
      <c r="J640" s="87" t="e">
        <f t="shared" si="23"/>
        <v>#DIV/0!</v>
      </c>
      <c r="K640" s="87" t="e">
        <f t="shared" si="23"/>
        <v>#DIV/0!</v>
      </c>
      <c r="L640" s="87" t="e">
        <f t="shared" si="23"/>
        <v>#DIV/0!</v>
      </c>
      <c r="M640" s="88" t="e">
        <f t="shared" si="23"/>
        <v>#DIV/0!</v>
      </c>
      <c r="O640" s="121" t="str">
        <f t="shared" si="22"/>
        <v>זכרון יעקב</v>
      </c>
      <c r="P640" s="121" t="str">
        <f t="shared" si="22"/>
        <v>זבולון</v>
      </c>
    </row>
    <row r="641" spans="1:16" x14ac:dyDescent="0.3">
      <c r="A641" s="61">
        <v>25</v>
      </c>
      <c r="B641" s="61">
        <v>12</v>
      </c>
      <c r="C641" s="60"/>
      <c r="G641" s="62"/>
      <c r="I641" s="86" t="e">
        <f t="shared" si="23"/>
        <v>#DIV/0!</v>
      </c>
      <c r="J641" s="87" t="e">
        <f t="shared" si="23"/>
        <v>#DIV/0!</v>
      </c>
      <c r="K641" s="87" t="e">
        <f t="shared" si="23"/>
        <v>#DIV/0!</v>
      </c>
      <c r="L641" s="87" t="e">
        <f t="shared" si="23"/>
        <v>#DIV/0!</v>
      </c>
      <c r="M641" s="88" t="e">
        <f t="shared" si="23"/>
        <v>#DIV/0!</v>
      </c>
      <c r="O641" s="121" t="str">
        <f t="shared" si="22"/>
        <v>זכרון יעקב</v>
      </c>
      <c r="P641" s="121" t="str">
        <f t="shared" si="22"/>
        <v>חיפה מפרץ</v>
      </c>
    </row>
    <row r="642" spans="1:16" x14ac:dyDescent="0.3">
      <c r="A642" s="61">
        <v>25</v>
      </c>
      <c r="B642" s="61">
        <v>13</v>
      </c>
      <c r="C642" s="60"/>
      <c r="G642" s="62"/>
      <c r="I642" s="86" t="e">
        <f t="shared" si="23"/>
        <v>#DIV/0!</v>
      </c>
      <c r="J642" s="87" t="e">
        <f t="shared" si="23"/>
        <v>#DIV/0!</v>
      </c>
      <c r="K642" s="87" t="e">
        <f t="shared" si="23"/>
        <v>#DIV/0!</v>
      </c>
      <c r="L642" s="87" t="e">
        <f t="shared" si="23"/>
        <v>#DIV/0!</v>
      </c>
      <c r="M642" s="88" t="e">
        <f t="shared" si="23"/>
        <v>#DIV/0!</v>
      </c>
      <c r="O642" s="121" t="str">
        <f t="shared" si="22"/>
        <v>זכרון יעקב</v>
      </c>
      <c r="P642" s="121" t="str">
        <f t="shared" si="22"/>
        <v>חיפה עיר תחתית</v>
      </c>
    </row>
    <row r="643" spans="1:16" x14ac:dyDescent="0.3">
      <c r="A643" s="61">
        <v>25</v>
      </c>
      <c r="B643" s="61">
        <v>14</v>
      </c>
      <c r="C643" s="60"/>
      <c r="G643" s="62"/>
      <c r="I643" s="86" t="e">
        <f t="shared" si="23"/>
        <v>#DIV/0!</v>
      </c>
      <c r="J643" s="87" t="e">
        <f t="shared" si="23"/>
        <v>#DIV/0!</v>
      </c>
      <c r="K643" s="87" t="e">
        <f t="shared" si="23"/>
        <v>#DIV/0!</v>
      </c>
      <c r="L643" s="87" t="e">
        <f t="shared" si="23"/>
        <v>#DIV/0!</v>
      </c>
      <c r="M643" s="88" t="e">
        <f t="shared" si="23"/>
        <v>#DIV/0!</v>
      </c>
      <c r="O643" s="121" t="str">
        <f t="shared" si="22"/>
        <v>זכרון יעקב</v>
      </c>
      <c r="P643" s="121" t="str">
        <f t="shared" si="22"/>
        <v>חיפה הדר-כרמל</v>
      </c>
    </row>
    <row r="644" spans="1:16" x14ac:dyDescent="0.3">
      <c r="A644" s="61">
        <v>25</v>
      </c>
      <c r="B644" s="61">
        <v>15</v>
      </c>
      <c r="C644" s="60"/>
      <c r="G644" s="62"/>
      <c r="I644" s="86" t="e">
        <f t="shared" si="23"/>
        <v>#DIV/0!</v>
      </c>
      <c r="J644" s="87" t="e">
        <f t="shared" si="23"/>
        <v>#DIV/0!</v>
      </c>
      <c r="K644" s="87" t="e">
        <f t="shared" si="23"/>
        <v>#DIV/0!</v>
      </c>
      <c r="L644" s="87" t="e">
        <f t="shared" si="23"/>
        <v>#DIV/0!</v>
      </c>
      <c r="M644" s="88" t="e">
        <f t="shared" si="23"/>
        <v>#DIV/0!</v>
      </c>
      <c r="O644" s="121" t="str">
        <f t="shared" si="22"/>
        <v>זכרון יעקב</v>
      </c>
      <c r="P644" s="121" t="str">
        <f t="shared" si="22"/>
        <v>חיפה מערב</v>
      </c>
    </row>
    <row r="645" spans="1:16" x14ac:dyDescent="0.3">
      <c r="A645" s="61">
        <v>25</v>
      </c>
      <c r="B645" s="61">
        <v>16</v>
      </c>
      <c r="C645" s="60"/>
      <c r="G645" s="62"/>
      <c r="I645" s="86" t="e">
        <f t="shared" si="23"/>
        <v>#DIV/0!</v>
      </c>
      <c r="J645" s="87" t="e">
        <f t="shared" si="23"/>
        <v>#DIV/0!</v>
      </c>
      <c r="K645" s="87" t="e">
        <f t="shared" si="23"/>
        <v>#DIV/0!</v>
      </c>
      <c r="L645" s="87" t="e">
        <f t="shared" si="23"/>
        <v>#DIV/0!</v>
      </c>
      <c r="M645" s="88" t="e">
        <f t="shared" si="23"/>
        <v>#DIV/0!</v>
      </c>
      <c r="O645" s="121" t="str">
        <f t="shared" si="22"/>
        <v>זכרון יעקב</v>
      </c>
      <c r="P645" s="121" t="str">
        <f t="shared" si="22"/>
        <v>חיפה כרמל</v>
      </c>
    </row>
    <row r="646" spans="1:16" x14ac:dyDescent="0.3">
      <c r="A646" s="61">
        <v>25</v>
      </c>
      <c r="B646" s="61">
        <v>17</v>
      </c>
      <c r="C646" s="60"/>
      <c r="G646" s="62"/>
      <c r="I646" s="86" t="e">
        <f t="shared" si="23"/>
        <v>#DIV/0!</v>
      </c>
      <c r="J646" s="87" t="e">
        <f t="shared" si="23"/>
        <v>#DIV/0!</v>
      </c>
      <c r="K646" s="87" t="e">
        <f t="shared" si="23"/>
        <v>#DIV/0!</v>
      </c>
      <c r="L646" s="87" t="e">
        <f t="shared" si="23"/>
        <v>#DIV/0!</v>
      </c>
      <c r="M646" s="88" t="e">
        <f t="shared" si="23"/>
        <v>#DIV/0!</v>
      </c>
      <c r="O646" s="121" t="str">
        <f t="shared" si="22"/>
        <v>זכרון יעקב</v>
      </c>
      <c r="P646" s="121" t="str">
        <f t="shared" si="22"/>
        <v>חיפה נווה שאנן</v>
      </c>
    </row>
    <row r="647" spans="1:16" x14ac:dyDescent="0.3">
      <c r="A647" s="61">
        <v>25</v>
      </c>
      <c r="B647" s="61">
        <v>18</v>
      </c>
      <c r="C647" s="60"/>
      <c r="G647" s="62"/>
      <c r="I647" s="86" t="e">
        <f t="shared" si="23"/>
        <v>#DIV/0!</v>
      </c>
      <c r="J647" s="87" t="e">
        <f t="shared" si="23"/>
        <v>#DIV/0!</v>
      </c>
      <c r="K647" s="87" t="e">
        <f t="shared" si="23"/>
        <v>#DIV/0!</v>
      </c>
      <c r="L647" s="87" t="e">
        <f t="shared" si="23"/>
        <v>#DIV/0!</v>
      </c>
      <c r="M647" s="88" t="e">
        <f t="shared" si="23"/>
        <v>#DIV/0!</v>
      </c>
      <c r="O647" s="121" t="str">
        <f t="shared" ref="O647:P682" si="24">VLOOKUP(A647,$S$6:$T$31,2,0)</f>
        <v>זכרון יעקב</v>
      </c>
      <c r="P647" s="121" t="str">
        <f t="shared" si="24"/>
        <v>נשר</v>
      </c>
    </row>
    <row r="648" spans="1:16" x14ac:dyDescent="0.3">
      <c r="A648" s="61">
        <v>25</v>
      </c>
      <c r="B648" s="61">
        <v>19</v>
      </c>
      <c r="C648" s="60"/>
      <c r="G648" s="62"/>
      <c r="I648" s="86" t="e">
        <f t="shared" si="23"/>
        <v>#DIV/0!</v>
      </c>
      <c r="J648" s="87" t="e">
        <f t="shared" si="23"/>
        <v>#DIV/0!</v>
      </c>
      <c r="K648" s="87" t="e">
        <f t="shared" si="23"/>
        <v>#DIV/0!</v>
      </c>
      <c r="L648" s="87" t="e">
        <f t="shared" si="23"/>
        <v>#DIV/0!</v>
      </c>
      <c r="M648" s="88" t="e">
        <f t="shared" si="23"/>
        <v>#DIV/0!</v>
      </c>
      <c r="O648" s="121" t="str">
        <f t="shared" si="24"/>
        <v>זכרון יעקב</v>
      </c>
      <c r="P648" s="121" t="str">
        <f t="shared" si="24"/>
        <v>נצרת</v>
      </c>
    </row>
    <row r="649" spans="1:16" x14ac:dyDescent="0.3">
      <c r="A649" s="61">
        <v>25</v>
      </c>
      <c r="B649" s="61">
        <v>20</v>
      </c>
      <c r="C649" s="60"/>
      <c r="G649" s="62"/>
      <c r="I649" s="86" t="e">
        <f t="shared" si="23"/>
        <v>#DIV/0!</v>
      </c>
      <c r="J649" s="87" t="e">
        <f t="shared" si="23"/>
        <v>#DIV/0!</v>
      </c>
      <c r="K649" s="87" t="e">
        <f t="shared" si="23"/>
        <v>#DIV/0!</v>
      </c>
      <c r="L649" s="87" t="e">
        <f t="shared" si="23"/>
        <v>#DIV/0!</v>
      </c>
      <c r="M649" s="88" t="e">
        <f t="shared" si="23"/>
        <v>#DIV/0!</v>
      </c>
      <c r="O649" s="121" t="str">
        <f t="shared" si="24"/>
        <v>זכרון יעקב</v>
      </c>
      <c r="P649" s="121" t="str">
        <f t="shared" si="24"/>
        <v>נצרת-עילית</v>
      </c>
    </row>
    <row r="650" spans="1:16" x14ac:dyDescent="0.3">
      <c r="A650" s="61">
        <v>25</v>
      </c>
      <c r="B650" s="61">
        <v>21</v>
      </c>
      <c r="C650" s="60"/>
      <c r="G650" s="62"/>
      <c r="I650" s="86" t="e">
        <f t="shared" si="23"/>
        <v>#DIV/0!</v>
      </c>
      <c r="J650" s="87" t="e">
        <f t="shared" si="23"/>
        <v>#DIV/0!</v>
      </c>
      <c r="K650" s="87" t="e">
        <f t="shared" si="23"/>
        <v>#DIV/0!</v>
      </c>
      <c r="L650" s="87" t="e">
        <f t="shared" si="23"/>
        <v>#DIV/0!</v>
      </c>
      <c r="M650" s="88" t="e">
        <f t="shared" si="23"/>
        <v>#DIV/0!</v>
      </c>
      <c r="O650" s="121" t="str">
        <f t="shared" si="24"/>
        <v>זכרון יעקב</v>
      </c>
      <c r="P650" s="121" t="str">
        <f t="shared" si="24"/>
        <v>מגדל העמק</v>
      </c>
    </row>
    <row r="651" spans="1:16" x14ac:dyDescent="0.3">
      <c r="A651" s="61">
        <v>25</v>
      </c>
      <c r="B651" s="61">
        <v>22</v>
      </c>
      <c r="C651" s="60"/>
      <c r="G651" s="62"/>
      <c r="I651" s="86" t="e">
        <f t="shared" si="23"/>
        <v>#DIV/0!</v>
      </c>
      <c r="J651" s="87" t="e">
        <f t="shared" si="23"/>
        <v>#DIV/0!</v>
      </c>
      <c r="K651" s="87" t="e">
        <f t="shared" si="23"/>
        <v>#DIV/0!</v>
      </c>
      <c r="L651" s="87" t="e">
        <f t="shared" si="23"/>
        <v>#DIV/0!</v>
      </c>
      <c r="M651" s="88" t="e">
        <f t="shared" si="23"/>
        <v>#DIV/0!</v>
      </c>
      <c r="O651" s="121" t="str">
        <f t="shared" si="24"/>
        <v>זכרון יעקב</v>
      </c>
      <c r="P651" s="121" t="str">
        <f t="shared" si="24"/>
        <v>יוקנעם</v>
      </c>
    </row>
    <row r="652" spans="1:16" x14ac:dyDescent="0.3">
      <c r="A652" s="61">
        <v>25</v>
      </c>
      <c r="B652" s="61">
        <v>23</v>
      </c>
      <c r="C652" s="60"/>
      <c r="G652" s="62"/>
      <c r="I652" s="86" t="e">
        <f t="shared" si="23"/>
        <v>#DIV/0!</v>
      </c>
      <c r="J652" s="87" t="e">
        <f t="shared" si="23"/>
        <v>#DIV/0!</v>
      </c>
      <c r="K652" s="87" t="e">
        <f t="shared" si="23"/>
        <v>#DIV/0!</v>
      </c>
      <c r="L652" s="87" t="e">
        <f t="shared" si="23"/>
        <v>#DIV/0!</v>
      </c>
      <c r="M652" s="88" t="e">
        <f t="shared" si="23"/>
        <v>#DIV/0!</v>
      </c>
      <c r="O652" s="121" t="str">
        <f t="shared" si="24"/>
        <v>זכרון יעקב</v>
      </c>
      <c r="P652" s="121" t="str">
        <f t="shared" si="24"/>
        <v>דלית אל כרמל</v>
      </c>
    </row>
    <row r="653" spans="1:16" x14ac:dyDescent="0.3">
      <c r="A653" s="61">
        <v>25</v>
      </c>
      <c r="B653" s="61">
        <v>24</v>
      </c>
      <c r="C653" s="60"/>
      <c r="G653" s="62"/>
      <c r="I653" s="86" t="e">
        <f t="shared" si="23"/>
        <v>#DIV/0!</v>
      </c>
      <c r="J653" s="87" t="e">
        <f t="shared" si="23"/>
        <v>#DIV/0!</v>
      </c>
      <c r="K653" s="87" t="e">
        <f t="shared" si="23"/>
        <v>#DIV/0!</v>
      </c>
      <c r="L653" s="87" t="e">
        <f t="shared" si="23"/>
        <v>#DIV/0!</v>
      </c>
      <c r="M653" s="88" t="e">
        <f t="shared" si="23"/>
        <v>#DIV/0!</v>
      </c>
      <c r="O653" s="121" t="str">
        <f t="shared" si="24"/>
        <v>זכרון יעקב</v>
      </c>
      <c r="P653" s="121" t="str">
        <f t="shared" si="24"/>
        <v>חוף הכרמל</v>
      </c>
    </row>
    <row r="654" spans="1:16" x14ac:dyDescent="0.3">
      <c r="A654" s="61">
        <v>25</v>
      </c>
      <c r="B654" s="61">
        <v>25</v>
      </c>
      <c r="C654" s="60"/>
      <c r="G654" s="62"/>
      <c r="I654" s="86" t="e">
        <f t="shared" si="23"/>
        <v>#DIV/0!</v>
      </c>
      <c r="J654" s="87" t="e">
        <f t="shared" si="23"/>
        <v>#DIV/0!</v>
      </c>
      <c r="K654" s="87" t="e">
        <f t="shared" si="23"/>
        <v>#DIV/0!</v>
      </c>
      <c r="L654" s="87" t="e">
        <f t="shared" si="23"/>
        <v>#DIV/0!</v>
      </c>
      <c r="M654" s="88" t="e">
        <f t="shared" si="23"/>
        <v>#DIV/0!</v>
      </c>
      <c r="O654" s="121" t="str">
        <f t="shared" si="24"/>
        <v>זכרון יעקב</v>
      </c>
      <c r="P654" s="121" t="str">
        <f t="shared" si="24"/>
        <v>זכרון יעקב</v>
      </c>
    </row>
    <row r="655" spans="1:16" x14ac:dyDescent="0.3">
      <c r="A655" s="61">
        <v>25</v>
      </c>
      <c r="B655" s="61">
        <v>30</v>
      </c>
      <c r="C655" s="60"/>
      <c r="G655" s="62"/>
      <c r="I655" s="86" t="e">
        <f t="shared" si="23"/>
        <v>#DIV/0!</v>
      </c>
      <c r="J655" s="87" t="e">
        <f t="shared" si="23"/>
        <v>#DIV/0!</v>
      </c>
      <c r="K655" s="87" t="e">
        <f t="shared" si="23"/>
        <v>#DIV/0!</v>
      </c>
      <c r="L655" s="87" t="e">
        <f t="shared" si="23"/>
        <v>#DIV/0!</v>
      </c>
      <c r="M655" s="88" t="e">
        <f t="shared" si="23"/>
        <v>#DIV/0!</v>
      </c>
      <c r="O655" s="121" t="str">
        <f t="shared" si="24"/>
        <v>זכרון יעקב</v>
      </c>
      <c r="P655" s="121" t="str">
        <f t="shared" si="24"/>
        <v>סכנין</v>
      </c>
    </row>
    <row r="656" spans="1:16" x14ac:dyDescent="0.3">
      <c r="A656" s="61">
        <v>30</v>
      </c>
      <c r="B656" s="61">
        <v>1</v>
      </c>
      <c r="C656" s="60"/>
      <c r="G656" s="62"/>
      <c r="I656" s="86" t="e">
        <f t="shared" si="23"/>
        <v>#DIV/0!</v>
      </c>
      <c r="J656" s="87" t="e">
        <f t="shared" si="23"/>
        <v>#DIV/0!</v>
      </c>
      <c r="K656" s="87" t="e">
        <f t="shared" si="23"/>
        <v>#DIV/0!</v>
      </c>
      <c r="L656" s="87" t="e">
        <f t="shared" si="23"/>
        <v>#DIV/0!</v>
      </c>
      <c r="M656" s="88" t="e">
        <f t="shared" si="23"/>
        <v>#DIV/0!</v>
      </c>
      <c r="O656" s="121" t="str">
        <f t="shared" si="24"/>
        <v>סכנין</v>
      </c>
      <c r="P656" s="121" t="str">
        <f t="shared" si="24"/>
        <v>נהריה</v>
      </c>
    </row>
    <row r="657" spans="1:16" x14ac:dyDescent="0.3">
      <c r="A657" s="61">
        <v>30</v>
      </c>
      <c r="B657" s="61">
        <v>2</v>
      </c>
      <c r="C657" s="60"/>
      <c r="G657" s="62"/>
      <c r="I657" s="86" t="e">
        <f t="shared" si="23"/>
        <v>#DIV/0!</v>
      </c>
      <c r="J657" s="87" t="e">
        <f t="shared" si="23"/>
        <v>#DIV/0!</v>
      </c>
      <c r="K657" s="87" t="e">
        <f t="shared" si="23"/>
        <v>#DIV/0!</v>
      </c>
      <c r="L657" s="87" t="e">
        <f t="shared" si="23"/>
        <v>#DIV/0!</v>
      </c>
      <c r="M657" s="88" t="e">
        <f t="shared" si="23"/>
        <v>#DIV/0!</v>
      </c>
      <c r="O657" s="121" t="str">
        <f t="shared" si="24"/>
        <v>סכנין</v>
      </c>
      <c r="P657" s="121" t="str">
        <f t="shared" si="24"/>
        <v>עכו</v>
      </c>
    </row>
    <row r="658" spans="1:16" x14ac:dyDescent="0.3">
      <c r="A658" s="61">
        <v>30</v>
      </c>
      <c r="B658" s="61">
        <v>3</v>
      </c>
      <c r="C658" s="60"/>
      <c r="G658" s="62"/>
      <c r="I658" s="86" t="e">
        <f t="shared" si="23"/>
        <v>#DIV/0!</v>
      </c>
      <c r="J658" s="87" t="e">
        <f t="shared" si="23"/>
        <v>#DIV/0!</v>
      </c>
      <c r="K658" s="87" t="e">
        <f t="shared" si="23"/>
        <v>#DIV/0!</v>
      </c>
      <c r="L658" s="87" t="e">
        <f t="shared" si="23"/>
        <v>#DIV/0!</v>
      </c>
      <c r="M658" s="88" t="e">
        <f t="shared" si="23"/>
        <v>#DIV/0!</v>
      </c>
      <c r="O658" s="121" t="str">
        <f t="shared" si="24"/>
        <v>סכנין</v>
      </c>
      <c r="P658" s="121" t="str">
        <f t="shared" si="24"/>
        <v>כרמיאל</v>
      </c>
    </row>
    <row r="659" spans="1:16" x14ac:dyDescent="0.3">
      <c r="A659" s="61">
        <v>30</v>
      </c>
      <c r="B659" s="61">
        <v>4</v>
      </c>
      <c r="C659" s="60"/>
      <c r="G659" s="62"/>
      <c r="I659" s="86" t="e">
        <f t="shared" si="23"/>
        <v>#DIV/0!</v>
      </c>
      <c r="J659" s="87" t="e">
        <f t="shared" si="23"/>
        <v>#DIV/0!</v>
      </c>
      <c r="K659" s="87" t="e">
        <f t="shared" si="23"/>
        <v>#DIV/0!</v>
      </c>
      <c r="L659" s="87" t="e">
        <f t="shared" si="23"/>
        <v>#DIV/0!</v>
      </c>
      <c r="M659" s="88" t="e">
        <f t="shared" si="23"/>
        <v>#DIV/0!</v>
      </c>
      <c r="O659" s="121" t="str">
        <f t="shared" si="24"/>
        <v>סכנין</v>
      </c>
      <c r="P659" s="121" t="str">
        <f t="shared" si="24"/>
        <v>שפרעם</v>
      </c>
    </row>
    <row r="660" spans="1:16" x14ac:dyDescent="0.3">
      <c r="A660" s="61">
        <v>30</v>
      </c>
      <c r="B660" s="61">
        <v>5</v>
      </c>
      <c r="C660" s="60"/>
      <c r="G660" s="62"/>
      <c r="I660" s="86" t="e">
        <f t="shared" si="23"/>
        <v>#DIV/0!</v>
      </c>
      <c r="J660" s="87" t="e">
        <f t="shared" si="23"/>
        <v>#DIV/0!</v>
      </c>
      <c r="K660" s="87" t="e">
        <f t="shared" si="23"/>
        <v>#DIV/0!</v>
      </c>
      <c r="L660" s="87" t="e">
        <f t="shared" si="23"/>
        <v>#DIV/0!</v>
      </c>
      <c r="M660" s="88" t="e">
        <f t="shared" si="23"/>
        <v>#DIV/0!</v>
      </c>
      <c r="O660" s="121" t="str">
        <f t="shared" si="24"/>
        <v>סכנין</v>
      </c>
      <c r="P660" s="121" t="str">
        <f t="shared" si="24"/>
        <v>קרית ים</v>
      </c>
    </row>
    <row r="661" spans="1:16" x14ac:dyDescent="0.3">
      <c r="A661" s="61">
        <v>30</v>
      </c>
      <c r="B661" s="61">
        <v>6</v>
      </c>
      <c r="C661" s="60"/>
      <c r="G661" s="62"/>
      <c r="I661" s="86" t="e">
        <f t="shared" si="23"/>
        <v>#DIV/0!</v>
      </c>
      <c r="J661" s="87" t="e">
        <f t="shared" si="23"/>
        <v>#DIV/0!</v>
      </c>
      <c r="K661" s="87" t="e">
        <f t="shared" si="23"/>
        <v>#DIV/0!</v>
      </c>
      <c r="L661" s="87" t="e">
        <f t="shared" si="23"/>
        <v>#DIV/0!</v>
      </c>
      <c r="M661" s="88" t="e">
        <f t="shared" si="23"/>
        <v>#DIV/0!</v>
      </c>
      <c r="O661" s="121" t="str">
        <f t="shared" si="24"/>
        <v>סכנין</v>
      </c>
      <c r="P661" s="121" t="str">
        <f t="shared" si="24"/>
        <v>קרית מוצקין</v>
      </c>
    </row>
    <row r="662" spans="1:16" x14ac:dyDescent="0.3">
      <c r="A662" s="61">
        <v>30</v>
      </c>
      <c r="B662" s="61">
        <v>7</v>
      </c>
      <c r="C662" s="60"/>
      <c r="G662" s="62"/>
      <c r="I662" s="86" t="e">
        <f t="shared" si="23"/>
        <v>#DIV/0!</v>
      </c>
      <c r="J662" s="87" t="e">
        <f t="shared" si="23"/>
        <v>#DIV/0!</v>
      </c>
      <c r="K662" s="87" t="e">
        <f t="shared" si="23"/>
        <v>#DIV/0!</v>
      </c>
      <c r="L662" s="87" t="e">
        <f t="shared" si="23"/>
        <v>#DIV/0!</v>
      </c>
      <c r="M662" s="88" t="e">
        <f t="shared" si="23"/>
        <v>#DIV/0!</v>
      </c>
      <c r="O662" s="121" t="str">
        <f t="shared" si="24"/>
        <v>סכנין</v>
      </c>
      <c r="P662" s="121" t="str">
        <f t="shared" si="24"/>
        <v>קרית ביאליק</v>
      </c>
    </row>
    <row r="663" spans="1:16" x14ac:dyDescent="0.3">
      <c r="A663" s="61">
        <v>30</v>
      </c>
      <c r="B663" s="61">
        <v>8</v>
      </c>
      <c r="C663" s="60"/>
      <c r="G663" s="62"/>
      <c r="I663" s="86" t="e">
        <f t="shared" si="23"/>
        <v>#DIV/0!</v>
      </c>
      <c r="J663" s="87" t="e">
        <f t="shared" si="23"/>
        <v>#DIV/0!</v>
      </c>
      <c r="K663" s="87" t="e">
        <f t="shared" si="23"/>
        <v>#DIV/0!</v>
      </c>
      <c r="L663" s="87" t="e">
        <f t="shared" si="23"/>
        <v>#DIV/0!</v>
      </c>
      <c r="M663" s="88" t="e">
        <f t="shared" si="23"/>
        <v>#DIV/0!</v>
      </c>
      <c r="O663" s="121" t="str">
        <f t="shared" si="24"/>
        <v>סכנין</v>
      </c>
      <c r="P663" s="121" t="str">
        <f t="shared" si="24"/>
        <v>קרית חיים</v>
      </c>
    </row>
    <row r="664" spans="1:16" x14ac:dyDescent="0.3">
      <c r="A664" s="61">
        <v>30</v>
      </c>
      <c r="B664" s="61">
        <v>9</v>
      </c>
      <c r="C664" s="60"/>
      <c r="G664" s="62"/>
      <c r="I664" s="86" t="e">
        <f t="shared" si="23"/>
        <v>#DIV/0!</v>
      </c>
      <c r="J664" s="87" t="e">
        <f t="shared" si="23"/>
        <v>#DIV/0!</v>
      </c>
      <c r="K664" s="87" t="e">
        <f t="shared" si="23"/>
        <v>#DIV/0!</v>
      </c>
      <c r="L664" s="87" t="e">
        <f t="shared" si="23"/>
        <v>#DIV/0!</v>
      </c>
      <c r="M664" s="88" t="e">
        <f t="shared" si="23"/>
        <v>#DIV/0!</v>
      </c>
      <c r="O664" s="121" t="str">
        <f t="shared" si="24"/>
        <v>סכנין</v>
      </c>
      <c r="P664" s="121" t="str">
        <f t="shared" si="24"/>
        <v>קרית אתא</v>
      </c>
    </row>
    <row r="665" spans="1:16" x14ac:dyDescent="0.3">
      <c r="A665" s="61">
        <v>30</v>
      </c>
      <c r="B665" s="61">
        <v>10</v>
      </c>
      <c r="C665" s="60"/>
      <c r="G665" s="62"/>
      <c r="I665" s="86" t="e">
        <f t="shared" si="23"/>
        <v>#DIV/0!</v>
      </c>
      <c r="J665" s="87" t="e">
        <f t="shared" si="23"/>
        <v>#DIV/0!</v>
      </c>
      <c r="K665" s="87" t="e">
        <f t="shared" si="23"/>
        <v>#DIV/0!</v>
      </c>
      <c r="L665" s="87" t="e">
        <f t="shared" si="23"/>
        <v>#DIV/0!</v>
      </c>
      <c r="M665" s="88" t="e">
        <f t="shared" si="23"/>
        <v>#DIV/0!</v>
      </c>
      <c r="O665" s="121" t="str">
        <f t="shared" si="24"/>
        <v>סכנין</v>
      </c>
      <c r="P665" s="121" t="str">
        <f t="shared" si="24"/>
        <v>כפר מנדא</v>
      </c>
    </row>
    <row r="666" spans="1:16" x14ac:dyDescent="0.3">
      <c r="A666" s="61">
        <v>30</v>
      </c>
      <c r="B666" s="61">
        <v>11</v>
      </c>
      <c r="C666" s="60"/>
      <c r="G666" s="62"/>
      <c r="I666" s="86" t="e">
        <f t="shared" si="23"/>
        <v>#DIV/0!</v>
      </c>
      <c r="J666" s="87" t="e">
        <f t="shared" si="23"/>
        <v>#DIV/0!</v>
      </c>
      <c r="K666" s="87" t="e">
        <f t="shared" si="23"/>
        <v>#DIV/0!</v>
      </c>
      <c r="L666" s="87" t="e">
        <f t="shared" si="23"/>
        <v>#DIV/0!</v>
      </c>
      <c r="M666" s="88" t="e">
        <f t="shared" si="23"/>
        <v>#DIV/0!</v>
      </c>
      <c r="O666" s="121" t="str">
        <f t="shared" si="24"/>
        <v>סכנין</v>
      </c>
      <c r="P666" s="121" t="str">
        <f t="shared" si="24"/>
        <v>זבולון</v>
      </c>
    </row>
    <row r="667" spans="1:16" x14ac:dyDescent="0.3">
      <c r="A667" s="61">
        <v>30</v>
      </c>
      <c r="B667" s="61">
        <v>12</v>
      </c>
      <c r="C667" s="60"/>
      <c r="G667" s="62"/>
      <c r="I667" s="86" t="e">
        <f t="shared" si="23"/>
        <v>#DIV/0!</v>
      </c>
      <c r="J667" s="87" t="e">
        <f t="shared" si="23"/>
        <v>#DIV/0!</v>
      </c>
      <c r="K667" s="87" t="e">
        <f t="shared" si="23"/>
        <v>#DIV/0!</v>
      </c>
      <c r="L667" s="87" t="e">
        <f t="shared" si="23"/>
        <v>#DIV/0!</v>
      </c>
      <c r="M667" s="88" t="e">
        <f t="shared" si="23"/>
        <v>#DIV/0!</v>
      </c>
      <c r="O667" s="121" t="str">
        <f t="shared" si="24"/>
        <v>סכנין</v>
      </c>
      <c r="P667" s="121" t="str">
        <f t="shared" si="24"/>
        <v>חיפה מפרץ</v>
      </c>
    </row>
    <row r="668" spans="1:16" x14ac:dyDescent="0.3">
      <c r="A668" s="61">
        <v>30</v>
      </c>
      <c r="B668" s="61">
        <v>13</v>
      </c>
      <c r="C668" s="60"/>
      <c r="G668" s="62"/>
      <c r="I668" s="86" t="e">
        <f t="shared" si="23"/>
        <v>#DIV/0!</v>
      </c>
      <c r="J668" s="87" t="e">
        <f t="shared" si="23"/>
        <v>#DIV/0!</v>
      </c>
      <c r="K668" s="87" t="e">
        <f t="shared" si="23"/>
        <v>#DIV/0!</v>
      </c>
      <c r="L668" s="87" t="e">
        <f t="shared" si="23"/>
        <v>#DIV/0!</v>
      </c>
      <c r="M668" s="88" t="e">
        <f t="shared" si="23"/>
        <v>#DIV/0!</v>
      </c>
      <c r="O668" s="121" t="str">
        <f t="shared" si="24"/>
        <v>סכנין</v>
      </c>
      <c r="P668" s="121" t="str">
        <f t="shared" si="24"/>
        <v>חיפה עיר תחתית</v>
      </c>
    </row>
    <row r="669" spans="1:16" x14ac:dyDescent="0.3">
      <c r="A669" s="61">
        <v>30</v>
      </c>
      <c r="B669" s="61">
        <v>14</v>
      </c>
      <c r="C669" s="60"/>
      <c r="G669" s="62"/>
      <c r="I669" s="86" t="e">
        <f t="shared" si="23"/>
        <v>#DIV/0!</v>
      </c>
      <c r="J669" s="87" t="e">
        <f t="shared" si="23"/>
        <v>#DIV/0!</v>
      </c>
      <c r="K669" s="87" t="e">
        <f t="shared" si="23"/>
        <v>#DIV/0!</v>
      </c>
      <c r="L669" s="87" t="e">
        <f t="shared" si="23"/>
        <v>#DIV/0!</v>
      </c>
      <c r="M669" s="88" t="e">
        <f t="shared" si="23"/>
        <v>#DIV/0!</v>
      </c>
      <c r="O669" s="121" t="str">
        <f t="shared" si="24"/>
        <v>סכנין</v>
      </c>
      <c r="P669" s="121" t="str">
        <f t="shared" si="24"/>
        <v>חיפה הדר-כרמל</v>
      </c>
    </row>
    <row r="670" spans="1:16" x14ac:dyDescent="0.3">
      <c r="A670" s="61">
        <v>30</v>
      </c>
      <c r="B670" s="61">
        <v>15</v>
      </c>
      <c r="C670" s="60"/>
      <c r="G670" s="62"/>
      <c r="I670" s="86" t="e">
        <f t="shared" si="23"/>
        <v>#DIV/0!</v>
      </c>
      <c r="J670" s="87" t="e">
        <f t="shared" si="23"/>
        <v>#DIV/0!</v>
      </c>
      <c r="K670" s="87" t="e">
        <f t="shared" si="23"/>
        <v>#DIV/0!</v>
      </c>
      <c r="L670" s="87" t="e">
        <f t="shared" si="23"/>
        <v>#DIV/0!</v>
      </c>
      <c r="M670" s="88" t="e">
        <f t="shared" si="23"/>
        <v>#DIV/0!</v>
      </c>
      <c r="O670" s="121" t="str">
        <f t="shared" si="24"/>
        <v>סכנין</v>
      </c>
      <c r="P670" s="121" t="str">
        <f t="shared" si="24"/>
        <v>חיפה מערב</v>
      </c>
    </row>
    <row r="671" spans="1:16" x14ac:dyDescent="0.3">
      <c r="A671" s="61">
        <v>30</v>
      </c>
      <c r="B671" s="61">
        <v>16</v>
      </c>
      <c r="C671" s="60"/>
      <c r="G671" s="62"/>
      <c r="I671" s="86" t="e">
        <f t="shared" si="23"/>
        <v>#DIV/0!</v>
      </c>
      <c r="J671" s="87" t="e">
        <f t="shared" si="23"/>
        <v>#DIV/0!</v>
      </c>
      <c r="K671" s="87" t="e">
        <f t="shared" si="23"/>
        <v>#DIV/0!</v>
      </c>
      <c r="L671" s="87" t="e">
        <f t="shared" si="23"/>
        <v>#DIV/0!</v>
      </c>
      <c r="M671" s="88" t="e">
        <f t="shared" si="23"/>
        <v>#DIV/0!</v>
      </c>
      <c r="O671" s="121" t="str">
        <f t="shared" si="24"/>
        <v>סכנין</v>
      </c>
      <c r="P671" s="121" t="str">
        <f t="shared" si="24"/>
        <v>חיפה כרמל</v>
      </c>
    </row>
    <row r="672" spans="1:16" x14ac:dyDescent="0.3">
      <c r="A672" s="61">
        <v>30</v>
      </c>
      <c r="B672" s="61">
        <v>17</v>
      </c>
      <c r="C672" s="60"/>
      <c r="G672" s="62"/>
      <c r="I672" s="86" t="e">
        <f t="shared" si="23"/>
        <v>#DIV/0!</v>
      </c>
      <c r="J672" s="87" t="e">
        <f t="shared" si="23"/>
        <v>#DIV/0!</v>
      </c>
      <c r="K672" s="87" t="e">
        <f t="shared" si="23"/>
        <v>#DIV/0!</v>
      </c>
      <c r="L672" s="87" t="e">
        <f t="shared" si="23"/>
        <v>#DIV/0!</v>
      </c>
      <c r="M672" s="88" t="e">
        <f t="shared" si="23"/>
        <v>#DIV/0!</v>
      </c>
      <c r="O672" s="121" t="str">
        <f t="shared" si="24"/>
        <v>סכנין</v>
      </c>
      <c r="P672" s="121" t="str">
        <f t="shared" si="24"/>
        <v>חיפה נווה שאנן</v>
      </c>
    </row>
    <row r="673" spans="1:16" x14ac:dyDescent="0.3">
      <c r="A673" s="61">
        <v>30</v>
      </c>
      <c r="B673" s="61">
        <v>18</v>
      </c>
      <c r="C673" s="60"/>
      <c r="G673" s="62"/>
      <c r="I673" s="86" t="e">
        <f t="shared" si="23"/>
        <v>#DIV/0!</v>
      </c>
      <c r="J673" s="87" t="e">
        <f t="shared" si="23"/>
        <v>#DIV/0!</v>
      </c>
      <c r="K673" s="87" t="e">
        <f t="shared" si="23"/>
        <v>#DIV/0!</v>
      </c>
      <c r="L673" s="87" t="e">
        <f t="shared" si="23"/>
        <v>#DIV/0!</v>
      </c>
      <c r="M673" s="88" t="e">
        <f t="shared" si="23"/>
        <v>#DIV/0!</v>
      </c>
      <c r="O673" s="121" t="str">
        <f t="shared" si="24"/>
        <v>סכנין</v>
      </c>
      <c r="P673" s="121" t="str">
        <f t="shared" si="24"/>
        <v>נשר</v>
      </c>
    </row>
    <row r="674" spans="1:16" x14ac:dyDescent="0.3">
      <c r="A674" s="61">
        <v>30</v>
      </c>
      <c r="B674" s="61">
        <v>19</v>
      </c>
      <c r="C674" s="60"/>
      <c r="G674" s="62"/>
      <c r="I674" s="86" t="e">
        <f t="shared" si="23"/>
        <v>#DIV/0!</v>
      </c>
      <c r="J674" s="87" t="e">
        <f t="shared" si="23"/>
        <v>#DIV/0!</v>
      </c>
      <c r="K674" s="87" t="e">
        <f t="shared" si="23"/>
        <v>#DIV/0!</v>
      </c>
      <c r="L674" s="87" t="e">
        <f t="shared" si="23"/>
        <v>#DIV/0!</v>
      </c>
      <c r="M674" s="88" t="e">
        <f t="shared" si="23"/>
        <v>#DIV/0!</v>
      </c>
      <c r="O674" s="121" t="str">
        <f t="shared" si="24"/>
        <v>סכנין</v>
      </c>
      <c r="P674" s="121" t="str">
        <f t="shared" si="24"/>
        <v>נצרת</v>
      </c>
    </row>
    <row r="675" spans="1:16" x14ac:dyDescent="0.3">
      <c r="A675" s="61">
        <v>30</v>
      </c>
      <c r="B675" s="61">
        <v>20</v>
      </c>
      <c r="C675" s="60"/>
      <c r="G675" s="62"/>
      <c r="I675" s="86" t="e">
        <f t="shared" si="23"/>
        <v>#DIV/0!</v>
      </c>
      <c r="J675" s="87" t="e">
        <f t="shared" si="23"/>
        <v>#DIV/0!</v>
      </c>
      <c r="K675" s="87" t="e">
        <f t="shared" si="23"/>
        <v>#DIV/0!</v>
      </c>
      <c r="L675" s="87" t="e">
        <f t="shared" si="23"/>
        <v>#DIV/0!</v>
      </c>
      <c r="M675" s="88" t="e">
        <f t="shared" si="23"/>
        <v>#DIV/0!</v>
      </c>
      <c r="O675" s="121" t="str">
        <f t="shared" si="24"/>
        <v>סכנין</v>
      </c>
      <c r="P675" s="121" t="str">
        <f t="shared" si="24"/>
        <v>נצרת-עילית</v>
      </c>
    </row>
    <row r="676" spans="1:16" x14ac:dyDescent="0.3">
      <c r="A676" s="61">
        <v>30</v>
      </c>
      <c r="B676" s="61">
        <v>21</v>
      </c>
      <c r="C676" s="60"/>
      <c r="G676" s="62"/>
      <c r="I676" s="86" t="e">
        <f t="shared" si="23"/>
        <v>#DIV/0!</v>
      </c>
      <c r="J676" s="87" t="e">
        <f t="shared" si="23"/>
        <v>#DIV/0!</v>
      </c>
      <c r="K676" s="87" t="e">
        <f t="shared" si="23"/>
        <v>#DIV/0!</v>
      </c>
      <c r="L676" s="87" t="e">
        <f t="shared" si="23"/>
        <v>#DIV/0!</v>
      </c>
      <c r="M676" s="88" t="e">
        <f t="shared" si="23"/>
        <v>#DIV/0!</v>
      </c>
      <c r="O676" s="121" t="str">
        <f t="shared" si="24"/>
        <v>סכנין</v>
      </c>
      <c r="P676" s="121" t="str">
        <f t="shared" si="24"/>
        <v>מגדל העמק</v>
      </c>
    </row>
    <row r="677" spans="1:16" x14ac:dyDescent="0.3">
      <c r="A677" s="61">
        <v>30</v>
      </c>
      <c r="B677" s="61">
        <v>22</v>
      </c>
      <c r="C677" s="60"/>
      <c r="G677" s="62"/>
      <c r="I677" s="86" t="e">
        <f t="shared" si="23"/>
        <v>#DIV/0!</v>
      </c>
      <c r="J677" s="87" t="e">
        <f t="shared" si="23"/>
        <v>#DIV/0!</v>
      </c>
      <c r="K677" s="87" t="e">
        <f t="shared" si="23"/>
        <v>#DIV/0!</v>
      </c>
      <c r="L677" s="87" t="e">
        <f t="shared" si="23"/>
        <v>#DIV/0!</v>
      </c>
      <c r="M677" s="88" t="e">
        <f t="shared" si="23"/>
        <v>#DIV/0!</v>
      </c>
      <c r="O677" s="121" t="str">
        <f t="shared" si="24"/>
        <v>סכנין</v>
      </c>
      <c r="P677" s="121" t="str">
        <f t="shared" si="24"/>
        <v>יוקנעם</v>
      </c>
    </row>
    <row r="678" spans="1:16" x14ac:dyDescent="0.3">
      <c r="A678" s="61">
        <v>30</v>
      </c>
      <c r="B678" s="61">
        <v>23</v>
      </c>
      <c r="C678" s="60"/>
      <c r="G678" s="62"/>
      <c r="I678" s="86" t="e">
        <f t="shared" si="23"/>
        <v>#DIV/0!</v>
      </c>
      <c r="J678" s="87" t="e">
        <f t="shared" si="23"/>
        <v>#DIV/0!</v>
      </c>
      <c r="K678" s="87" t="e">
        <f t="shared" si="23"/>
        <v>#DIV/0!</v>
      </c>
      <c r="L678" s="87" t="e">
        <f t="shared" si="23"/>
        <v>#DIV/0!</v>
      </c>
      <c r="M678" s="88" t="e">
        <f t="shared" si="23"/>
        <v>#DIV/0!</v>
      </c>
      <c r="O678" s="121" t="str">
        <f t="shared" si="24"/>
        <v>סכנין</v>
      </c>
      <c r="P678" s="121" t="str">
        <f t="shared" si="24"/>
        <v>דלית אל כרמל</v>
      </c>
    </row>
    <row r="679" spans="1:16" x14ac:dyDescent="0.3">
      <c r="A679" s="61">
        <v>30</v>
      </c>
      <c r="B679" s="61">
        <v>24</v>
      </c>
      <c r="C679" s="60"/>
      <c r="G679" s="62"/>
      <c r="I679" s="86" t="e">
        <f t="shared" si="23"/>
        <v>#DIV/0!</v>
      </c>
      <c r="J679" s="87" t="e">
        <f t="shared" si="23"/>
        <v>#DIV/0!</v>
      </c>
      <c r="K679" s="87" t="e">
        <f t="shared" si="23"/>
        <v>#DIV/0!</v>
      </c>
      <c r="L679" s="87" t="e">
        <f t="shared" si="23"/>
        <v>#DIV/0!</v>
      </c>
      <c r="M679" s="88" t="e">
        <f t="shared" si="23"/>
        <v>#DIV/0!</v>
      </c>
      <c r="O679" s="121" t="str">
        <f t="shared" si="24"/>
        <v>סכנין</v>
      </c>
      <c r="P679" s="121" t="str">
        <f t="shared" si="24"/>
        <v>חוף הכרמל</v>
      </c>
    </row>
    <row r="680" spans="1:16" x14ac:dyDescent="0.3">
      <c r="A680" s="61">
        <v>30</v>
      </c>
      <c r="B680" s="61">
        <v>25</v>
      </c>
      <c r="C680" s="60"/>
      <c r="G680" s="62"/>
      <c r="I680" s="86" t="e">
        <f t="shared" si="23"/>
        <v>#DIV/0!</v>
      </c>
      <c r="J680" s="87" t="e">
        <f t="shared" si="23"/>
        <v>#DIV/0!</v>
      </c>
      <c r="K680" s="87" t="e">
        <f t="shared" si="23"/>
        <v>#DIV/0!</v>
      </c>
      <c r="L680" s="87" t="e">
        <f t="shared" si="23"/>
        <v>#DIV/0!</v>
      </c>
      <c r="M680" s="88" t="e">
        <f t="shared" si="23"/>
        <v>#DIV/0!</v>
      </c>
      <c r="O680" s="121" t="str">
        <f t="shared" si="24"/>
        <v>סכנין</v>
      </c>
      <c r="P680" s="121" t="str">
        <f t="shared" si="24"/>
        <v>זכרון יעקב</v>
      </c>
    </row>
    <row r="681" spans="1:16" x14ac:dyDescent="0.3">
      <c r="A681" s="61">
        <v>30</v>
      </c>
      <c r="B681" s="61">
        <v>30</v>
      </c>
      <c r="C681" s="83"/>
      <c r="D681" s="84"/>
      <c r="E681" s="84"/>
      <c r="F681" s="84"/>
      <c r="G681" s="85"/>
      <c r="I681" s="89" t="e">
        <f t="shared" si="23"/>
        <v>#DIV/0!</v>
      </c>
      <c r="J681" s="90" t="e">
        <f t="shared" si="23"/>
        <v>#DIV/0!</v>
      </c>
      <c r="K681" s="90" t="e">
        <f t="shared" si="23"/>
        <v>#DIV/0!</v>
      </c>
      <c r="L681" s="90" t="e">
        <f t="shared" si="23"/>
        <v>#DIV/0!</v>
      </c>
      <c r="M681" s="91" t="e">
        <f t="shared" si="23"/>
        <v>#DIV/0!</v>
      </c>
      <c r="O681" s="121" t="str">
        <f t="shared" si="24"/>
        <v>סכנין</v>
      </c>
      <c r="P681" s="121" t="str">
        <f t="shared" si="24"/>
        <v>סכנין</v>
      </c>
    </row>
    <row r="682" spans="1:16" x14ac:dyDescent="0.3">
      <c r="A682" s="153" t="s">
        <v>44</v>
      </c>
      <c r="B682" s="153"/>
      <c r="C682" s="92">
        <f>SUM(C6:C681)</f>
        <v>0</v>
      </c>
      <c r="D682" s="92">
        <f t="shared" ref="D682:G682" si="25">SUM(D6:D681)</f>
        <v>0</v>
      </c>
      <c r="E682" s="92">
        <f t="shared" si="25"/>
        <v>0</v>
      </c>
      <c r="F682" s="92">
        <f t="shared" si="25"/>
        <v>0</v>
      </c>
      <c r="G682" s="92">
        <f t="shared" si="25"/>
        <v>0</v>
      </c>
      <c r="O682" s="121" t="e">
        <f t="shared" si="24"/>
        <v>#N/A</v>
      </c>
      <c r="P682" s="121" t="e">
        <f t="shared" si="24"/>
        <v>#N/A</v>
      </c>
    </row>
    <row r="683" spans="1:16" x14ac:dyDescent="0.3">
      <c r="A683" s="153" t="s">
        <v>62</v>
      </c>
      <c r="B683" s="153"/>
      <c r="C683" s="93" t="e">
        <f>C682/SUM(C682:G682)</f>
        <v>#DIV/0!</v>
      </c>
      <c r="D683" s="93" t="e">
        <f>D682/SUM(C682:G682)</f>
        <v>#DIV/0!</v>
      </c>
      <c r="E683" s="93" t="e">
        <f>E682/SUM(C682:G682)</f>
        <v>#DIV/0!</v>
      </c>
      <c r="F683" s="93" t="e">
        <f>F682/SUM(C682:G682)</f>
        <v>#DIV/0!</v>
      </c>
      <c r="G683" s="93" t="e">
        <f>G682/SUM(C682:G682)</f>
        <v>#DIV/0!</v>
      </c>
    </row>
  </sheetData>
  <mergeCells count="9">
    <mergeCell ref="E4:E5"/>
    <mergeCell ref="F4:F5"/>
    <mergeCell ref="G4:G5"/>
    <mergeCell ref="A682:B682"/>
    <mergeCell ref="A683:B683"/>
    <mergeCell ref="A4:A5"/>
    <mergeCell ref="B4:B5"/>
    <mergeCell ref="C4:C5"/>
    <mergeCell ref="D4:D5"/>
  </mergeCells>
  <hyperlinks>
    <hyperlink ref="A1" location="'Table Of Contents'!A1" display="Return to ToC" xr:uid="{00000000-0004-0000-0B00-00000000000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T683"/>
  <sheetViews>
    <sheetView workbookViewId="0">
      <pane xSplit="2" ySplit="5" topLeftCell="C6" activePane="bottomRight" state="frozen"/>
      <selection activeCell="D14" sqref="D14"/>
      <selection pane="topRight" activeCell="D14" sqref="D14"/>
      <selection pane="bottomLeft" activeCell="D14" sqref="D14"/>
      <selection pane="bottomRight" activeCell="D22" sqref="D22"/>
    </sheetView>
  </sheetViews>
  <sheetFormatPr defaultColWidth="9" defaultRowHeight="14.4" x14ac:dyDescent="0.3"/>
  <cols>
    <col min="1" max="1" width="8.21875" style="61" customWidth="1"/>
    <col min="2" max="2" width="3" style="61" customWidth="1"/>
    <col min="3" max="3" width="7.88671875" style="61" bestFit="1" customWidth="1"/>
    <col min="4" max="4" width="9.77734375" style="61" bestFit="1" customWidth="1"/>
    <col min="5" max="7" width="7.88671875" style="61" bestFit="1" customWidth="1"/>
    <col min="8" max="8" width="9" style="79"/>
    <col min="9" max="9" width="7.88671875" style="61" bestFit="1" customWidth="1"/>
    <col min="10" max="10" width="9.77734375" style="61" bestFit="1" customWidth="1"/>
    <col min="11" max="13" width="7.88671875" style="61" bestFit="1" customWidth="1"/>
    <col min="14" max="14" width="8" style="61" bestFit="1" customWidth="1"/>
    <col min="15" max="16384" width="9" style="61"/>
  </cols>
  <sheetData>
    <row r="1" spans="1:20" ht="27" thickBot="1" x14ac:dyDescent="0.35">
      <c r="A1" s="8" t="s">
        <v>2</v>
      </c>
      <c r="H1" s="61"/>
      <c r="I1" s="76"/>
    </row>
    <row r="2" spans="1:20" ht="21" x14ac:dyDescent="0.3">
      <c r="A2" s="112"/>
      <c r="B2" s="112"/>
      <c r="C2" s="112"/>
      <c r="D2" s="112"/>
      <c r="E2" s="112"/>
      <c r="F2" s="112"/>
      <c r="G2" s="112"/>
      <c r="H2" s="77"/>
      <c r="I2" s="112"/>
      <c r="J2" s="112"/>
      <c r="K2" s="112"/>
      <c r="L2" s="112"/>
      <c r="M2" s="112"/>
      <c r="O2" s="77"/>
    </row>
    <row r="3" spans="1:20" ht="6.75" customHeight="1" x14ac:dyDescent="0.3">
      <c r="A3" s="78"/>
      <c r="H3" s="61"/>
      <c r="I3" s="78"/>
    </row>
    <row r="4" spans="1:20" ht="28.8" x14ac:dyDescent="0.3">
      <c r="A4" s="155" t="s">
        <v>54</v>
      </c>
      <c r="B4" s="155" t="s">
        <v>55</v>
      </c>
      <c r="C4" s="158" t="s">
        <v>56</v>
      </c>
      <c r="D4" s="160" t="s">
        <v>57</v>
      </c>
      <c r="E4" s="160" t="s">
        <v>58</v>
      </c>
      <c r="F4" s="160" t="s">
        <v>59</v>
      </c>
      <c r="G4" s="162" t="s">
        <v>60</v>
      </c>
      <c r="I4" s="80" t="s">
        <v>56</v>
      </c>
      <c r="J4" s="81" t="s">
        <v>57</v>
      </c>
      <c r="K4" s="81" t="s">
        <v>58</v>
      </c>
      <c r="L4" s="81" t="s">
        <v>59</v>
      </c>
      <c r="M4" s="82" t="s">
        <v>60</v>
      </c>
    </row>
    <row r="5" spans="1:20" x14ac:dyDescent="0.3">
      <c r="A5" s="156"/>
      <c r="B5" s="156"/>
      <c r="C5" s="159"/>
      <c r="D5" s="161"/>
      <c r="E5" s="161"/>
      <c r="F5" s="161"/>
      <c r="G5" s="157"/>
      <c r="I5" s="83" t="s">
        <v>61</v>
      </c>
      <c r="J5" s="84" t="s">
        <v>61</v>
      </c>
      <c r="K5" s="84" t="s">
        <v>61</v>
      </c>
      <c r="L5" s="84" t="s">
        <v>61</v>
      </c>
      <c r="M5" s="85" t="s">
        <v>61</v>
      </c>
      <c r="O5" s="121" t="s">
        <v>54</v>
      </c>
      <c r="P5" s="121" t="s">
        <v>55</v>
      </c>
      <c r="S5" s="120" t="s">
        <v>148</v>
      </c>
      <c r="T5" s="120" t="s">
        <v>149</v>
      </c>
    </row>
    <row r="6" spans="1:20" x14ac:dyDescent="0.3">
      <c r="A6" s="60">
        <v>1</v>
      </c>
      <c r="B6" s="121">
        <v>1</v>
      </c>
      <c r="C6" s="79"/>
      <c r="D6" s="79"/>
      <c r="E6" s="79"/>
      <c r="F6" s="79"/>
      <c r="G6" s="94"/>
      <c r="I6" s="86" t="e">
        <f>C6/SUM($C6:$G6)</f>
        <v>#DIV/0!</v>
      </c>
      <c r="J6" s="87" t="e">
        <f t="shared" ref="J6:M21" si="0">D6/SUM($C6:$G6)</f>
        <v>#DIV/0!</v>
      </c>
      <c r="K6" s="87" t="e">
        <f t="shared" si="0"/>
        <v>#DIV/0!</v>
      </c>
      <c r="L6" s="87" t="e">
        <f t="shared" si="0"/>
        <v>#DIV/0!</v>
      </c>
      <c r="M6" s="88" t="e">
        <f t="shared" si="0"/>
        <v>#DIV/0!</v>
      </c>
      <c r="O6" s="121" t="str">
        <f>VLOOKUP(A6,$S$6:$T$31,2,0)</f>
        <v>נהריה</v>
      </c>
      <c r="P6" s="121" t="str">
        <f t="shared" ref="P6:P69" si="1">VLOOKUP(B6,$S$6:$T$31,2,0)</f>
        <v>נהריה</v>
      </c>
      <c r="S6" s="120">
        <v>1</v>
      </c>
      <c r="T6" s="120" t="s">
        <v>150</v>
      </c>
    </row>
    <row r="7" spans="1:20" x14ac:dyDescent="0.3">
      <c r="A7" s="60">
        <v>1</v>
      </c>
      <c r="B7" s="121">
        <v>2</v>
      </c>
      <c r="C7" s="79"/>
      <c r="D7" s="79"/>
      <c r="E7" s="79"/>
      <c r="F7" s="79"/>
      <c r="G7" s="94"/>
      <c r="I7" s="86" t="e">
        <f t="shared" ref="I7:M69" si="2">C7/SUM($C7:$G7)</f>
        <v>#DIV/0!</v>
      </c>
      <c r="J7" s="87" t="e">
        <f t="shared" si="0"/>
        <v>#DIV/0!</v>
      </c>
      <c r="K7" s="87" t="e">
        <f t="shared" si="0"/>
        <v>#DIV/0!</v>
      </c>
      <c r="L7" s="87" t="e">
        <f t="shared" si="0"/>
        <v>#DIV/0!</v>
      </c>
      <c r="M7" s="88" t="e">
        <f t="shared" si="0"/>
        <v>#DIV/0!</v>
      </c>
      <c r="O7" s="121" t="s">
        <v>150</v>
      </c>
      <c r="P7" s="121" t="str">
        <f t="shared" si="1"/>
        <v>עכו</v>
      </c>
      <c r="S7" s="120">
        <v>2</v>
      </c>
      <c r="T7" s="120" t="s">
        <v>151</v>
      </c>
    </row>
    <row r="8" spans="1:20" x14ac:dyDescent="0.3">
      <c r="A8" s="60">
        <v>1</v>
      </c>
      <c r="B8" s="121">
        <v>3</v>
      </c>
      <c r="C8" s="79"/>
      <c r="D8" s="79"/>
      <c r="E8" s="79"/>
      <c r="F8" s="79"/>
      <c r="G8" s="94"/>
      <c r="I8" s="86" t="e">
        <f t="shared" si="2"/>
        <v>#DIV/0!</v>
      </c>
      <c r="J8" s="87" t="e">
        <f t="shared" si="0"/>
        <v>#DIV/0!</v>
      </c>
      <c r="K8" s="87" t="e">
        <f t="shared" si="0"/>
        <v>#DIV/0!</v>
      </c>
      <c r="L8" s="87" t="e">
        <f t="shared" si="0"/>
        <v>#DIV/0!</v>
      </c>
      <c r="M8" s="88" t="e">
        <f t="shared" si="0"/>
        <v>#DIV/0!</v>
      </c>
      <c r="O8" s="121" t="str">
        <f t="shared" ref="O8:P71" si="3">VLOOKUP(A8,$S$6:$T$31,2,0)</f>
        <v>נהריה</v>
      </c>
      <c r="P8" s="121" t="str">
        <f t="shared" si="1"/>
        <v>כרמיאל</v>
      </c>
      <c r="S8" s="120">
        <v>3</v>
      </c>
      <c r="T8" s="120" t="s">
        <v>152</v>
      </c>
    </row>
    <row r="9" spans="1:20" x14ac:dyDescent="0.3">
      <c r="A9" s="60">
        <v>1</v>
      </c>
      <c r="B9" s="121">
        <v>4</v>
      </c>
      <c r="C9" s="79"/>
      <c r="D9" s="79"/>
      <c r="E9" s="79"/>
      <c r="F9" s="79"/>
      <c r="G9" s="94"/>
      <c r="I9" s="86" t="e">
        <f t="shared" si="2"/>
        <v>#DIV/0!</v>
      </c>
      <c r="J9" s="87" t="e">
        <f t="shared" si="0"/>
        <v>#DIV/0!</v>
      </c>
      <c r="K9" s="87" t="e">
        <f t="shared" si="0"/>
        <v>#DIV/0!</v>
      </c>
      <c r="L9" s="87" t="e">
        <f t="shared" si="0"/>
        <v>#DIV/0!</v>
      </c>
      <c r="M9" s="88" t="e">
        <f t="shared" si="0"/>
        <v>#DIV/0!</v>
      </c>
      <c r="O9" s="121" t="str">
        <f t="shared" si="3"/>
        <v>נהריה</v>
      </c>
      <c r="P9" s="121" t="str">
        <f t="shared" si="1"/>
        <v>שפרעם</v>
      </c>
      <c r="S9" s="120">
        <v>4</v>
      </c>
      <c r="T9" s="120" t="s">
        <v>153</v>
      </c>
    </row>
    <row r="10" spans="1:20" x14ac:dyDescent="0.3">
      <c r="A10" s="60">
        <v>1</v>
      </c>
      <c r="B10" s="121">
        <v>5</v>
      </c>
      <c r="C10" s="79"/>
      <c r="D10" s="79"/>
      <c r="E10" s="79"/>
      <c r="F10" s="79"/>
      <c r="G10" s="94"/>
      <c r="I10" s="86" t="e">
        <f t="shared" si="2"/>
        <v>#DIV/0!</v>
      </c>
      <c r="J10" s="87" t="e">
        <f t="shared" si="0"/>
        <v>#DIV/0!</v>
      </c>
      <c r="K10" s="87" t="e">
        <f t="shared" si="0"/>
        <v>#DIV/0!</v>
      </c>
      <c r="L10" s="87" t="e">
        <f t="shared" si="0"/>
        <v>#DIV/0!</v>
      </c>
      <c r="M10" s="88" t="e">
        <f t="shared" si="0"/>
        <v>#DIV/0!</v>
      </c>
      <c r="O10" s="121" t="str">
        <f t="shared" si="3"/>
        <v>נהריה</v>
      </c>
      <c r="P10" s="121" t="str">
        <f t="shared" si="1"/>
        <v>קרית ים</v>
      </c>
      <c r="S10" s="120">
        <v>5</v>
      </c>
      <c r="T10" s="120" t="s">
        <v>154</v>
      </c>
    </row>
    <row r="11" spans="1:20" x14ac:dyDescent="0.3">
      <c r="A11" s="60">
        <v>1</v>
      </c>
      <c r="B11" s="121">
        <v>6</v>
      </c>
      <c r="C11" s="79"/>
      <c r="D11" s="79"/>
      <c r="E11" s="79"/>
      <c r="F11" s="79"/>
      <c r="G11" s="94"/>
      <c r="I11" s="86" t="e">
        <f t="shared" si="2"/>
        <v>#DIV/0!</v>
      </c>
      <c r="J11" s="87" t="e">
        <f t="shared" si="0"/>
        <v>#DIV/0!</v>
      </c>
      <c r="K11" s="87" t="e">
        <f t="shared" si="0"/>
        <v>#DIV/0!</v>
      </c>
      <c r="L11" s="87" t="e">
        <f t="shared" si="0"/>
        <v>#DIV/0!</v>
      </c>
      <c r="M11" s="88" t="e">
        <f t="shared" si="0"/>
        <v>#DIV/0!</v>
      </c>
      <c r="O11" s="121" t="str">
        <f t="shared" si="3"/>
        <v>נהריה</v>
      </c>
      <c r="P11" s="121" t="str">
        <f t="shared" si="1"/>
        <v>קרית מוצקין</v>
      </c>
      <c r="S11" s="120">
        <v>6</v>
      </c>
      <c r="T11" s="120" t="s">
        <v>155</v>
      </c>
    </row>
    <row r="12" spans="1:20" x14ac:dyDescent="0.3">
      <c r="A12" s="60">
        <v>1</v>
      </c>
      <c r="B12" s="121">
        <v>7</v>
      </c>
      <c r="C12" s="79"/>
      <c r="D12" s="79"/>
      <c r="E12" s="79"/>
      <c r="F12" s="79"/>
      <c r="G12" s="94"/>
      <c r="I12" s="86" t="e">
        <f t="shared" si="2"/>
        <v>#DIV/0!</v>
      </c>
      <c r="J12" s="87" t="e">
        <f t="shared" si="0"/>
        <v>#DIV/0!</v>
      </c>
      <c r="K12" s="87" t="e">
        <f t="shared" si="0"/>
        <v>#DIV/0!</v>
      </c>
      <c r="L12" s="87" t="e">
        <f t="shared" si="0"/>
        <v>#DIV/0!</v>
      </c>
      <c r="M12" s="88" t="e">
        <f t="shared" si="0"/>
        <v>#DIV/0!</v>
      </c>
      <c r="O12" s="121" t="str">
        <f t="shared" si="3"/>
        <v>נהריה</v>
      </c>
      <c r="P12" s="121" t="str">
        <f t="shared" si="1"/>
        <v>קרית ביאליק</v>
      </c>
      <c r="S12" s="120">
        <v>7</v>
      </c>
      <c r="T12" s="120" t="s">
        <v>156</v>
      </c>
    </row>
    <row r="13" spans="1:20" x14ac:dyDescent="0.3">
      <c r="A13" s="60">
        <v>1</v>
      </c>
      <c r="B13" s="121">
        <v>8</v>
      </c>
      <c r="C13" s="79"/>
      <c r="D13" s="79"/>
      <c r="E13" s="79"/>
      <c r="F13" s="79"/>
      <c r="G13" s="94"/>
      <c r="I13" s="86" t="e">
        <f t="shared" si="2"/>
        <v>#DIV/0!</v>
      </c>
      <c r="J13" s="87" t="e">
        <f t="shared" si="0"/>
        <v>#DIV/0!</v>
      </c>
      <c r="K13" s="87" t="e">
        <f t="shared" si="0"/>
        <v>#DIV/0!</v>
      </c>
      <c r="L13" s="87" t="e">
        <f t="shared" si="0"/>
        <v>#DIV/0!</v>
      </c>
      <c r="M13" s="88" t="e">
        <f t="shared" si="0"/>
        <v>#DIV/0!</v>
      </c>
      <c r="O13" s="121" t="str">
        <f t="shared" si="3"/>
        <v>נהריה</v>
      </c>
      <c r="P13" s="121" t="str">
        <f t="shared" si="1"/>
        <v>קרית חיים</v>
      </c>
      <c r="S13" s="120">
        <v>8</v>
      </c>
      <c r="T13" s="120" t="s">
        <v>157</v>
      </c>
    </row>
    <row r="14" spans="1:20" x14ac:dyDescent="0.3">
      <c r="A14" s="60">
        <v>1</v>
      </c>
      <c r="B14" s="121">
        <v>9</v>
      </c>
      <c r="C14" s="79"/>
      <c r="D14" s="79"/>
      <c r="E14" s="79"/>
      <c r="F14" s="79"/>
      <c r="G14" s="94"/>
      <c r="I14" s="86" t="e">
        <f t="shared" si="2"/>
        <v>#DIV/0!</v>
      </c>
      <c r="J14" s="87" t="e">
        <f t="shared" si="0"/>
        <v>#DIV/0!</v>
      </c>
      <c r="K14" s="87" t="e">
        <f t="shared" si="0"/>
        <v>#DIV/0!</v>
      </c>
      <c r="L14" s="87" t="e">
        <f t="shared" si="0"/>
        <v>#DIV/0!</v>
      </c>
      <c r="M14" s="88" t="e">
        <f t="shared" si="0"/>
        <v>#DIV/0!</v>
      </c>
      <c r="O14" s="121" t="str">
        <f t="shared" si="3"/>
        <v>נהריה</v>
      </c>
      <c r="P14" s="121" t="str">
        <f t="shared" si="1"/>
        <v>קרית אתא</v>
      </c>
      <c r="S14" s="120">
        <v>9</v>
      </c>
      <c r="T14" s="120" t="s">
        <v>158</v>
      </c>
    </row>
    <row r="15" spans="1:20" x14ac:dyDescent="0.3">
      <c r="A15" s="60">
        <v>1</v>
      </c>
      <c r="B15" s="121">
        <v>10</v>
      </c>
      <c r="C15" s="79"/>
      <c r="D15" s="79"/>
      <c r="E15" s="79"/>
      <c r="F15" s="79"/>
      <c r="G15" s="94"/>
      <c r="I15" s="86" t="e">
        <f t="shared" si="2"/>
        <v>#DIV/0!</v>
      </c>
      <c r="J15" s="87" t="e">
        <f t="shared" si="0"/>
        <v>#DIV/0!</v>
      </c>
      <c r="K15" s="87" t="e">
        <f t="shared" si="0"/>
        <v>#DIV/0!</v>
      </c>
      <c r="L15" s="87" t="e">
        <f t="shared" si="0"/>
        <v>#DIV/0!</v>
      </c>
      <c r="M15" s="88" t="e">
        <f t="shared" si="0"/>
        <v>#DIV/0!</v>
      </c>
      <c r="O15" s="121" t="str">
        <f t="shared" si="3"/>
        <v>נהריה</v>
      </c>
      <c r="P15" s="121" t="str">
        <f t="shared" si="1"/>
        <v>כפר מנדא</v>
      </c>
      <c r="S15" s="120">
        <v>10</v>
      </c>
      <c r="T15" s="120" t="s">
        <v>159</v>
      </c>
    </row>
    <row r="16" spans="1:20" x14ac:dyDescent="0.3">
      <c r="A16" s="60">
        <v>1</v>
      </c>
      <c r="B16" s="121">
        <v>11</v>
      </c>
      <c r="C16" s="79"/>
      <c r="D16" s="79"/>
      <c r="E16" s="79"/>
      <c r="F16" s="79"/>
      <c r="G16" s="94"/>
      <c r="I16" s="86" t="e">
        <f t="shared" si="2"/>
        <v>#DIV/0!</v>
      </c>
      <c r="J16" s="87" t="e">
        <f t="shared" si="0"/>
        <v>#DIV/0!</v>
      </c>
      <c r="K16" s="87" t="e">
        <f t="shared" si="0"/>
        <v>#DIV/0!</v>
      </c>
      <c r="L16" s="87" t="e">
        <f t="shared" si="0"/>
        <v>#DIV/0!</v>
      </c>
      <c r="M16" s="88" t="e">
        <f t="shared" si="0"/>
        <v>#DIV/0!</v>
      </c>
      <c r="O16" s="121" t="str">
        <f t="shared" si="3"/>
        <v>נהריה</v>
      </c>
      <c r="P16" s="121" t="str">
        <f t="shared" si="1"/>
        <v>זבולון</v>
      </c>
      <c r="S16" s="120">
        <v>11</v>
      </c>
      <c r="T16" s="120" t="s">
        <v>160</v>
      </c>
    </row>
    <row r="17" spans="1:20" x14ac:dyDescent="0.3">
      <c r="A17" s="60">
        <v>1</v>
      </c>
      <c r="B17" s="121">
        <v>12</v>
      </c>
      <c r="C17" s="79"/>
      <c r="D17" s="79"/>
      <c r="E17" s="79"/>
      <c r="F17" s="79"/>
      <c r="G17" s="94"/>
      <c r="I17" s="86" t="e">
        <f t="shared" si="2"/>
        <v>#DIV/0!</v>
      </c>
      <c r="J17" s="87" t="e">
        <f t="shared" si="0"/>
        <v>#DIV/0!</v>
      </c>
      <c r="K17" s="87" t="e">
        <f t="shared" si="0"/>
        <v>#DIV/0!</v>
      </c>
      <c r="L17" s="87" t="e">
        <f t="shared" si="0"/>
        <v>#DIV/0!</v>
      </c>
      <c r="M17" s="88" t="e">
        <f t="shared" si="0"/>
        <v>#DIV/0!</v>
      </c>
      <c r="O17" s="121" t="str">
        <f t="shared" si="3"/>
        <v>נהריה</v>
      </c>
      <c r="P17" s="121" t="str">
        <f t="shared" si="1"/>
        <v>חיפה מפרץ</v>
      </c>
      <c r="S17" s="120">
        <v>12</v>
      </c>
      <c r="T17" s="120" t="s">
        <v>161</v>
      </c>
    </row>
    <row r="18" spans="1:20" x14ac:dyDescent="0.3">
      <c r="A18" s="60">
        <v>1</v>
      </c>
      <c r="B18" s="121">
        <v>13</v>
      </c>
      <c r="C18" s="79"/>
      <c r="D18" s="79"/>
      <c r="E18" s="79"/>
      <c r="F18" s="79"/>
      <c r="G18" s="94"/>
      <c r="I18" s="86" t="e">
        <f t="shared" si="2"/>
        <v>#DIV/0!</v>
      </c>
      <c r="J18" s="87" t="e">
        <f t="shared" si="0"/>
        <v>#DIV/0!</v>
      </c>
      <c r="K18" s="87" t="e">
        <f t="shared" si="0"/>
        <v>#DIV/0!</v>
      </c>
      <c r="L18" s="87" t="e">
        <f t="shared" si="0"/>
        <v>#DIV/0!</v>
      </c>
      <c r="M18" s="88" t="e">
        <f t="shared" si="0"/>
        <v>#DIV/0!</v>
      </c>
      <c r="O18" s="121" t="str">
        <f t="shared" si="3"/>
        <v>נהריה</v>
      </c>
      <c r="P18" s="121" t="str">
        <f t="shared" si="1"/>
        <v>חיפה עיר תחתית</v>
      </c>
      <c r="S18" s="120">
        <v>13</v>
      </c>
      <c r="T18" s="120" t="s">
        <v>162</v>
      </c>
    </row>
    <row r="19" spans="1:20" x14ac:dyDescent="0.3">
      <c r="A19" s="60">
        <v>1</v>
      </c>
      <c r="B19" s="121">
        <v>14</v>
      </c>
      <c r="C19" s="79"/>
      <c r="D19" s="79"/>
      <c r="E19" s="79"/>
      <c r="F19" s="79"/>
      <c r="G19" s="94"/>
      <c r="I19" s="86" t="e">
        <f t="shared" si="2"/>
        <v>#DIV/0!</v>
      </c>
      <c r="J19" s="87" t="e">
        <f t="shared" si="0"/>
        <v>#DIV/0!</v>
      </c>
      <c r="K19" s="87" t="e">
        <f t="shared" si="0"/>
        <v>#DIV/0!</v>
      </c>
      <c r="L19" s="87" t="e">
        <f t="shared" si="0"/>
        <v>#DIV/0!</v>
      </c>
      <c r="M19" s="88" t="e">
        <f t="shared" si="0"/>
        <v>#DIV/0!</v>
      </c>
      <c r="O19" s="121" t="str">
        <f t="shared" si="3"/>
        <v>נהריה</v>
      </c>
      <c r="P19" s="121" t="str">
        <f t="shared" si="1"/>
        <v>חיפה הדר-כרמל</v>
      </c>
      <c r="S19" s="120">
        <v>14</v>
      </c>
      <c r="T19" s="120" t="s">
        <v>163</v>
      </c>
    </row>
    <row r="20" spans="1:20" x14ac:dyDescent="0.3">
      <c r="A20" s="60">
        <v>1</v>
      </c>
      <c r="B20" s="121">
        <v>15</v>
      </c>
      <c r="C20" s="79"/>
      <c r="D20" s="79"/>
      <c r="E20" s="79"/>
      <c r="F20" s="79"/>
      <c r="G20" s="94"/>
      <c r="I20" s="86" t="e">
        <f t="shared" si="2"/>
        <v>#DIV/0!</v>
      </c>
      <c r="J20" s="87" t="e">
        <f t="shared" si="0"/>
        <v>#DIV/0!</v>
      </c>
      <c r="K20" s="87" t="e">
        <f t="shared" si="0"/>
        <v>#DIV/0!</v>
      </c>
      <c r="L20" s="87" t="e">
        <f t="shared" si="0"/>
        <v>#DIV/0!</v>
      </c>
      <c r="M20" s="88" t="e">
        <f t="shared" si="0"/>
        <v>#DIV/0!</v>
      </c>
      <c r="O20" s="121" t="str">
        <f t="shared" si="3"/>
        <v>נהריה</v>
      </c>
      <c r="P20" s="121" t="str">
        <f t="shared" si="1"/>
        <v>חיפה מערב</v>
      </c>
      <c r="S20" s="120">
        <v>15</v>
      </c>
      <c r="T20" s="120" t="s">
        <v>164</v>
      </c>
    </row>
    <row r="21" spans="1:20" x14ac:dyDescent="0.3">
      <c r="A21" s="60">
        <v>1</v>
      </c>
      <c r="B21" s="121">
        <v>16</v>
      </c>
      <c r="C21" s="79"/>
      <c r="D21" s="79"/>
      <c r="E21" s="79"/>
      <c r="F21" s="79"/>
      <c r="G21" s="94"/>
      <c r="I21" s="86" t="e">
        <f t="shared" si="2"/>
        <v>#DIV/0!</v>
      </c>
      <c r="J21" s="87" t="e">
        <f t="shared" si="0"/>
        <v>#DIV/0!</v>
      </c>
      <c r="K21" s="87" t="e">
        <f t="shared" si="0"/>
        <v>#DIV/0!</v>
      </c>
      <c r="L21" s="87" t="e">
        <f t="shared" si="0"/>
        <v>#DIV/0!</v>
      </c>
      <c r="M21" s="88" t="e">
        <f t="shared" si="0"/>
        <v>#DIV/0!</v>
      </c>
      <c r="O21" s="121" t="str">
        <f t="shared" si="3"/>
        <v>נהריה</v>
      </c>
      <c r="P21" s="121" t="str">
        <f t="shared" si="1"/>
        <v>חיפה כרמל</v>
      </c>
      <c r="S21" s="120">
        <v>16</v>
      </c>
      <c r="T21" s="120" t="s">
        <v>165</v>
      </c>
    </row>
    <row r="22" spans="1:20" x14ac:dyDescent="0.3">
      <c r="A22" s="60">
        <v>1</v>
      </c>
      <c r="B22" s="121">
        <v>17</v>
      </c>
      <c r="C22" s="79"/>
      <c r="D22" s="79"/>
      <c r="E22" s="79"/>
      <c r="F22" s="79"/>
      <c r="G22" s="94"/>
      <c r="I22" s="86" t="e">
        <f t="shared" si="2"/>
        <v>#DIV/0!</v>
      </c>
      <c r="J22" s="87" t="e">
        <f t="shared" si="2"/>
        <v>#DIV/0!</v>
      </c>
      <c r="K22" s="87" t="e">
        <f t="shared" si="2"/>
        <v>#DIV/0!</v>
      </c>
      <c r="L22" s="87" t="e">
        <f t="shared" si="2"/>
        <v>#DIV/0!</v>
      </c>
      <c r="M22" s="88" t="e">
        <f t="shared" si="2"/>
        <v>#DIV/0!</v>
      </c>
      <c r="O22" s="121" t="str">
        <f t="shared" si="3"/>
        <v>נהריה</v>
      </c>
      <c r="P22" s="121" t="str">
        <f t="shared" si="1"/>
        <v>חיפה נווה שאנן</v>
      </c>
      <c r="S22" s="120">
        <v>17</v>
      </c>
      <c r="T22" s="120" t="s">
        <v>166</v>
      </c>
    </row>
    <row r="23" spans="1:20" x14ac:dyDescent="0.3">
      <c r="A23" s="60">
        <v>1</v>
      </c>
      <c r="B23" s="121">
        <v>18</v>
      </c>
      <c r="C23" s="79"/>
      <c r="D23" s="79"/>
      <c r="E23" s="79"/>
      <c r="F23" s="79"/>
      <c r="G23" s="94"/>
      <c r="I23" s="86" t="e">
        <f t="shared" si="2"/>
        <v>#DIV/0!</v>
      </c>
      <c r="J23" s="87" t="e">
        <f t="shared" si="2"/>
        <v>#DIV/0!</v>
      </c>
      <c r="K23" s="87" t="e">
        <f t="shared" si="2"/>
        <v>#DIV/0!</v>
      </c>
      <c r="L23" s="87" t="e">
        <f t="shared" si="2"/>
        <v>#DIV/0!</v>
      </c>
      <c r="M23" s="88" t="e">
        <f t="shared" si="2"/>
        <v>#DIV/0!</v>
      </c>
      <c r="O23" s="121" t="str">
        <f t="shared" si="3"/>
        <v>נהריה</v>
      </c>
      <c r="P23" s="121" t="str">
        <f t="shared" si="1"/>
        <v>נשר</v>
      </c>
      <c r="S23" s="120">
        <v>18</v>
      </c>
      <c r="T23" s="120" t="s">
        <v>167</v>
      </c>
    </row>
    <row r="24" spans="1:20" x14ac:dyDescent="0.3">
      <c r="A24" s="60">
        <v>1</v>
      </c>
      <c r="B24" s="121">
        <v>19</v>
      </c>
      <c r="C24" s="79"/>
      <c r="D24" s="79"/>
      <c r="E24" s="79"/>
      <c r="F24" s="79"/>
      <c r="G24" s="94"/>
      <c r="I24" s="86" t="e">
        <f t="shared" si="2"/>
        <v>#DIV/0!</v>
      </c>
      <c r="J24" s="87" t="e">
        <f t="shared" si="2"/>
        <v>#DIV/0!</v>
      </c>
      <c r="K24" s="87" t="e">
        <f t="shared" si="2"/>
        <v>#DIV/0!</v>
      </c>
      <c r="L24" s="87" t="e">
        <f t="shared" si="2"/>
        <v>#DIV/0!</v>
      </c>
      <c r="M24" s="88" t="e">
        <f t="shared" si="2"/>
        <v>#DIV/0!</v>
      </c>
      <c r="O24" s="121" t="str">
        <f t="shared" si="3"/>
        <v>נהריה</v>
      </c>
      <c r="P24" s="121" t="str">
        <f t="shared" si="1"/>
        <v>נצרת</v>
      </c>
      <c r="S24" s="120">
        <v>19</v>
      </c>
      <c r="T24" s="120" t="s">
        <v>168</v>
      </c>
    </row>
    <row r="25" spans="1:20" x14ac:dyDescent="0.3">
      <c r="A25" s="60">
        <v>1</v>
      </c>
      <c r="B25" s="121">
        <v>20</v>
      </c>
      <c r="C25" s="79"/>
      <c r="D25" s="79"/>
      <c r="E25" s="79"/>
      <c r="F25" s="79"/>
      <c r="G25" s="94"/>
      <c r="I25" s="86" t="e">
        <f t="shared" si="2"/>
        <v>#DIV/0!</v>
      </c>
      <c r="J25" s="87" t="e">
        <f t="shared" si="2"/>
        <v>#DIV/0!</v>
      </c>
      <c r="K25" s="87" t="e">
        <f t="shared" si="2"/>
        <v>#DIV/0!</v>
      </c>
      <c r="L25" s="87" t="e">
        <f t="shared" si="2"/>
        <v>#DIV/0!</v>
      </c>
      <c r="M25" s="88" t="e">
        <f t="shared" si="2"/>
        <v>#DIV/0!</v>
      </c>
      <c r="O25" s="121" t="str">
        <f t="shared" si="3"/>
        <v>נהריה</v>
      </c>
      <c r="P25" s="121" t="str">
        <f t="shared" si="1"/>
        <v>נצרת-עילית</v>
      </c>
      <c r="S25" s="120">
        <v>20</v>
      </c>
      <c r="T25" s="120" t="s">
        <v>169</v>
      </c>
    </row>
    <row r="26" spans="1:20" x14ac:dyDescent="0.3">
      <c r="A26" s="60">
        <v>1</v>
      </c>
      <c r="B26" s="121">
        <v>21</v>
      </c>
      <c r="C26" s="79"/>
      <c r="D26" s="79"/>
      <c r="E26" s="79"/>
      <c r="F26" s="79"/>
      <c r="G26" s="94"/>
      <c r="I26" s="86" t="e">
        <f t="shared" si="2"/>
        <v>#DIV/0!</v>
      </c>
      <c r="J26" s="87" t="e">
        <f t="shared" si="2"/>
        <v>#DIV/0!</v>
      </c>
      <c r="K26" s="87" t="e">
        <f t="shared" si="2"/>
        <v>#DIV/0!</v>
      </c>
      <c r="L26" s="87" t="e">
        <f t="shared" si="2"/>
        <v>#DIV/0!</v>
      </c>
      <c r="M26" s="88" t="e">
        <f t="shared" si="2"/>
        <v>#DIV/0!</v>
      </c>
      <c r="O26" s="121" t="str">
        <f t="shared" si="3"/>
        <v>נהריה</v>
      </c>
      <c r="P26" s="121" t="str">
        <f t="shared" si="1"/>
        <v>מגדל העמק</v>
      </c>
      <c r="S26" s="120">
        <v>21</v>
      </c>
      <c r="T26" s="120" t="s">
        <v>170</v>
      </c>
    </row>
    <row r="27" spans="1:20" x14ac:dyDescent="0.3">
      <c r="A27" s="60">
        <v>1</v>
      </c>
      <c r="B27" s="121">
        <v>22</v>
      </c>
      <c r="C27" s="79"/>
      <c r="D27" s="79"/>
      <c r="E27" s="79"/>
      <c r="F27" s="79"/>
      <c r="G27" s="94"/>
      <c r="I27" s="86" t="e">
        <f t="shared" si="2"/>
        <v>#DIV/0!</v>
      </c>
      <c r="J27" s="87" t="e">
        <f t="shared" si="2"/>
        <v>#DIV/0!</v>
      </c>
      <c r="K27" s="87" t="e">
        <f t="shared" si="2"/>
        <v>#DIV/0!</v>
      </c>
      <c r="L27" s="87" t="e">
        <f t="shared" si="2"/>
        <v>#DIV/0!</v>
      </c>
      <c r="M27" s="88" t="e">
        <f t="shared" si="2"/>
        <v>#DIV/0!</v>
      </c>
      <c r="O27" s="121" t="str">
        <f t="shared" si="3"/>
        <v>נהריה</v>
      </c>
      <c r="P27" s="121" t="str">
        <f t="shared" si="1"/>
        <v>יוקנעם</v>
      </c>
      <c r="S27" s="120">
        <v>22</v>
      </c>
      <c r="T27" s="120" t="s">
        <v>171</v>
      </c>
    </row>
    <row r="28" spans="1:20" x14ac:dyDescent="0.3">
      <c r="A28" s="60">
        <v>1</v>
      </c>
      <c r="B28" s="121">
        <v>23</v>
      </c>
      <c r="C28" s="79"/>
      <c r="D28" s="79"/>
      <c r="E28" s="79"/>
      <c r="F28" s="79"/>
      <c r="G28" s="94"/>
      <c r="I28" s="86" t="e">
        <f t="shared" si="2"/>
        <v>#DIV/0!</v>
      </c>
      <c r="J28" s="87" t="e">
        <f t="shared" si="2"/>
        <v>#DIV/0!</v>
      </c>
      <c r="K28" s="87" t="e">
        <f t="shared" si="2"/>
        <v>#DIV/0!</v>
      </c>
      <c r="L28" s="87" t="e">
        <f t="shared" si="2"/>
        <v>#DIV/0!</v>
      </c>
      <c r="M28" s="88" t="e">
        <f t="shared" si="2"/>
        <v>#DIV/0!</v>
      </c>
      <c r="O28" s="121" t="str">
        <f t="shared" si="3"/>
        <v>נהריה</v>
      </c>
      <c r="P28" s="121" t="str">
        <f t="shared" si="1"/>
        <v>דלית אל כרמל</v>
      </c>
      <c r="S28" s="120">
        <v>23</v>
      </c>
      <c r="T28" s="120" t="s">
        <v>172</v>
      </c>
    </row>
    <row r="29" spans="1:20" x14ac:dyDescent="0.3">
      <c r="A29" s="60">
        <v>1</v>
      </c>
      <c r="B29" s="121">
        <v>24</v>
      </c>
      <c r="C29" s="79"/>
      <c r="D29" s="79"/>
      <c r="E29" s="79"/>
      <c r="F29" s="79"/>
      <c r="G29" s="94"/>
      <c r="I29" s="86" t="e">
        <f t="shared" si="2"/>
        <v>#DIV/0!</v>
      </c>
      <c r="J29" s="87" t="e">
        <f t="shared" si="2"/>
        <v>#DIV/0!</v>
      </c>
      <c r="K29" s="87" t="e">
        <f t="shared" si="2"/>
        <v>#DIV/0!</v>
      </c>
      <c r="L29" s="87" t="e">
        <f t="shared" si="2"/>
        <v>#DIV/0!</v>
      </c>
      <c r="M29" s="88" t="e">
        <f t="shared" si="2"/>
        <v>#DIV/0!</v>
      </c>
      <c r="O29" s="121" t="str">
        <f t="shared" si="3"/>
        <v>נהריה</v>
      </c>
      <c r="P29" s="121" t="str">
        <f t="shared" si="1"/>
        <v>חוף הכרמל</v>
      </c>
      <c r="S29" s="120">
        <v>24</v>
      </c>
      <c r="T29" s="120" t="s">
        <v>173</v>
      </c>
    </row>
    <row r="30" spans="1:20" x14ac:dyDescent="0.3">
      <c r="A30" s="60">
        <v>1</v>
      </c>
      <c r="B30" s="121">
        <v>25</v>
      </c>
      <c r="C30" s="79"/>
      <c r="D30" s="79"/>
      <c r="E30" s="79"/>
      <c r="F30" s="79"/>
      <c r="G30" s="94"/>
      <c r="I30" s="86" t="e">
        <f t="shared" si="2"/>
        <v>#DIV/0!</v>
      </c>
      <c r="J30" s="87" t="e">
        <f t="shared" si="2"/>
        <v>#DIV/0!</v>
      </c>
      <c r="K30" s="87" t="e">
        <f t="shared" si="2"/>
        <v>#DIV/0!</v>
      </c>
      <c r="L30" s="87" t="e">
        <f t="shared" si="2"/>
        <v>#DIV/0!</v>
      </c>
      <c r="M30" s="88" t="e">
        <f t="shared" si="2"/>
        <v>#DIV/0!</v>
      </c>
      <c r="O30" s="121" t="str">
        <f t="shared" si="3"/>
        <v>נהריה</v>
      </c>
      <c r="P30" s="121" t="str">
        <f t="shared" si="1"/>
        <v>זכרון יעקב</v>
      </c>
      <c r="S30" s="120">
        <v>25</v>
      </c>
      <c r="T30" s="120" t="s">
        <v>174</v>
      </c>
    </row>
    <row r="31" spans="1:20" x14ac:dyDescent="0.3">
      <c r="A31" s="60">
        <v>1</v>
      </c>
      <c r="B31" s="121">
        <v>30</v>
      </c>
      <c r="C31" s="79"/>
      <c r="D31" s="79"/>
      <c r="E31" s="79"/>
      <c r="F31" s="79"/>
      <c r="G31" s="94"/>
      <c r="I31" s="86" t="e">
        <f t="shared" si="2"/>
        <v>#DIV/0!</v>
      </c>
      <c r="J31" s="87" t="e">
        <f t="shared" si="2"/>
        <v>#DIV/0!</v>
      </c>
      <c r="K31" s="87" t="e">
        <f t="shared" si="2"/>
        <v>#DIV/0!</v>
      </c>
      <c r="L31" s="87" t="e">
        <f t="shared" si="2"/>
        <v>#DIV/0!</v>
      </c>
      <c r="M31" s="88" t="e">
        <f t="shared" si="2"/>
        <v>#DIV/0!</v>
      </c>
      <c r="O31" s="121" t="str">
        <f t="shared" si="3"/>
        <v>נהריה</v>
      </c>
      <c r="P31" s="121" t="str">
        <f t="shared" si="1"/>
        <v>סכנין</v>
      </c>
      <c r="S31" s="120">
        <v>30</v>
      </c>
      <c r="T31" s="120" t="s">
        <v>175</v>
      </c>
    </row>
    <row r="32" spans="1:20" x14ac:dyDescent="0.3">
      <c r="A32" s="60">
        <v>2</v>
      </c>
      <c r="B32" s="121">
        <v>1</v>
      </c>
      <c r="C32" s="79"/>
      <c r="D32" s="79"/>
      <c r="E32" s="79"/>
      <c r="F32" s="79"/>
      <c r="G32" s="94"/>
      <c r="I32" s="86" t="e">
        <f t="shared" si="2"/>
        <v>#DIV/0!</v>
      </c>
      <c r="J32" s="87" t="e">
        <f t="shared" si="2"/>
        <v>#DIV/0!</v>
      </c>
      <c r="K32" s="87" t="e">
        <f t="shared" si="2"/>
        <v>#DIV/0!</v>
      </c>
      <c r="L32" s="87" t="e">
        <f t="shared" si="2"/>
        <v>#DIV/0!</v>
      </c>
      <c r="M32" s="88" t="e">
        <f t="shared" si="2"/>
        <v>#DIV/0!</v>
      </c>
      <c r="O32" s="121" t="str">
        <f t="shared" si="3"/>
        <v>עכו</v>
      </c>
      <c r="P32" s="121" t="str">
        <f t="shared" si="1"/>
        <v>נהריה</v>
      </c>
    </row>
    <row r="33" spans="1:16" x14ac:dyDescent="0.3">
      <c r="A33" s="60">
        <v>2</v>
      </c>
      <c r="B33" s="121">
        <v>2</v>
      </c>
      <c r="C33" s="79"/>
      <c r="D33" s="79"/>
      <c r="E33" s="79"/>
      <c r="F33" s="79"/>
      <c r="G33" s="94"/>
      <c r="I33" s="86" t="e">
        <f t="shared" si="2"/>
        <v>#DIV/0!</v>
      </c>
      <c r="J33" s="87" t="e">
        <f t="shared" si="2"/>
        <v>#DIV/0!</v>
      </c>
      <c r="K33" s="87" t="e">
        <f t="shared" si="2"/>
        <v>#DIV/0!</v>
      </c>
      <c r="L33" s="87" t="e">
        <f t="shared" si="2"/>
        <v>#DIV/0!</v>
      </c>
      <c r="M33" s="88" t="e">
        <f t="shared" si="2"/>
        <v>#DIV/0!</v>
      </c>
      <c r="O33" s="121" t="str">
        <f t="shared" si="3"/>
        <v>עכו</v>
      </c>
      <c r="P33" s="121" t="str">
        <f t="shared" si="1"/>
        <v>עכו</v>
      </c>
    </row>
    <row r="34" spans="1:16" x14ac:dyDescent="0.3">
      <c r="A34" s="60">
        <v>2</v>
      </c>
      <c r="B34" s="121">
        <v>3</v>
      </c>
      <c r="C34" s="79"/>
      <c r="D34" s="79"/>
      <c r="E34" s="79"/>
      <c r="F34" s="79"/>
      <c r="G34" s="94"/>
      <c r="I34" s="86" t="e">
        <f t="shared" si="2"/>
        <v>#DIV/0!</v>
      </c>
      <c r="J34" s="87" t="e">
        <f t="shared" si="2"/>
        <v>#DIV/0!</v>
      </c>
      <c r="K34" s="87" t="e">
        <f t="shared" si="2"/>
        <v>#DIV/0!</v>
      </c>
      <c r="L34" s="87" t="e">
        <f t="shared" si="2"/>
        <v>#DIV/0!</v>
      </c>
      <c r="M34" s="88" t="e">
        <f t="shared" si="2"/>
        <v>#DIV/0!</v>
      </c>
      <c r="O34" s="121" t="str">
        <f t="shared" si="3"/>
        <v>עכו</v>
      </c>
      <c r="P34" s="121" t="str">
        <f t="shared" si="1"/>
        <v>כרמיאל</v>
      </c>
    </row>
    <row r="35" spans="1:16" x14ac:dyDescent="0.3">
      <c r="A35" s="60">
        <v>2</v>
      </c>
      <c r="B35" s="121">
        <v>4</v>
      </c>
      <c r="C35" s="79"/>
      <c r="D35" s="79"/>
      <c r="E35" s="79"/>
      <c r="F35" s="79"/>
      <c r="G35" s="94"/>
      <c r="I35" s="86" t="e">
        <f t="shared" si="2"/>
        <v>#DIV/0!</v>
      </c>
      <c r="J35" s="87" t="e">
        <f t="shared" si="2"/>
        <v>#DIV/0!</v>
      </c>
      <c r="K35" s="87" t="e">
        <f t="shared" si="2"/>
        <v>#DIV/0!</v>
      </c>
      <c r="L35" s="87" t="e">
        <f t="shared" si="2"/>
        <v>#DIV/0!</v>
      </c>
      <c r="M35" s="88" t="e">
        <f t="shared" si="2"/>
        <v>#DIV/0!</v>
      </c>
      <c r="O35" s="121" t="str">
        <f t="shared" si="3"/>
        <v>עכו</v>
      </c>
      <c r="P35" s="121" t="str">
        <f t="shared" si="1"/>
        <v>שפרעם</v>
      </c>
    </row>
    <row r="36" spans="1:16" x14ac:dyDescent="0.3">
      <c r="A36" s="60">
        <v>2</v>
      </c>
      <c r="B36" s="121">
        <v>5</v>
      </c>
      <c r="C36" s="79"/>
      <c r="D36" s="79"/>
      <c r="E36" s="79"/>
      <c r="F36" s="79"/>
      <c r="G36" s="94"/>
      <c r="I36" s="86" t="e">
        <f t="shared" si="2"/>
        <v>#DIV/0!</v>
      </c>
      <c r="J36" s="87" t="e">
        <f t="shared" si="2"/>
        <v>#DIV/0!</v>
      </c>
      <c r="K36" s="87" t="e">
        <f t="shared" si="2"/>
        <v>#DIV/0!</v>
      </c>
      <c r="L36" s="87" t="e">
        <f t="shared" si="2"/>
        <v>#DIV/0!</v>
      </c>
      <c r="M36" s="88" t="e">
        <f t="shared" si="2"/>
        <v>#DIV/0!</v>
      </c>
      <c r="O36" s="121" t="str">
        <f t="shared" si="3"/>
        <v>עכו</v>
      </c>
      <c r="P36" s="121" t="str">
        <f t="shared" si="1"/>
        <v>קרית ים</v>
      </c>
    </row>
    <row r="37" spans="1:16" x14ac:dyDescent="0.3">
      <c r="A37" s="60">
        <v>2</v>
      </c>
      <c r="B37" s="121">
        <v>6</v>
      </c>
      <c r="C37" s="79"/>
      <c r="D37" s="79"/>
      <c r="E37" s="79"/>
      <c r="F37" s="79"/>
      <c r="G37" s="94"/>
      <c r="I37" s="86" t="e">
        <f t="shared" si="2"/>
        <v>#DIV/0!</v>
      </c>
      <c r="J37" s="87" t="e">
        <f t="shared" si="2"/>
        <v>#DIV/0!</v>
      </c>
      <c r="K37" s="87" t="e">
        <f t="shared" si="2"/>
        <v>#DIV/0!</v>
      </c>
      <c r="L37" s="87" t="e">
        <f t="shared" si="2"/>
        <v>#DIV/0!</v>
      </c>
      <c r="M37" s="88" t="e">
        <f t="shared" si="2"/>
        <v>#DIV/0!</v>
      </c>
      <c r="O37" s="121" t="str">
        <f t="shared" si="3"/>
        <v>עכו</v>
      </c>
      <c r="P37" s="121" t="str">
        <f t="shared" si="1"/>
        <v>קרית מוצקין</v>
      </c>
    </row>
    <row r="38" spans="1:16" x14ac:dyDescent="0.3">
      <c r="A38" s="60">
        <v>2</v>
      </c>
      <c r="B38" s="121">
        <v>7</v>
      </c>
      <c r="C38" s="79"/>
      <c r="D38" s="79"/>
      <c r="E38" s="79"/>
      <c r="F38" s="79"/>
      <c r="G38" s="94"/>
      <c r="I38" s="86" t="e">
        <f t="shared" si="2"/>
        <v>#DIV/0!</v>
      </c>
      <c r="J38" s="87" t="e">
        <f t="shared" si="2"/>
        <v>#DIV/0!</v>
      </c>
      <c r="K38" s="87" t="e">
        <f t="shared" si="2"/>
        <v>#DIV/0!</v>
      </c>
      <c r="L38" s="87" t="e">
        <f t="shared" si="2"/>
        <v>#DIV/0!</v>
      </c>
      <c r="M38" s="88" t="e">
        <f t="shared" si="2"/>
        <v>#DIV/0!</v>
      </c>
      <c r="O38" s="121" t="str">
        <f t="shared" si="3"/>
        <v>עכו</v>
      </c>
      <c r="P38" s="121" t="str">
        <f t="shared" si="1"/>
        <v>קרית ביאליק</v>
      </c>
    </row>
    <row r="39" spans="1:16" x14ac:dyDescent="0.3">
      <c r="A39" s="60">
        <v>2</v>
      </c>
      <c r="B39" s="121">
        <v>8</v>
      </c>
      <c r="C39" s="79"/>
      <c r="D39" s="79"/>
      <c r="E39" s="79"/>
      <c r="F39" s="79"/>
      <c r="G39" s="94"/>
      <c r="I39" s="86" t="e">
        <f t="shared" si="2"/>
        <v>#DIV/0!</v>
      </c>
      <c r="J39" s="87" t="e">
        <f t="shared" si="2"/>
        <v>#DIV/0!</v>
      </c>
      <c r="K39" s="87" t="e">
        <f t="shared" si="2"/>
        <v>#DIV/0!</v>
      </c>
      <c r="L39" s="87" t="e">
        <f t="shared" si="2"/>
        <v>#DIV/0!</v>
      </c>
      <c r="M39" s="88" t="e">
        <f t="shared" si="2"/>
        <v>#DIV/0!</v>
      </c>
      <c r="O39" s="121" t="str">
        <f t="shared" si="3"/>
        <v>עכו</v>
      </c>
      <c r="P39" s="121" t="str">
        <f t="shared" si="1"/>
        <v>קרית חיים</v>
      </c>
    </row>
    <row r="40" spans="1:16" x14ac:dyDescent="0.3">
      <c r="A40" s="60">
        <v>2</v>
      </c>
      <c r="B40" s="121">
        <v>9</v>
      </c>
      <c r="C40" s="79"/>
      <c r="D40" s="79"/>
      <c r="E40" s="79"/>
      <c r="F40" s="79"/>
      <c r="G40" s="94"/>
      <c r="I40" s="86" t="e">
        <f t="shared" si="2"/>
        <v>#DIV/0!</v>
      </c>
      <c r="J40" s="87" t="e">
        <f t="shared" si="2"/>
        <v>#DIV/0!</v>
      </c>
      <c r="K40" s="87" t="e">
        <f t="shared" si="2"/>
        <v>#DIV/0!</v>
      </c>
      <c r="L40" s="87" t="e">
        <f t="shared" si="2"/>
        <v>#DIV/0!</v>
      </c>
      <c r="M40" s="88" t="e">
        <f t="shared" si="2"/>
        <v>#DIV/0!</v>
      </c>
      <c r="O40" s="121" t="str">
        <f t="shared" si="3"/>
        <v>עכו</v>
      </c>
      <c r="P40" s="121" t="str">
        <f t="shared" si="1"/>
        <v>קרית אתא</v>
      </c>
    </row>
    <row r="41" spans="1:16" x14ac:dyDescent="0.3">
      <c r="A41" s="60">
        <v>2</v>
      </c>
      <c r="B41" s="121">
        <v>10</v>
      </c>
      <c r="C41" s="79"/>
      <c r="D41" s="79"/>
      <c r="E41" s="79"/>
      <c r="F41" s="79"/>
      <c r="G41" s="94"/>
      <c r="I41" s="86" t="e">
        <f t="shared" si="2"/>
        <v>#DIV/0!</v>
      </c>
      <c r="J41" s="87" t="e">
        <f t="shared" si="2"/>
        <v>#DIV/0!</v>
      </c>
      <c r="K41" s="87" t="e">
        <f t="shared" si="2"/>
        <v>#DIV/0!</v>
      </c>
      <c r="L41" s="87" t="e">
        <f t="shared" si="2"/>
        <v>#DIV/0!</v>
      </c>
      <c r="M41" s="88" t="e">
        <f t="shared" si="2"/>
        <v>#DIV/0!</v>
      </c>
      <c r="O41" s="121" t="str">
        <f t="shared" si="3"/>
        <v>עכו</v>
      </c>
      <c r="P41" s="121" t="str">
        <f t="shared" si="1"/>
        <v>כפר מנדא</v>
      </c>
    </row>
    <row r="42" spans="1:16" x14ac:dyDescent="0.3">
      <c r="A42" s="60">
        <v>2</v>
      </c>
      <c r="B42" s="121">
        <v>11</v>
      </c>
      <c r="C42" s="79"/>
      <c r="D42" s="79"/>
      <c r="E42" s="79"/>
      <c r="F42" s="79"/>
      <c r="G42" s="94"/>
      <c r="I42" s="86" t="e">
        <f t="shared" si="2"/>
        <v>#DIV/0!</v>
      </c>
      <c r="J42" s="87" t="e">
        <f t="shared" si="2"/>
        <v>#DIV/0!</v>
      </c>
      <c r="K42" s="87" t="e">
        <f t="shared" si="2"/>
        <v>#DIV/0!</v>
      </c>
      <c r="L42" s="87" t="e">
        <f t="shared" si="2"/>
        <v>#DIV/0!</v>
      </c>
      <c r="M42" s="88" t="e">
        <f t="shared" si="2"/>
        <v>#DIV/0!</v>
      </c>
      <c r="O42" s="121" t="str">
        <f t="shared" si="3"/>
        <v>עכו</v>
      </c>
      <c r="P42" s="121" t="str">
        <f t="shared" si="1"/>
        <v>זבולון</v>
      </c>
    </row>
    <row r="43" spans="1:16" x14ac:dyDescent="0.3">
      <c r="A43" s="60">
        <v>2</v>
      </c>
      <c r="B43" s="121">
        <v>12</v>
      </c>
      <c r="C43" s="79"/>
      <c r="D43" s="79"/>
      <c r="E43" s="79"/>
      <c r="F43" s="79"/>
      <c r="G43" s="94"/>
      <c r="I43" s="86" t="e">
        <f t="shared" si="2"/>
        <v>#DIV/0!</v>
      </c>
      <c r="J43" s="87" t="e">
        <f t="shared" si="2"/>
        <v>#DIV/0!</v>
      </c>
      <c r="K43" s="87" t="e">
        <f t="shared" si="2"/>
        <v>#DIV/0!</v>
      </c>
      <c r="L43" s="87" t="e">
        <f t="shared" si="2"/>
        <v>#DIV/0!</v>
      </c>
      <c r="M43" s="88" t="e">
        <f t="shared" si="2"/>
        <v>#DIV/0!</v>
      </c>
      <c r="O43" s="121" t="str">
        <f t="shared" si="3"/>
        <v>עכו</v>
      </c>
      <c r="P43" s="121" t="str">
        <f t="shared" si="1"/>
        <v>חיפה מפרץ</v>
      </c>
    </row>
    <row r="44" spans="1:16" x14ac:dyDescent="0.3">
      <c r="A44" s="60">
        <v>2</v>
      </c>
      <c r="B44" s="121">
        <v>13</v>
      </c>
      <c r="C44" s="79"/>
      <c r="D44" s="79"/>
      <c r="E44" s="79"/>
      <c r="F44" s="79"/>
      <c r="G44" s="94"/>
      <c r="I44" s="86" t="e">
        <f t="shared" si="2"/>
        <v>#DIV/0!</v>
      </c>
      <c r="J44" s="87" t="e">
        <f t="shared" si="2"/>
        <v>#DIV/0!</v>
      </c>
      <c r="K44" s="87" t="e">
        <f t="shared" si="2"/>
        <v>#DIV/0!</v>
      </c>
      <c r="L44" s="87" t="e">
        <f t="shared" si="2"/>
        <v>#DIV/0!</v>
      </c>
      <c r="M44" s="88" t="e">
        <f t="shared" si="2"/>
        <v>#DIV/0!</v>
      </c>
      <c r="O44" s="121" t="str">
        <f t="shared" si="3"/>
        <v>עכו</v>
      </c>
      <c r="P44" s="121" t="str">
        <f t="shared" si="1"/>
        <v>חיפה עיר תחתית</v>
      </c>
    </row>
    <row r="45" spans="1:16" x14ac:dyDescent="0.3">
      <c r="A45" s="60">
        <v>2</v>
      </c>
      <c r="B45" s="121">
        <v>14</v>
      </c>
      <c r="C45" s="79"/>
      <c r="D45" s="79"/>
      <c r="E45" s="79"/>
      <c r="F45" s="79"/>
      <c r="G45" s="94"/>
      <c r="I45" s="86" t="e">
        <f t="shared" si="2"/>
        <v>#DIV/0!</v>
      </c>
      <c r="J45" s="87" t="e">
        <f t="shared" si="2"/>
        <v>#DIV/0!</v>
      </c>
      <c r="K45" s="87" t="e">
        <f t="shared" si="2"/>
        <v>#DIV/0!</v>
      </c>
      <c r="L45" s="87" t="e">
        <f t="shared" si="2"/>
        <v>#DIV/0!</v>
      </c>
      <c r="M45" s="88" t="e">
        <f t="shared" si="2"/>
        <v>#DIV/0!</v>
      </c>
      <c r="O45" s="121" t="str">
        <f t="shared" si="3"/>
        <v>עכו</v>
      </c>
      <c r="P45" s="121" t="str">
        <f t="shared" si="1"/>
        <v>חיפה הדר-כרמל</v>
      </c>
    </row>
    <row r="46" spans="1:16" x14ac:dyDescent="0.3">
      <c r="A46" s="60">
        <v>2</v>
      </c>
      <c r="B46" s="121">
        <v>15</v>
      </c>
      <c r="C46" s="79"/>
      <c r="D46" s="79"/>
      <c r="E46" s="79"/>
      <c r="F46" s="79"/>
      <c r="G46" s="94"/>
      <c r="I46" s="86" t="e">
        <f t="shared" si="2"/>
        <v>#DIV/0!</v>
      </c>
      <c r="J46" s="87" t="e">
        <f t="shared" si="2"/>
        <v>#DIV/0!</v>
      </c>
      <c r="K46" s="87" t="e">
        <f t="shared" si="2"/>
        <v>#DIV/0!</v>
      </c>
      <c r="L46" s="87" t="e">
        <f t="shared" si="2"/>
        <v>#DIV/0!</v>
      </c>
      <c r="M46" s="88" t="e">
        <f t="shared" si="2"/>
        <v>#DIV/0!</v>
      </c>
      <c r="O46" s="121" t="str">
        <f t="shared" si="3"/>
        <v>עכו</v>
      </c>
      <c r="P46" s="121" t="str">
        <f t="shared" si="1"/>
        <v>חיפה מערב</v>
      </c>
    </row>
    <row r="47" spans="1:16" x14ac:dyDescent="0.3">
      <c r="A47" s="60">
        <v>2</v>
      </c>
      <c r="B47" s="121">
        <v>16</v>
      </c>
      <c r="C47" s="79"/>
      <c r="D47" s="79"/>
      <c r="E47" s="79"/>
      <c r="F47" s="79"/>
      <c r="G47" s="94"/>
      <c r="I47" s="86" t="e">
        <f t="shared" si="2"/>
        <v>#DIV/0!</v>
      </c>
      <c r="J47" s="87" t="e">
        <f t="shared" si="2"/>
        <v>#DIV/0!</v>
      </c>
      <c r="K47" s="87" t="e">
        <f t="shared" si="2"/>
        <v>#DIV/0!</v>
      </c>
      <c r="L47" s="87" t="e">
        <f t="shared" si="2"/>
        <v>#DIV/0!</v>
      </c>
      <c r="M47" s="88" t="e">
        <f t="shared" si="2"/>
        <v>#DIV/0!</v>
      </c>
      <c r="O47" s="121" t="str">
        <f t="shared" si="3"/>
        <v>עכו</v>
      </c>
      <c r="P47" s="121" t="str">
        <f t="shared" si="1"/>
        <v>חיפה כרמל</v>
      </c>
    </row>
    <row r="48" spans="1:16" x14ac:dyDescent="0.3">
      <c r="A48" s="60">
        <v>2</v>
      </c>
      <c r="B48" s="121">
        <v>17</v>
      </c>
      <c r="C48" s="79"/>
      <c r="D48" s="79"/>
      <c r="E48" s="79"/>
      <c r="F48" s="79"/>
      <c r="G48" s="94"/>
      <c r="I48" s="86" t="e">
        <f t="shared" si="2"/>
        <v>#DIV/0!</v>
      </c>
      <c r="J48" s="87" t="e">
        <f t="shared" si="2"/>
        <v>#DIV/0!</v>
      </c>
      <c r="K48" s="87" t="e">
        <f t="shared" si="2"/>
        <v>#DIV/0!</v>
      </c>
      <c r="L48" s="87" t="e">
        <f t="shared" si="2"/>
        <v>#DIV/0!</v>
      </c>
      <c r="M48" s="88" t="e">
        <f t="shared" si="2"/>
        <v>#DIV/0!</v>
      </c>
      <c r="O48" s="121" t="str">
        <f t="shared" si="3"/>
        <v>עכו</v>
      </c>
      <c r="P48" s="121" t="str">
        <f t="shared" si="1"/>
        <v>חיפה נווה שאנן</v>
      </c>
    </row>
    <row r="49" spans="1:16" x14ac:dyDescent="0.3">
      <c r="A49" s="60">
        <v>2</v>
      </c>
      <c r="B49" s="121">
        <v>18</v>
      </c>
      <c r="C49" s="79"/>
      <c r="D49" s="79"/>
      <c r="E49" s="79"/>
      <c r="F49" s="79"/>
      <c r="G49" s="94"/>
      <c r="I49" s="86" t="e">
        <f t="shared" si="2"/>
        <v>#DIV/0!</v>
      </c>
      <c r="J49" s="87" t="e">
        <f t="shared" si="2"/>
        <v>#DIV/0!</v>
      </c>
      <c r="K49" s="87" t="e">
        <f t="shared" si="2"/>
        <v>#DIV/0!</v>
      </c>
      <c r="L49" s="87" t="e">
        <f t="shared" si="2"/>
        <v>#DIV/0!</v>
      </c>
      <c r="M49" s="88" t="e">
        <f t="shared" si="2"/>
        <v>#DIV/0!</v>
      </c>
      <c r="O49" s="121" t="str">
        <f t="shared" si="3"/>
        <v>עכו</v>
      </c>
      <c r="P49" s="121" t="str">
        <f t="shared" si="1"/>
        <v>נשר</v>
      </c>
    </row>
    <row r="50" spans="1:16" x14ac:dyDescent="0.3">
      <c r="A50" s="60">
        <v>2</v>
      </c>
      <c r="B50" s="121">
        <v>19</v>
      </c>
      <c r="C50" s="79"/>
      <c r="D50" s="79"/>
      <c r="E50" s="79"/>
      <c r="F50" s="79"/>
      <c r="G50" s="94"/>
      <c r="I50" s="86" t="e">
        <f t="shared" si="2"/>
        <v>#DIV/0!</v>
      </c>
      <c r="J50" s="87" t="e">
        <f t="shared" si="2"/>
        <v>#DIV/0!</v>
      </c>
      <c r="K50" s="87" t="e">
        <f t="shared" si="2"/>
        <v>#DIV/0!</v>
      </c>
      <c r="L50" s="87" t="e">
        <f t="shared" si="2"/>
        <v>#DIV/0!</v>
      </c>
      <c r="M50" s="88" t="e">
        <f t="shared" si="2"/>
        <v>#DIV/0!</v>
      </c>
      <c r="O50" s="121" t="str">
        <f t="shared" si="3"/>
        <v>עכו</v>
      </c>
      <c r="P50" s="121" t="str">
        <f t="shared" si="1"/>
        <v>נצרת</v>
      </c>
    </row>
    <row r="51" spans="1:16" x14ac:dyDescent="0.3">
      <c r="A51" s="60">
        <v>2</v>
      </c>
      <c r="B51" s="121">
        <v>20</v>
      </c>
      <c r="C51" s="79"/>
      <c r="D51" s="79"/>
      <c r="E51" s="79"/>
      <c r="F51" s="79"/>
      <c r="G51" s="94"/>
      <c r="I51" s="86" t="e">
        <f t="shared" si="2"/>
        <v>#DIV/0!</v>
      </c>
      <c r="J51" s="87" t="e">
        <f t="shared" si="2"/>
        <v>#DIV/0!</v>
      </c>
      <c r="K51" s="87" t="e">
        <f t="shared" si="2"/>
        <v>#DIV/0!</v>
      </c>
      <c r="L51" s="87" t="e">
        <f t="shared" si="2"/>
        <v>#DIV/0!</v>
      </c>
      <c r="M51" s="88" t="e">
        <f t="shared" si="2"/>
        <v>#DIV/0!</v>
      </c>
      <c r="O51" s="121" t="str">
        <f t="shared" si="3"/>
        <v>עכו</v>
      </c>
      <c r="P51" s="121" t="str">
        <f t="shared" si="1"/>
        <v>נצרת-עילית</v>
      </c>
    </row>
    <row r="52" spans="1:16" x14ac:dyDescent="0.3">
      <c r="A52" s="60">
        <v>2</v>
      </c>
      <c r="B52" s="121">
        <v>21</v>
      </c>
      <c r="C52" s="79"/>
      <c r="D52" s="79"/>
      <c r="E52" s="79"/>
      <c r="F52" s="79"/>
      <c r="G52" s="94"/>
      <c r="I52" s="86" t="e">
        <f t="shared" si="2"/>
        <v>#DIV/0!</v>
      </c>
      <c r="J52" s="87" t="e">
        <f t="shared" si="2"/>
        <v>#DIV/0!</v>
      </c>
      <c r="K52" s="87" t="e">
        <f t="shared" si="2"/>
        <v>#DIV/0!</v>
      </c>
      <c r="L52" s="87" t="e">
        <f t="shared" si="2"/>
        <v>#DIV/0!</v>
      </c>
      <c r="M52" s="88" t="e">
        <f t="shared" si="2"/>
        <v>#DIV/0!</v>
      </c>
      <c r="O52" s="121" t="str">
        <f t="shared" si="3"/>
        <v>עכו</v>
      </c>
      <c r="P52" s="121" t="str">
        <f t="shared" si="1"/>
        <v>מגדל העמק</v>
      </c>
    </row>
    <row r="53" spans="1:16" x14ac:dyDescent="0.3">
      <c r="A53" s="60">
        <v>2</v>
      </c>
      <c r="B53" s="121">
        <v>22</v>
      </c>
      <c r="C53" s="79"/>
      <c r="D53" s="79"/>
      <c r="E53" s="79"/>
      <c r="F53" s="79"/>
      <c r="G53" s="94"/>
      <c r="I53" s="86" t="e">
        <f t="shared" si="2"/>
        <v>#DIV/0!</v>
      </c>
      <c r="J53" s="87" t="e">
        <f t="shared" si="2"/>
        <v>#DIV/0!</v>
      </c>
      <c r="K53" s="87" t="e">
        <f t="shared" si="2"/>
        <v>#DIV/0!</v>
      </c>
      <c r="L53" s="87" t="e">
        <f t="shared" si="2"/>
        <v>#DIV/0!</v>
      </c>
      <c r="M53" s="88" t="e">
        <f t="shared" si="2"/>
        <v>#DIV/0!</v>
      </c>
      <c r="O53" s="121" t="str">
        <f t="shared" si="3"/>
        <v>עכו</v>
      </c>
      <c r="P53" s="121" t="str">
        <f t="shared" si="1"/>
        <v>יוקנעם</v>
      </c>
    </row>
    <row r="54" spans="1:16" x14ac:dyDescent="0.3">
      <c r="A54" s="60">
        <v>2</v>
      </c>
      <c r="B54" s="121">
        <v>23</v>
      </c>
      <c r="C54" s="79"/>
      <c r="D54" s="79"/>
      <c r="E54" s="79"/>
      <c r="F54" s="79"/>
      <c r="G54" s="94"/>
      <c r="I54" s="86" t="e">
        <f t="shared" si="2"/>
        <v>#DIV/0!</v>
      </c>
      <c r="J54" s="87" t="e">
        <f t="shared" si="2"/>
        <v>#DIV/0!</v>
      </c>
      <c r="K54" s="87" t="e">
        <f t="shared" si="2"/>
        <v>#DIV/0!</v>
      </c>
      <c r="L54" s="87" t="e">
        <f t="shared" si="2"/>
        <v>#DIV/0!</v>
      </c>
      <c r="M54" s="88" t="e">
        <f t="shared" si="2"/>
        <v>#DIV/0!</v>
      </c>
      <c r="O54" s="121" t="str">
        <f t="shared" si="3"/>
        <v>עכו</v>
      </c>
      <c r="P54" s="121" t="str">
        <f t="shared" si="1"/>
        <v>דלית אל כרמל</v>
      </c>
    </row>
    <row r="55" spans="1:16" x14ac:dyDescent="0.3">
      <c r="A55" s="60">
        <v>2</v>
      </c>
      <c r="B55" s="121">
        <v>24</v>
      </c>
      <c r="C55" s="79"/>
      <c r="D55" s="79"/>
      <c r="E55" s="79"/>
      <c r="F55" s="79"/>
      <c r="G55" s="94"/>
      <c r="I55" s="86" t="e">
        <f t="shared" si="2"/>
        <v>#DIV/0!</v>
      </c>
      <c r="J55" s="87" t="e">
        <f t="shared" si="2"/>
        <v>#DIV/0!</v>
      </c>
      <c r="K55" s="87" t="e">
        <f t="shared" si="2"/>
        <v>#DIV/0!</v>
      </c>
      <c r="L55" s="87" t="e">
        <f t="shared" si="2"/>
        <v>#DIV/0!</v>
      </c>
      <c r="M55" s="88" t="e">
        <f t="shared" si="2"/>
        <v>#DIV/0!</v>
      </c>
      <c r="O55" s="121" t="str">
        <f t="shared" si="3"/>
        <v>עכו</v>
      </c>
      <c r="P55" s="121" t="str">
        <f t="shared" si="1"/>
        <v>חוף הכרמל</v>
      </c>
    </row>
    <row r="56" spans="1:16" x14ac:dyDescent="0.3">
      <c r="A56" s="60">
        <v>2</v>
      </c>
      <c r="B56" s="121">
        <v>25</v>
      </c>
      <c r="C56" s="79"/>
      <c r="D56" s="79"/>
      <c r="E56" s="79"/>
      <c r="F56" s="79"/>
      <c r="G56" s="94"/>
      <c r="I56" s="86" t="e">
        <f t="shared" si="2"/>
        <v>#DIV/0!</v>
      </c>
      <c r="J56" s="87" t="e">
        <f t="shared" si="2"/>
        <v>#DIV/0!</v>
      </c>
      <c r="K56" s="87" t="e">
        <f t="shared" si="2"/>
        <v>#DIV/0!</v>
      </c>
      <c r="L56" s="87" t="e">
        <f t="shared" si="2"/>
        <v>#DIV/0!</v>
      </c>
      <c r="M56" s="88" t="e">
        <f t="shared" si="2"/>
        <v>#DIV/0!</v>
      </c>
      <c r="O56" s="121" t="str">
        <f t="shared" si="3"/>
        <v>עכו</v>
      </c>
      <c r="P56" s="121" t="str">
        <f t="shared" si="1"/>
        <v>זכרון יעקב</v>
      </c>
    </row>
    <row r="57" spans="1:16" x14ac:dyDescent="0.3">
      <c r="A57" s="60">
        <v>2</v>
      </c>
      <c r="B57" s="121">
        <v>30</v>
      </c>
      <c r="C57" s="79"/>
      <c r="D57" s="79"/>
      <c r="E57" s="79"/>
      <c r="F57" s="79"/>
      <c r="G57" s="94"/>
      <c r="I57" s="86" t="e">
        <f t="shared" si="2"/>
        <v>#DIV/0!</v>
      </c>
      <c r="J57" s="87" t="e">
        <f t="shared" si="2"/>
        <v>#DIV/0!</v>
      </c>
      <c r="K57" s="87" t="e">
        <f t="shared" si="2"/>
        <v>#DIV/0!</v>
      </c>
      <c r="L57" s="87" t="e">
        <f t="shared" si="2"/>
        <v>#DIV/0!</v>
      </c>
      <c r="M57" s="88" t="e">
        <f t="shared" si="2"/>
        <v>#DIV/0!</v>
      </c>
      <c r="O57" s="121" t="str">
        <f t="shared" si="3"/>
        <v>עכו</v>
      </c>
      <c r="P57" s="121" t="str">
        <f t="shared" si="1"/>
        <v>סכנין</v>
      </c>
    </row>
    <row r="58" spans="1:16" x14ac:dyDescent="0.3">
      <c r="A58" s="60">
        <v>3</v>
      </c>
      <c r="B58" s="121">
        <v>1</v>
      </c>
      <c r="C58" s="79"/>
      <c r="D58" s="79"/>
      <c r="E58" s="79"/>
      <c r="F58" s="79"/>
      <c r="G58" s="94"/>
      <c r="I58" s="86" t="e">
        <f t="shared" si="2"/>
        <v>#DIV/0!</v>
      </c>
      <c r="J58" s="87" t="e">
        <f t="shared" si="2"/>
        <v>#DIV/0!</v>
      </c>
      <c r="K58" s="87" t="e">
        <f t="shared" si="2"/>
        <v>#DIV/0!</v>
      </c>
      <c r="L58" s="87" t="e">
        <f t="shared" si="2"/>
        <v>#DIV/0!</v>
      </c>
      <c r="M58" s="88" t="e">
        <f t="shared" si="2"/>
        <v>#DIV/0!</v>
      </c>
      <c r="O58" s="121" t="str">
        <f t="shared" si="3"/>
        <v>כרמיאל</v>
      </c>
      <c r="P58" s="121" t="str">
        <f t="shared" si="1"/>
        <v>נהריה</v>
      </c>
    </row>
    <row r="59" spans="1:16" x14ac:dyDescent="0.3">
      <c r="A59" s="60">
        <v>3</v>
      </c>
      <c r="B59" s="121">
        <v>2</v>
      </c>
      <c r="C59" s="79"/>
      <c r="D59" s="79"/>
      <c r="E59" s="79"/>
      <c r="F59" s="79"/>
      <c r="G59" s="94"/>
      <c r="I59" s="86" t="e">
        <f t="shared" si="2"/>
        <v>#DIV/0!</v>
      </c>
      <c r="J59" s="87" t="e">
        <f t="shared" si="2"/>
        <v>#DIV/0!</v>
      </c>
      <c r="K59" s="87" t="e">
        <f t="shared" si="2"/>
        <v>#DIV/0!</v>
      </c>
      <c r="L59" s="87" t="e">
        <f t="shared" si="2"/>
        <v>#DIV/0!</v>
      </c>
      <c r="M59" s="88" t="e">
        <f t="shared" si="2"/>
        <v>#DIV/0!</v>
      </c>
      <c r="O59" s="121" t="str">
        <f t="shared" si="3"/>
        <v>כרמיאל</v>
      </c>
      <c r="P59" s="121" t="str">
        <f t="shared" si="1"/>
        <v>עכו</v>
      </c>
    </row>
    <row r="60" spans="1:16" x14ac:dyDescent="0.3">
      <c r="A60" s="60">
        <v>3</v>
      </c>
      <c r="B60" s="121">
        <v>3</v>
      </c>
      <c r="C60" s="79"/>
      <c r="D60" s="79"/>
      <c r="E60" s="79"/>
      <c r="F60" s="79"/>
      <c r="G60" s="94"/>
      <c r="I60" s="86" t="e">
        <f t="shared" si="2"/>
        <v>#DIV/0!</v>
      </c>
      <c r="J60" s="87" t="e">
        <f t="shared" si="2"/>
        <v>#DIV/0!</v>
      </c>
      <c r="K60" s="87" t="e">
        <f t="shared" si="2"/>
        <v>#DIV/0!</v>
      </c>
      <c r="L60" s="87" t="e">
        <f t="shared" si="2"/>
        <v>#DIV/0!</v>
      </c>
      <c r="M60" s="88" t="e">
        <f t="shared" si="2"/>
        <v>#DIV/0!</v>
      </c>
      <c r="O60" s="121" t="str">
        <f t="shared" si="3"/>
        <v>כרמיאל</v>
      </c>
      <c r="P60" s="121" t="str">
        <f t="shared" si="1"/>
        <v>כרמיאל</v>
      </c>
    </row>
    <row r="61" spans="1:16" x14ac:dyDescent="0.3">
      <c r="A61" s="60">
        <v>3</v>
      </c>
      <c r="B61" s="121">
        <v>4</v>
      </c>
      <c r="C61" s="79"/>
      <c r="D61" s="79"/>
      <c r="E61" s="79"/>
      <c r="F61" s="79"/>
      <c r="G61" s="94"/>
      <c r="I61" s="86" t="e">
        <f t="shared" si="2"/>
        <v>#DIV/0!</v>
      </c>
      <c r="J61" s="87" t="e">
        <f t="shared" si="2"/>
        <v>#DIV/0!</v>
      </c>
      <c r="K61" s="87" t="e">
        <f t="shared" si="2"/>
        <v>#DIV/0!</v>
      </c>
      <c r="L61" s="87" t="e">
        <f t="shared" si="2"/>
        <v>#DIV/0!</v>
      </c>
      <c r="M61" s="88" t="e">
        <f t="shared" si="2"/>
        <v>#DIV/0!</v>
      </c>
      <c r="O61" s="121" t="str">
        <f t="shared" si="3"/>
        <v>כרמיאל</v>
      </c>
      <c r="P61" s="121" t="str">
        <f t="shared" si="1"/>
        <v>שפרעם</v>
      </c>
    </row>
    <row r="62" spans="1:16" x14ac:dyDescent="0.3">
      <c r="A62" s="60">
        <v>3</v>
      </c>
      <c r="B62" s="121">
        <v>5</v>
      </c>
      <c r="C62" s="79"/>
      <c r="D62" s="79"/>
      <c r="E62" s="79"/>
      <c r="F62" s="79"/>
      <c r="G62" s="94"/>
      <c r="I62" s="86" t="e">
        <f t="shared" si="2"/>
        <v>#DIV/0!</v>
      </c>
      <c r="J62" s="87" t="e">
        <f t="shared" si="2"/>
        <v>#DIV/0!</v>
      </c>
      <c r="K62" s="87" t="e">
        <f t="shared" si="2"/>
        <v>#DIV/0!</v>
      </c>
      <c r="L62" s="87" t="e">
        <f t="shared" si="2"/>
        <v>#DIV/0!</v>
      </c>
      <c r="M62" s="88" t="e">
        <f t="shared" si="2"/>
        <v>#DIV/0!</v>
      </c>
      <c r="O62" s="121" t="str">
        <f t="shared" si="3"/>
        <v>כרמיאל</v>
      </c>
      <c r="P62" s="121" t="str">
        <f t="shared" si="1"/>
        <v>קרית ים</v>
      </c>
    </row>
    <row r="63" spans="1:16" x14ac:dyDescent="0.3">
      <c r="A63" s="60">
        <v>3</v>
      </c>
      <c r="B63" s="121">
        <v>6</v>
      </c>
      <c r="C63" s="79"/>
      <c r="D63" s="79"/>
      <c r="E63" s="79"/>
      <c r="F63" s="79"/>
      <c r="G63" s="94"/>
      <c r="I63" s="86" t="e">
        <f t="shared" si="2"/>
        <v>#DIV/0!</v>
      </c>
      <c r="J63" s="87" t="e">
        <f t="shared" si="2"/>
        <v>#DIV/0!</v>
      </c>
      <c r="K63" s="87" t="e">
        <f t="shared" si="2"/>
        <v>#DIV/0!</v>
      </c>
      <c r="L63" s="87" t="e">
        <f t="shared" si="2"/>
        <v>#DIV/0!</v>
      </c>
      <c r="M63" s="88" t="e">
        <f t="shared" si="2"/>
        <v>#DIV/0!</v>
      </c>
      <c r="O63" s="121" t="str">
        <f t="shared" si="3"/>
        <v>כרמיאל</v>
      </c>
      <c r="P63" s="121" t="str">
        <f t="shared" si="1"/>
        <v>קרית מוצקין</v>
      </c>
    </row>
    <row r="64" spans="1:16" x14ac:dyDescent="0.3">
      <c r="A64" s="60">
        <v>3</v>
      </c>
      <c r="B64" s="121">
        <v>7</v>
      </c>
      <c r="C64" s="79"/>
      <c r="D64" s="79"/>
      <c r="E64" s="79"/>
      <c r="F64" s="79"/>
      <c r="G64" s="94"/>
      <c r="I64" s="86" t="e">
        <f t="shared" si="2"/>
        <v>#DIV/0!</v>
      </c>
      <c r="J64" s="87" t="e">
        <f t="shared" si="2"/>
        <v>#DIV/0!</v>
      </c>
      <c r="K64" s="87" t="e">
        <f t="shared" si="2"/>
        <v>#DIV/0!</v>
      </c>
      <c r="L64" s="87" t="e">
        <f t="shared" si="2"/>
        <v>#DIV/0!</v>
      </c>
      <c r="M64" s="88" t="e">
        <f t="shared" si="2"/>
        <v>#DIV/0!</v>
      </c>
      <c r="O64" s="121" t="str">
        <f t="shared" si="3"/>
        <v>כרמיאל</v>
      </c>
      <c r="P64" s="121" t="str">
        <f t="shared" si="1"/>
        <v>קרית ביאליק</v>
      </c>
    </row>
    <row r="65" spans="1:16" x14ac:dyDescent="0.3">
      <c r="A65" s="60">
        <v>3</v>
      </c>
      <c r="B65" s="121">
        <v>8</v>
      </c>
      <c r="C65" s="79"/>
      <c r="D65" s="79"/>
      <c r="E65" s="79"/>
      <c r="F65" s="79"/>
      <c r="G65" s="94"/>
      <c r="I65" s="86" t="e">
        <f t="shared" si="2"/>
        <v>#DIV/0!</v>
      </c>
      <c r="J65" s="87" t="e">
        <f t="shared" si="2"/>
        <v>#DIV/0!</v>
      </c>
      <c r="K65" s="87" t="e">
        <f t="shared" si="2"/>
        <v>#DIV/0!</v>
      </c>
      <c r="L65" s="87" t="e">
        <f t="shared" si="2"/>
        <v>#DIV/0!</v>
      </c>
      <c r="M65" s="88" t="e">
        <f t="shared" si="2"/>
        <v>#DIV/0!</v>
      </c>
      <c r="O65" s="121" t="str">
        <f t="shared" si="3"/>
        <v>כרמיאל</v>
      </c>
      <c r="P65" s="121" t="str">
        <f t="shared" si="1"/>
        <v>קרית חיים</v>
      </c>
    </row>
    <row r="66" spans="1:16" x14ac:dyDescent="0.3">
      <c r="A66" s="60">
        <v>3</v>
      </c>
      <c r="B66" s="121">
        <v>9</v>
      </c>
      <c r="C66" s="79"/>
      <c r="D66" s="79"/>
      <c r="E66" s="79"/>
      <c r="F66" s="79"/>
      <c r="G66" s="94"/>
      <c r="I66" s="86" t="e">
        <f t="shared" si="2"/>
        <v>#DIV/0!</v>
      </c>
      <c r="J66" s="87" t="e">
        <f t="shared" si="2"/>
        <v>#DIV/0!</v>
      </c>
      <c r="K66" s="87" t="e">
        <f t="shared" si="2"/>
        <v>#DIV/0!</v>
      </c>
      <c r="L66" s="87" t="e">
        <f t="shared" si="2"/>
        <v>#DIV/0!</v>
      </c>
      <c r="M66" s="88" t="e">
        <f t="shared" si="2"/>
        <v>#DIV/0!</v>
      </c>
      <c r="O66" s="121" t="str">
        <f t="shared" si="3"/>
        <v>כרמיאל</v>
      </c>
      <c r="P66" s="121" t="str">
        <f t="shared" si="1"/>
        <v>קרית אתא</v>
      </c>
    </row>
    <row r="67" spans="1:16" x14ac:dyDescent="0.3">
      <c r="A67" s="60">
        <v>3</v>
      </c>
      <c r="B67" s="121">
        <v>10</v>
      </c>
      <c r="C67" s="79"/>
      <c r="D67" s="79"/>
      <c r="E67" s="79"/>
      <c r="F67" s="79"/>
      <c r="G67" s="94"/>
      <c r="I67" s="86" t="e">
        <f t="shared" si="2"/>
        <v>#DIV/0!</v>
      </c>
      <c r="J67" s="87" t="e">
        <f t="shared" si="2"/>
        <v>#DIV/0!</v>
      </c>
      <c r="K67" s="87" t="e">
        <f t="shared" si="2"/>
        <v>#DIV/0!</v>
      </c>
      <c r="L67" s="87" t="e">
        <f t="shared" si="2"/>
        <v>#DIV/0!</v>
      </c>
      <c r="M67" s="88" t="e">
        <f t="shared" si="2"/>
        <v>#DIV/0!</v>
      </c>
      <c r="O67" s="121" t="str">
        <f t="shared" si="3"/>
        <v>כרמיאל</v>
      </c>
      <c r="P67" s="121" t="str">
        <f t="shared" si="1"/>
        <v>כפר מנדא</v>
      </c>
    </row>
    <row r="68" spans="1:16" x14ac:dyDescent="0.3">
      <c r="A68" s="60">
        <v>3</v>
      </c>
      <c r="B68" s="121">
        <v>11</v>
      </c>
      <c r="C68" s="79"/>
      <c r="D68" s="79"/>
      <c r="E68" s="79"/>
      <c r="F68" s="79"/>
      <c r="G68" s="94"/>
      <c r="I68" s="86" t="e">
        <f t="shared" si="2"/>
        <v>#DIV/0!</v>
      </c>
      <c r="J68" s="87" t="e">
        <f t="shared" si="2"/>
        <v>#DIV/0!</v>
      </c>
      <c r="K68" s="87" t="e">
        <f t="shared" si="2"/>
        <v>#DIV/0!</v>
      </c>
      <c r="L68" s="87" t="e">
        <f t="shared" si="2"/>
        <v>#DIV/0!</v>
      </c>
      <c r="M68" s="88" t="e">
        <f t="shared" si="2"/>
        <v>#DIV/0!</v>
      </c>
      <c r="O68" s="121" t="str">
        <f t="shared" si="3"/>
        <v>כרמיאל</v>
      </c>
      <c r="P68" s="121" t="str">
        <f t="shared" si="1"/>
        <v>זבולון</v>
      </c>
    </row>
    <row r="69" spans="1:16" x14ac:dyDescent="0.3">
      <c r="A69" s="60">
        <v>3</v>
      </c>
      <c r="B69" s="121">
        <v>12</v>
      </c>
      <c r="C69" s="79"/>
      <c r="D69" s="79"/>
      <c r="E69" s="79"/>
      <c r="F69" s="79"/>
      <c r="G69" s="94"/>
      <c r="I69" s="86" t="e">
        <f t="shared" si="2"/>
        <v>#DIV/0!</v>
      </c>
      <c r="J69" s="87" t="e">
        <f t="shared" si="2"/>
        <v>#DIV/0!</v>
      </c>
      <c r="K69" s="87" t="e">
        <f t="shared" si="2"/>
        <v>#DIV/0!</v>
      </c>
      <c r="L69" s="87" t="e">
        <f t="shared" si="2"/>
        <v>#DIV/0!</v>
      </c>
      <c r="M69" s="88" t="e">
        <f t="shared" si="2"/>
        <v>#DIV/0!</v>
      </c>
      <c r="O69" s="121" t="str">
        <f t="shared" si="3"/>
        <v>כרמיאל</v>
      </c>
      <c r="P69" s="121" t="str">
        <f t="shared" si="1"/>
        <v>חיפה מפרץ</v>
      </c>
    </row>
    <row r="70" spans="1:16" x14ac:dyDescent="0.3">
      <c r="A70" s="60">
        <v>3</v>
      </c>
      <c r="B70" s="121">
        <v>13</v>
      </c>
      <c r="C70" s="79"/>
      <c r="D70" s="79"/>
      <c r="E70" s="79"/>
      <c r="F70" s="79"/>
      <c r="G70" s="94"/>
      <c r="I70" s="86" t="e">
        <f t="shared" ref="I70:M120" si="4">C70/SUM($C70:$G70)</f>
        <v>#DIV/0!</v>
      </c>
      <c r="J70" s="87" t="e">
        <f t="shared" si="4"/>
        <v>#DIV/0!</v>
      </c>
      <c r="K70" s="87" t="e">
        <f t="shared" si="4"/>
        <v>#DIV/0!</v>
      </c>
      <c r="L70" s="87" t="e">
        <f t="shared" si="4"/>
        <v>#DIV/0!</v>
      </c>
      <c r="M70" s="88" t="e">
        <f t="shared" si="4"/>
        <v>#DIV/0!</v>
      </c>
      <c r="O70" s="121" t="str">
        <f t="shared" si="3"/>
        <v>כרמיאל</v>
      </c>
      <c r="P70" s="121" t="str">
        <f t="shared" si="3"/>
        <v>חיפה עיר תחתית</v>
      </c>
    </row>
    <row r="71" spans="1:16" x14ac:dyDescent="0.3">
      <c r="A71" s="60">
        <v>3</v>
      </c>
      <c r="B71" s="121">
        <v>14</v>
      </c>
      <c r="C71" s="79"/>
      <c r="D71" s="79"/>
      <c r="E71" s="79"/>
      <c r="F71" s="79"/>
      <c r="G71" s="94"/>
      <c r="I71" s="86" t="e">
        <f t="shared" si="4"/>
        <v>#DIV/0!</v>
      </c>
      <c r="J71" s="87" t="e">
        <f t="shared" si="4"/>
        <v>#DIV/0!</v>
      </c>
      <c r="K71" s="87" t="e">
        <f t="shared" si="4"/>
        <v>#DIV/0!</v>
      </c>
      <c r="L71" s="87" t="e">
        <f t="shared" si="4"/>
        <v>#DIV/0!</v>
      </c>
      <c r="M71" s="88" t="e">
        <f t="shared" si="4"/>
        <v>#DIV/0!</v>
      </c>
      <c r="O71" s="121" t="str">
        <f t="shared" si="3"/>
        <v>כרמיאל</v>
      </c>
      <c r="P71" s="121" t="str">
        <f t="shared" si="3"/>
        <v>חיפה הדר-כרמל</v>
      </c>
    </row>
    <row r="72" spans="1:16" x14ac:dyDescent="0.3">
      <c r="A72" s="60">
        <v>3</v>
      </c>
      <c r="B72" s="121">
        <v>15</v>
      </c>
      <c r="C72" s="79"/>
      <c r="D72" s="79"/>
      <c r="E72" s="79"/>
      <c r="F72" s="79"/>
      <c r="G72" s="94"/>
      <c r="I72" s="86" t="e">
        <f t="shared" si="4"/>
        <v>#DIV/0!</v>
      </c>
      <c r="J72" s="87" t="e">
        <f t="shared" si="4"/>
        <v>#DIV/0!</v>
      </c>
      <c r="K72" s="87" t="e">
        <f t="shared" si="4"/>
        <v>#DIV/0!</v>
      </c>
      <c r="L72" s="87" t="e">
        <f t="shared" si="4"/>
        <v>#DIV/0!</v>
      </c>
      <c r="M72" s="88" t="e">
        <f t="shared" si="4"/>
        <v>#DIV/0!</v>
      </c>
      <c r="O72" s="121" t="str">
        <f t="shared" ref="O72:P135" si="5">VLOOKUP(A72,$S$6:$T$31,2,0)</f>
        <v>כרמיאל</v>
      </c>
      <c r="P72" s="121" t="str">
        <f t="shared" si="5"/>
        <v>חיפה מערב</v>
      </c>
    </row>
    <row r="73" spans="1:16" x14ac:dyDescent="0.3">
      <c r="A73" s="60">
        <v>3</v>
      </c>
      <c r="B73" s="121">
        <v>16</v>
      </c>
      <c r="C73" s="79"/>
      <c r="D73" s="79"/>
      <c r="E73" s="79"/>
      <c r="F73" s="79"/>
      <c r="G73" s="94"/>
      <c r="I73" s="86" t="e">
        <f t="shared" si="4"/>
        <v>#DIV/0!</v>
      </c>
      <c r="J73" s="87" t="e">
        <f t="shared" si="4"/>
        <v>#DIV/0!</v>
      </c>
      <c r="K73" s="87" t="e">
        <f t="shared" si="4"/>
        <v>#DIV/0!</v>
      </c>
      <c r="L73" s="87" t="e">
        <f t="shared" si="4"/>
        <v>#DIV/0!</v>
      </c>
      <c r="M73" s="88" t="e">
        <f t="shared" si="4"/>
        <v>#DIV/0!</v>
      </c>
      <c r="O73" s="121" t="str">
        <f t="shared" si="5"/>
        <v>כרמיאל</v>
      </c>
      <c r="P73" s="121" t="str">
        <f t="shared" si="5"/>
        <v>חיפה כרמל</v>
      </c>
    </row>
    <row r="74" spans="1:16" x14ac:dyDescent="0.3">
      <c r="A74" s="60">
        <v>3</v>
      </c>
      <c r="B74" s="121">
        <v>17</v>
      </c>
      <c r="C74" s="79"/>
      <c r="D74" s="79"/>
      <c r="E74" s="79"/>
      <c r="F74" s="79"/>
      <c r="G74" s="94"/>
      <c r="I74" s="86" t="e">
        <f t="shared" si="4"/>
        <v>#DIV/0!</v>
      </c>
      <c r="J74" s="87" t="e">
        <f t="shared" si="4"/>
        <v>#DIV/0!</v>
      </c>
      <c r="K74" s="87" t="e">
        <f t="shared" si="4"/>
        <v>#DIV/0!</v>
      </c>
      <c r="L74" s="87" t="e">
        <f t="shared" si="4"/>
        <v>#DIV/0!</v>
      </c>
      <c r="M74" s="88" t="e">
        <f t="shared" si="4"/>
        <v>#DIV/0!</v>
      </c>
      <c r="O74" s="121" t="str">
        <f t="shared" si="5"/>
        <v>כרמיאל</v>
      </c>
      <c r="P74" s="121" t="str">
        <f t="shared" si="5"/>
        <v>חיפה נווה שאנן</v>
      </c>
    </row>
    <row r="75" spans="1:16" x14ac:dyDescent="0.3">
      <c r="A75" s="60">
        <v>3</v>
      </c>
      <c r="B75" s="121">
        <v>18</v>
      </c>
      <c r="C75" s="79"/>
      <c r="D75" s="79"/>
      <c r="E75" s="79"/>
      <c r="F75" s="79"/>
      <c r="G75" s="94"/>
      <c r="I75" s="86" t="e">
        <f t="shared" si="4"/>
        <v>#DIV/0!</v>
      </c>
      <c r="J75" s="87" t="e">
        <f t="shared" si="4"/>
        <v>#DIV/0!</v>
      </c>
      <c r="K75" s="87" t="e">
        <f t="shared" si="4"/>
        <v>#DIV/0!</v>
      </c>
      <c r="L75" s="87" t="e">
        <f t="shared" si="4"/>
        <v>#DIV/0!</v>
      </c>
      <c r="M75" s="88" t="e">
        <f t="shared" si="4"/>
        <v>#DIV/0!</v>
      </c>
      <c r="O75" s="121" t="str">
        <f t="shared" si="5"/>
        <v>כרמיאל</v>
      </c>
      <c r="P75" s="121" t="str">
        <f t="shared" si="5"/>
        <v>נשר</v>
      </c>
    </row>
    <row r="76" spans="1:16" x14ac:dyDescent="0.3">
      <c r="A76" s="60">
        <v>3</v>
      </c>
      <c r="B76" s="121">
        <v>19</v>
      </c>
      <c r="C76" s="79"/>
      <c r="D76" s="79"/>
      <c r="E76" s="79"/>
      <c r="F76" s="79"/>
      <c r="G76" s="94"/>
      <c r="I76" s="86" t="e">
        <f t="shared" si="4"/>
        <v>#DIV/0!</v>
      </c>
      <c r="J76" s="87" t="e">
        <f t="shared" si="4"/>
        <v>#DIV/0!</v>
      </c>
      <c r="K76" s="87" t="e">
        <f t="shared" si="4"/>
        <v>#DIV/0!</v>
      </c>
      <c r="L76" s="87" t="e">
        <f t="shared" si="4"/>
        <v>#DIV/0!</v>
      </c>
      <c r="M76" s="88" t="e">
        <f t="shared" si="4"/>
        <v>#DIV/0!</v>
      </c>
      <c r="O76" s="121" t="str">
        <f t="shared" si="5"/>
        <v>כרמיאל</v>
      </c>
      <c r="P76" s="121" t="str">
        <f t="shared" si="5"/>
        <v>נצרת</v>
      </c>
    </row>
    <row r="77" spans="1:16" x14ac:dyDescent="0.3">
      <c r="A77" s="60">
        <v>3</v>
      </c>
      <c r="B77" s="121">
        <v>20</v>
      </c>
      <c r="C77" s="79"/>
      <c r="D77" s="79"/>
      <c r="E77" s="79"/>
      <c r="F77" s="79"/>
      <c r="G77" s="94"/>
      <c r="I77" s="86" t="e">
        <f t="shared" si="4"/>
        <v>#DIV/0!</v>
      </c>
      <c r="J77" s="87" t="e">
        <f t="shared" si="4"/>
        <v>#DIV/0!</v>
      </c>
      <c r="K77" s="87" t="e">
        <f t="shared" si="4"/>
        <v>#DIV/0!</v>
      </c>
      <c r="L77" s="87" t="e">
        <f t="shared" si="4"/>
        <v>#DIV/0!</v>
      </c>
      <c r="M77" s="88" t="e">
        <f t="shared" si="4"/>
        <v>#DIV/0!</v>
      </c>
      <c r="O77" s="121" t="str">
        <f t="shared" si="5"/>
        <v>כרמיאל</v>
      </c>
      <c r="P77" s="121" t="str">
        <f t="shared" si="5"/>
        <v>נצרת-עילית</v>
      </c>
    </row>
    <row r="78" spans="1:16" x14ac:dyDescent="0.3">
      <c r="A78" s="60">
        <v>3</v>
      </c>
      <c r="B78" s="121">
        <v>21</v>
      </c>
      <c r="C78" s="79"/>
      <c r="D78" s="79"/>
      <c r="E78" s="79"/>
      <c r="F78" s="79"/>
      <c r="G78" s="94"/>
      <c r="I78" s="86" t="e">
        <f t="shared" si="4"/>
        <v>#DIV/0!</v>
      </c>
      <c r="J78" s="87" t="e">
        <f t="shared" si="4"/>
        <v>#DIV/0!</v>
      </c>
      <c r="K78" s="87" t="e">
        <f t="shared" si="4"/>
        <v>#DIV/0!</v>
      </c>
      <c r="L78" s="87" t="e">
        <f t="shared" si="4"/>
        <v>#DIV/0!</v>
      </c>
      <c r="M78" s="88" t="e">
        <f t="shared" si="4"/>
        <v>#DIV/0!</v>
      </c>
      <c r="O78" s="121" t="str">
        <f t="shared" si="5"/>
        <v>כרמיאל</v>
      </c>
      <c r="P78" s="121" t="str">
        <f t="shared" si="5"/>
        <v>מגדל העמק</v>
      </c>
    </row>
    <row r="79" spans="1:16" x14ac:dyDescent="0.3">
      <c r="A79" s="60">
        <v>3</v>
      </c>
      <c r="B79" s="121">
        <v>22</v>
      </c>
      <c r="C79" s="79"/>
      <c r="D79" s="79"/>
      <c r="E79" s="79"/>
      <c r="F79" s="79"/>
      <c r="G79" s="94"/>
      <c r="I79" s="86" t="e">
        <f t="shared" si="4"/>
        <v>#DIV/0!</v>
      </c>
      <c r="J79" s="87" t="e">
        <f t="shared" si="4"/>
        <v>#DIV/0!</v>
      </c>
      <c r="K79" s="87" t="e">
        <f t="shared" si="4"/>
        <v>#DIV/0!</v>
      </c>
      <c r="L79" s="87" t="e">
        <f t="shared" si="4"/>
        <v>#DIV/0!</v>
      </c>
      <c r="M79" s="88" t="e">
        <f t="shared" si="4"/>
        <v>#DIV/0!</v>
      </c>
      <c r="O79" s="121" t="str">
        <f t="shared" si="5"/>
        <v>כרמיאל</v>
      </c>
      <c r="P79" s="121" t="str">
        <f t="shared" si="5"/>
        <v>יוקנעם</v>
      </c>
    </row>
    <row r="80" spans="1:16" x14ac:dyDescent="0.3">
      <c r="A80" s="60">
        <v>3</v>
      </c>
      <c r="B80" s="121">
        <v>23</v>
      </c>
      <c r="C80" s="79"/>
      <c r="D80" s="79"/>
      <c r="E80" s="79"/>
      <c r="F80" s="79"/>
      <c r="G80" s="94"/>
      <c r="I80" s="86" t="e">
        <f t="shared" si="4"/>
        <v>#DIV/0!</v>
      </c>
      <c r="J80" s="87" t="e">
        <f t="shared" si="4"/>
        <v>#DIV/0!</v>
      </c>
      <c r="K80" s="87" t="e">
        <f t="shared" si="4"/>
        <v>#DIV/0!</v>
      </c>
      <c r="L80" s="87" t="e">
        <f t="shared" si="4"/>
        <v>#DIV/0!</v>
      </c>
      <c r="M80" s="88" t="e">
        <f t="shared" si="4"/>
        <v>#DIV/0!</v>
      </c>
      <c r="O80" s="121" t="str">
        <f t="shared" si="5"/>
        <v>כרמיאל</v>
      </c>
      <c r="P80" s="121" t="str">
        <f t="shared" si="5"/>
        <v>דלית אל כרמל</v>
      </c>
    </row>
    <row r="81" spans="1:16" x14ac:dyDescent="0.3">
      <c r="A81" s="60">
        <v>3</v>
      </c>
      <c r="B81" s="121">
        <v>24</v>
      </c>
      <c r="C81" s="79"/>
      <c r="D81" s="79"/>
      <c r="E81" s="79"/>
      <c r="F81" s="79"/>
      <c r="G81" s="94"/>
      <c r="I81" s="86" t="e">
        <f t="shared" si="4"/>
        <v>#DIV/0!</v>
      </c>
      <c r="J81" s="87" t="e">
        <f t="shared" si="4"/>
        <v>#DIV/0!</v>
      </c>
      <c r="K81" s="87" t="e">
        <f t="shared" si="4"/>
        <v>#DIV/0!</v>
      </c>
      <c r="L81" s="87" t="e">
        <f t="shared" si="4"/>
        <v>#DIV/0!</v>
      </c>
      <c r="M81" s="88" t="e">
        <f t="shared" si="4"/>
        <v>#DIV/0!</v>
      </c>
      <c r="O81" s="121" t="str">
        <f t="shared" si="5"/>
        <v>כרמיאל</v>
      </c>
      <c r="P81" s="121" t="str">
        <f t="shared" si="5"/>
        <v>חוף הכרמל</v>
      </c>
    </row>
    <row r="82" spans="1:16" x14ac:dyDescent="0.3">
      <c r="A82" s="60">
        <v>3</v>
      </c>
      <c r="B82" s="121">
        <v>25</v>
      </c>
      <c r="C82" s="79"/>
      <c r="D82" s="79"/>
      <c r="E82" s="79"/>
      <c r="F82" s="79"/>
      <c r="G82" s="94"/>
      <c r="I82" s="86" t="e">
        <f t="shared" si="4"/>
        <v>#DIV/0!</v>
      </c>
      <c r="J82" s="87" t="e">
        <f t="shared" si="4"/>
        <v>#DIV/0!</v>
      </c>
      <c r="K82" s="87" t="e">
        <f t="shared" si="4"/>
        <v>#DIV/0!</v>
      </c>
      <c r="L82" s="87" t="e">
        <f t="shared" si="4"/>
        <v>#DIV/0!</v>
      </c>
      <c r="M82" s="88" t="e">
        <f t="shared" si="4"/>
        <v>#DIV/0!</v>
      </c>
      <c r="O82" s="121" t="str">
        <f t="shared" si="5"/>
        <v>כרמיאל</v>
      </c>
      <c r="P82" s="121" t="str">
        <f t="shared" si="5"/>
        <v>זכרון יעקב</v>
      </c>
    </row>
    <row r="83" spans="1:16" x14ac:dyDescent="0.3">
      <c r="A83" s="60">
        <v>3</v>
      </c>
      <c r="B83" s="121">
        <v>30</v>
      </c>
      <c r="C83" s="79"/>
      <c r="D83" s="79"/>
      <c r="E83" s="79"/>
      <c r="F83" s="79"/>
      <c r="G83" s="94"/>
      <c r="I83" s="86" t="e">
        <f t="shared" si="4"/>
        <v>#DIV/0!</v>
      </c>
      <c r="J83" s="87" t="e">
        <f t="shared" si="4"/>
        <v>#DIV/0!</v>
      </c>
      <c r="K83" s="87" t="e">
        <f t="shared" si="4"/>
        <v>#DIV/0!</v>
      </c>
      <c r="L83" s="87" t="e">
        <f t="shared" si="4"/>
        <v>#DIV/0!</v>
      </c>
      <c r="M83" s="88" t="e">
        <f t="shared" si="4"/>
        <v>#DIV/0!</v>
      </c>
      <c r="O83" s="121" t="str">
        <f t="shared" si="5"/>
        <v>כרמיאל</v>
      </c>
      <c r="P83" s="121" t="str">
        <f t="shared" si="5"/>
        <v>סכנין</v>
      </c>
    </row>
    <row r="84" spans="1:16" x14ac:dyDescent="0.3">
      <c r="A84" s="60">
        <v>4</v>
      </c>
      <c r="B84" s="121">
        <v>1</v>
      </c>
      <c r="C84" s="79"/>
      <c r="D84" s="79"/>
      <c r="E84" s="79"/>
      <c r="F84" s="79"/>
      <c r="G84" s="94"/>
      <c r="I84" s="86" t="e">
        <f t="shared" si="4"/>
        <v>#DIV/0!</v>
      </c>
      <c r="J84" s="87" t="e">
        <f t="shared" si="4"/>
        <v>#DIV/0!</v>
      </c>
      <c r="K84" s="87" t="e">
        <f t="shared" si="4"/>
        <v>#DIV/0!</v>
      </c>
      <c r="L84" s="87" t="e">
        <f t="shared" si="4"/>
        <v>#DIV/0!</v>
      </c>
      <c r="M84" s="88" t="e">
        <f t="shared" si="4"/>
        <v>#DIV/0!</v>
      </c>
      <c r="O84" s="121" t="str">
        <f t="shared" si="5"/>
        <v>שפרעם</v>
      </c>
      <c r="P84" s="121" t="str">
        <f t="shared" si="5"/>
        <v>נהריה</v>
      </c>
    </row>
    <row r="85" spans="1:16" x14ac:dyDescent="0.3">
      <c r="A85" s="60">
        <v>4</v>
      </c>
      <c r="B85" s="121">
        <v>2</v>
      </c>
      <c r="C85" s="79"/>
      <c r="D85" s="79"/>
      <c r="E85" s="79"/>
      <c r="F85" s="79"/>
      <c r="G85" s="94"/>
      <c r="I85" s="86" t="e">
        <f t="shared" si="4"/>
        <v>#DIV/0!</v>
      </c>
      <c r="J85" s="87" t="e">
        <f t="shared" si="4"/>
        <v>#DIV/0!</v>
      </c>
      <c r="K85" s="87" t="e">
        <f t="shared" si="4"/>
        <v>#DIV/0!</v>
      </c>
      <c r="L85" s="87" t="e">
        <f t="shared" si="4"/>
        <v>#DIV/0!</v>
      </c>
      <c r="M85" s="88" t="e">
        <f t="shared" si="4"/>
        <v>#DIV/0!</v>
      </c>
      <c r="O85" s="121" t="str">
        <f t="shared" si="5"/>
        <v>שפרעם</v>
      </c>
      <c r="P85" s="121" t="str">
        <f t="shared" si="5"/>
        <v>עכו</v>
      </c>
    </row>
    <row r="86" spans="1:16" x14ac:dyDescent="0.3">
      <c r="A86" s="60">
        <v>4</v>
      </c>
      <c r="B86" s="121">
        <v>3</v>
      </c>
      <c r="C86" s="79"/>
      <c r="D86" s="79"/>
      <c r="E86" s="79"/>
      <c r="F86" s="79"/>
      <c r="G86" s="94"/>
      <c r="I86" s="86" t="e">
        <f t="shared" si="4"/>
        <v>#DIV/0!</v>
      </c>
      <c r="J86" s="87" t="e">
        <f t="shared" si="4"/>
        <v>#DIV/0!</v>
      </c>
      <c r="K86" s="87" t="e">
        <f t="shared" si="4"/>
        <v>#DIV/0!</v>
      </c>
      <c r="L86" s="87" t="e">
        <f t="shared" si="4"/>
        <v>#DIV/0!</v>
      </c>
      <c r="M86" s="88" t="e">
        <f t="shared" si="4"/>
        <v>#DIV/0!</v>
      </c>
      <c r="O86" s="121" t="str">
        <f t="shared" si="5"/>
        <v>שפרעם</v>
      </c>
      <c r="P86" s="121" t="str">
        <f t="shared" si="5"/>
        <v>כרמיאל</v>
      </c>
    </row>
    <row r="87" spans="1:16" x14ac:dyDescent="0.3">
      <c r="A87" s="60">
        <v>4</v>
      </c>
      <c r="B87" s="121">
        <v>4</v>
      </c>
      <c r="C87" s="79"/>
      <c r="D87" s="79"/>
      <c r="E87" s="79"/>
      <c r="F87" s="79"/>
      <c r="G87" s="94"/>
      <c r="I87" s="86" t="e">
        <f t="shared" si="4"/>
        <v>#DIV/0!</v>
      </c>
      <c r="J87" s="87" t="e">
        <f t="shared" si="4"/>
        <v>#DIV/0!</v>
      </c>
      <c r="K87" s="87" t="e">
        <f t="shared" si="4"/>
        <v>#DIV/0!</v>
      </c>
      <c r="L87" s="87" t="e">
        <f t="shared" si="4"/>
        <v>#DIV/0!</v>
      </c>
      <c r="M87" s="88" t="e">
        <f t="shared" si="4"/>
        <v>#DIV/0!</v>
      </c>
      <c r="O87" s="121" t="str">
        <f t="shared" si="5"/>
        <v>שפרעם</v>
      </c>
      <c r="P87" s="121" t="str">
        <f t="shared" si="5"/>
        <v>שפרעם</v>
      </c>
    </row>
    <row r="88" spans="1:16" x14ac:dyDescent="0.3">
      <c r="A88" s="60">
        <v>4</v>
      </c>
      <c r="B88" s="121">
        <v>5</v>
      </c>
      <c r="C88" s="79"/>
      <c r="D88" s="79"/>
      <c r="E88" s="79"/>
      <c r="F88" s="79"/>
      <c r="G88" s="94"/>
      <c r="I88" s="86" t="e">
        <f t="shared" si="4"/>
        <v>#DIV/0!</v>
      </c>
      <c r="J88" s="87" t="e">
        <f t="shared" si="4"/>
        <v>#DIV/0!</v>
      </c>
      <c r="K88" s="87" t="e">
        <f t="shared" si="4"/>
        <v>#DIV/0!</v>
      </c>
      <c r="L88" s="87" t="e">
        <f t="shared" si="4"/>
        <v>#DIV/0!</v>
      </c>
      <c r="M88" s="88" t="e">
        <f t="shared" si="4"/>
        <v>#DIV/0!</v>
      </c>
      <c r="O88" s="121" t="str">
        <f t="shared" si="5"/>
        <v>שפרעם</v>
      </c>
      <c r="P88" s="121" t="str">
        <f t="shared" si="5"/>
        <v>קרית ים</v>
      </c>
    </row>
    <row r="89" spans="1:16" x14ac:dyDescent="0.3">
      <c r="A89" s="60">
        <v>4</v>
      </c>
      <c r="B89" s="121">
        <v>6</v>
      </c>
      <c r="C89" s="79"/>
      <c r="D89" s="79"/>
      <c r="E89" s="79"/>
      <c r="F89" s="79"/>
      <c r="G89" s="94"/>
      <c r="I89" s="86" t="e">
        <f t="shared" si="4"/>
        <v>#DIV/0!</v>
      </c>
      <c r="J89" s="87" t="e">
        <f t="shared" si="4"/>
        <v>#DIV/0!</v>
      </c>
      <c r="K89" s="87" t="e">
        <f t="shared" si="4"/>
        <v>#DIV/0!</v>
      </c>
      <c r="L89" s="87" t="e">
        <f t="shared" si="4"/>
        <v>#DIV/0!</v>
      </c>
      <c r="M89" s="88" t="e">
        <f t="shared" si="4"/>
        <v>#DIV/0!</v>
      </c>
      <c r="O89" s="121" t="str">
        <f t="shared" si="5"/>
        <v>שפרעם</v>
      </c>
      <c r="P89" s="121" t="str">
        <f t="shared" si="5"/>
        <v>קרית מוצקין</v>
      </c>
    </row>
    <row r="90" spans="1:16" x14ac:dyDescent="0.3">
      <c r="A90" s="60">
        <v>4</v>
      </c>
      <c r="B90" s="121">
        <v>7</v>
      </c>
      <c r="C90" s="79"/>
      <c r="D90" s="79"/>
      <c r="E90" s="79"/>
      <c r="F90" s="79"/>
      <c r="G90" s="94"/>
      <c r="I90" s="86" t="e">
        <f t="shared" si="4"/>
        <v>#DIV/0!</v>
      </c>
      <c r="J90" s="87" t="e">
        <f t="shared" si="4"/>
        <v>#DIV/0!</v>
      </c>
      <c r="K90" s="87" t="e">
        <f t="shared" si="4"/>
        <v>#DIV/0!</v>
      </c>
      <c r="L90" s="87" t="e">
        <f t="shared" si="4"/>
        <v>#DIV/0!</v>
      </c>
      <c r="M90" s="88" t="e">
        <f t="shared" si="4"/>
        <v>#DIV/0!</v>
      </c>
      <c r="O90" s="121" t="str">
        <f t="shared" si="5"/>
        <v>שפרעם</v>
      </c>
      <c r="P90" s="121" t="str">
        <f t="shared" si="5"/>
        <v>קרית ביאליק</v>
      </c>
    </row>
    <row r="91" spans="1:16" x14ac:dyDescent="0.3">
      <c r="A91" s="60">
        <v>4</v>
      </c>
      <c r="B91" s="121">
        <v>8</v>
      </c>
      <c r="C91" s="79"/>
      <c r="D91" s="79"/>
      <c r="E91" s="79"/>
      <c r="F91" s="79"/>
      <c r="G91" s="94"/>
      <c r="I91" s="86" t="e">
        <f t="shared" si="4"/>
        <v>#DIV/0!</v>
      </c>
      <c r="J91" s="87" t="e">
        <f t="shared" si="4"/>
        <v>#DIV/0!</v>
      </c>
      <c r="K91" s="87" t="e">
        <f t="shared" si="4"/>
        <v>#DIV/0!</v>
      </c>
      <c r="L91" s="87" t="e">
        <f t="shared" si="4"/>
        <v>#DIV/0!</v>
      </c>
      <c r="M91" s="88" t="e">
        <f t="shared" si="4"/>
        <v>#DIV/0!</v>
      </c>
      <c r="O91" s="121" t="str">
        <f t="shared" si="5"/>
        <v>שפרעם</v>
      </c>
      <c r="P91" s="121" t="str">
        <f t="shared" si="5"/>
        <v>קרית חיים</v>
      </c>
    </row>
    <row r="92" spans="1:16" x14ac:dyDescent="0.3">
      <c r="A92" s="60">
        <v>4</v>
      </c>
      <c r="B92" s="121">
        <v>9</v>
      </c>
      <c r="C92" s="79"/>
      <c r="D92" s="79"/>
      <c r="E92" s="79"/>
      <c r="F92" s="79"/>
      <c r="G92" s="94"/>
      <c r="I92" s="86" t="e">
        <f t="shared" si="4"/>
        <v>#DIV/0!</v>
      </c>
      <c r="J92" s="87" t="e">
        <f t="shared" si="4"/>
        <v>#DIV/0!</v>
      </c>
      <c r="K92" s="87" t="e">
        <f t="shared" si="4"/>
        <v>#DIV/0!</v>
      </c>
      <c r="L92" s="87" t="e">
        <f t="shared" si="4"/>
        <v>#DIV/0!</v>
      </c>
      <c r="M92" s="88" t="e">
        <f t="shared" si="4"/>
        <v>#DIV/0!</v>
      </c>
      <c r="O92" s="121" t="str">
        <f t="shared" si="5"/>
        <v>שפרעם</v>
      </c>
      <c r="P92" s="121" t="str">
        <f t="shared" si="5"/>
        <v>קרית אתא</v>
      </c>
    </row>
    <row r="93" spans="1:16" x14ac:dyDescent="0.3">
      <c r="A93" s="60">
        <v>4</v>
      </c>
      <c r="B93" s="121">
        <v>10</v>
      </c>
      <c r="C93" s="79"/>
      <c r="D93" s="79"/>
      <c r="E93" s="79"/>
      <c r="F93" s="79"/>
      <c r="G93" s="94"/>
      <c r="I93" s="86" t="e">
        <f t="shared" si="4"/>
        <v>#DIV/0!</v>
      </c>
      <c r="J93" s="87" t="e">
        <f t="shared" si="4"/>
        <v>#DIV/0!</v>
      </c>
      <c r="K93" s="87" t="e">
        <f t="shared" si="4"/>
        <v>#DIV/0!</v>
      </c>
      <c r="L93" s="87" t="e">
        <f t="shared" si="4"/>
        <v>#DIV/0!</v>
      </c>
      <c r="M93" s="88" t="e">
        <f t="shared" si="4"/>
        <v>#DIV/0!</v>
      </c>
      <c r="O93" s="121" t="str">
        <f t="shared" si="5"/>
        <v>שפרעם</v>
      </c>
      <c r="P93" s="121" t="str">
        <f t="shared" si="5"/>
        <v>כפר מנדא</v>
      </c>
    </row>
    <row r="94" spans="1:16" x14ac:dyDescent="0.3">
      <c r="A94" s="60">
        <v>4</v>
      </c>
      <c r="B94" s="121">
        <v>11</v>
      </c>
      <c r="C94" s="79"/>
      <c r="D94" s="79"/>
      <c r="E94" s="79"/>
      <c r="F94" s="79"/>
      <c r="G94" s="94"/>
      <c r="I94" s="86" t="e">
        <f t="shared" si="4"/>
        <v>#DIV/0!</v>
      </c>
      <c r="J94" s="87" t="e">
        <f t="shared" si="4"/>
        <v>#DIV/0!</v>
      </c>
      <c r="K94" s="87" t="e">
        <f t="shared" si="4"/>
        <v>#DIV/0!</v>
      </c>
      <c r="L94" s="87" t="e">
        <f t="shared" si="4"/>
        <v>#DIV/0!</v>
      </c>
      <c r="M94" s="88" t="e">
        <f t="shared" si="4"/>
        <v>#DIV/0!</v>
      </c>
      <c r="O94" s="121" t="str">
        <f t="shared" si="5"/>
        <v>שפרעם</v>
      </c>
      <c r="P94" s="121" t="str">
        <f t="shared" si="5"/>
        <v>זבולון</v>
      </c>
    </row>
    <row r="95" spans="1:16" x14ac:dyDescent="0.3">
      <c r="A95" s="60">
        <v>4</v>
      </c>
      <c r="B95" s="121">
        <v>12</v>
      </c>
      <c r="C95" s="79"/>
      <c r="D95" s="79"/>
      <c r="E95" s="79"/>
      <c r="F95" s="79"/>
      <c r="G95" s="94"/>
      <c r="I95" s="86" t="e">
        <f t="shared" si="4"/>
        <v>#DIV/0!</v>
      </c>
      <c r="J95" s="87" t="e">
        <f t="shared" si="4"/>
        <v>#DIV/0!</v>
      </c>
      <c r="K95" s="87" t="e">
        <f t="shared" si="4"/>
        <v>#DIV/0!</v>
      </c>
      <c r="L95" s="87" t="e">
        <f t="shared" si="4"/>
        <v>#DIV/0!</v>
      </c>
      <c r="M95" s="88" t="e">
        <f t="shared" si="4"/>
        <v>#DIV/0!</v>
      </c>
      <c r="O95" s="121" t="str">
        <f t="shared" si="5"/>
        <v>שפרעם</v>
      </c>
      <c r="P95" s="121" t="str">
        <f t="shared" si="5"/>
        <v>חיפה מפרץ</v>
      </c>
    </row>
    <row r="96" spans="1:16" x14ac:dyDescent="0.3">
      <c r="A96" s="60">
        <v>4</v>
      </c>
      <c r="B96" s="121">
        <v>13</v>
      </c>
      <c r="C96" s="79"/>
      <c r="D96" s="79"/>
      <c r="E96" s="79"/>
      <c r="F96" s="79"/>
      <c r="G96" s="94"/>
      <c r="I96" s="86" t="e">
        <f t="shared" si="4"/>
        <v>#DIV/0!</v>
      </c>
      <c r="J96" s="87" t="e">
        <f t="shared" si="4"/>
        <v>#DIV/0!</v>
      </c>
      <c r="K96" s="87" t="e">
        <f t="shared" si="4"/>
        <v>#DIV/0!</v>
      </c>
      <c r="L96" s="87" t="e">
        <f t="shared" si="4"/>
        <v>#DIV/0!</v>
      </c>
      <c r="M96" s="88" t="e">
        <f t="shared" si="4"/>
        <v>#DIV/0!</v>
      </c>
      <c r="O96" s="121" t="str">
        <f t="shared" si="5"/>
        <v>שפרעם</v>
      </c>
      <c r="P96" s="121" t="str">
        <f t="shared" si="5"/>
        <v>חיפה עיר תחתית</v>
      </c>
    </row>
    <row r="97" spans="1:16" x14ac:dyDescent="0.3">
      <c r="A97" s="60">
        <v>4</v>
      </c>
      <c r="B97" s="121">
        <v>14</v>
      </c>
      <c r="C97" s="79"/>
      <c r="D97" s="79"/>
      <c r="E97" s="79"/>
      <c r="F97" s="79"/>
      <c r="G97" s="94"/>
      <c r="I97" s="86" t="e">
        <f t="shared" si="4"/>
        <v>#DIV/0!</v>
      </c>
      <c r="J97" s="87" t="e">
        <f t="shared" si="4"/>
        <v>#DIV/0!</v>
      </c>
      <c r="K97" s="87" t="e">
        <f t="shared" si="4"/>
        <v>#DIV/0!</v>
      </c>
      <c r="L97" s="87" t="e">
        <f t="shared" si="4"/>
        <v>#DIV/0!</v>
      </c>
      <c r="M97" s="88" t="e">
        <f t="shared" si="4"/>
        <v>#DIV/0!</v>
      </c>
      <c r="O97" s="121" t="str">
        <f t="shared" si="5"/>
        <v>שפרעם</v>
      </c>
      <c r="P97" s="121" t="str">
        <f t="shared" si="5"/>
        <v>חיפה הדר-כרמל</v>
      </c>
    </row>
    <row r="98" spans="1:16" x14ac:dyDescent="0.3">
      <c r="A98" s="60">
        <v>4</v>
      </c>
      <c r="B98" s="121">
        <v>15</v>
      </c>
      <c r="C98" s="79"/>
      <c r="D98" s="79"/>
      <c r="E98" s="79"/>
      <c r="F98" s="79"/>
      <c r="G98" s="94"/>
      <c r="I98" s="86" t="e">
        <f t="shared" si="4"/>
        <v>#DIV/0!</v>
      </c>
      <c r="J98" s="87" t="e">
        <f t="shared" si="4"/>
        <v>#DIV/0!</v>
      </c>
      <c r="K98" s="87" t="e">
        <f t="shared" si="4"/>
        <v>#DIV/0!</v>
      </c>
      <c r="L98" s="87" t="e">
        <f t="shared" si="4"/>
        <v>#DIV/0!</v>
      </c>
      <c r="M98" s="88" t="e">
        <f t="shared" si="4"/>
        <v>#DIV/0!</v>
      </c>
      <c r="O98" s="121" t="str">
        <f t="shared" si="5"/>
        <v>שפרעם</v>
      </c>
      <c r="P98" s="121" t="str">
        <f t="shared" si="5"/>
        <v>חיפה מערב</v>
      </c>
    </row>
    <row r="99" spans="1:16" x14ac:dyDescent="0.3">
      <c r="A99" s="60">
        <v>4</v>
      </c>
      <c r="B99" s="121">
        <v>16</v>
      </c>
      <c r="C99" s="79"/>
      <c r="D99" s="79"/>
      <c r="E99" s="79"/>
      <c r="F99" s="79"/>
      <c r="G99" s="94"/>
      <c r="I99" s="86" t="e">
        <f t="shared" si="4"/>
        <v>#DIV/0!</v>
      </c>
      <c r="J99" s="87" t="e">
        <f t="shared" si="4"/>
        <v>#DIV/0!</v>
      </c>
      <c r="K99" s="87" t="e">
        <f t="shared" si="4"/>
        <v>#DIV/0!</v>
      </c>
      <c r="L99" s="87" t="e">
        <f t="shared" si="4"/>
        <v>#DIV/0!</v>
      </c>
      <c r="M99" s="88" t="e">
        <f t="shared" si="4"/>
        <v>#DIV/0!</v>
      </c>
      <c r="O99" s="121" t="str">
        <f t="shared" si="5"/>
        <v>שפרעם</v>
      </c>
      <c r="P99" s="121" t="str">
        <f t="shared" si="5"/>
        <v>חיפה כרמל</v>
      </c>
    </row>
    <row r="100" spans="1:16" x14ac:dyDescent="0.3">
      <c r="A100" s="60">
        <v>4</v>
      </c>
      <c r="B100" s="121">
        <v>17</v>
      </c>
      <c r="C100" s="79"/>
      <c r="D100" s="79"/>
      <c r="E100" s="79"/>
      <c r="F100" s="79"/>
      <c r="G100" s="94"/>
      <c r="I100" s="86" t="e">
        <f t="shared" si="4"/>
        <v>#DIV/0!</v>
      </c>
      <c r="J100" s="87" t="e">
        <f t="shared" si="4"/>
        <v>#DIV/0!</v>
      </c>
      <c r="K100" s="87" t="e">
        <f t="shared" si="4"/>
        <v>#DIV/0!</v>
      </c>
      <c r="L100" s="87" t="e">
        <f t="shared" si="4"/>
        <v>#DIV/0!</v>
      </c>
      <c r="M100" s="88" t="e">
        <f t="shared" si="4"/>
        <v>#DIV/0!</v>
      </c>
      <c r="O100" s="121" t="str">
        <f t="shared" si="5"/>
        <v>שפרעם</v>
      </c>
      <c r="P100" s="121" t="str">
        <f t="shared" si="5"/>
        <v>חיפה נווה שאנן</v>
      </c>
    </row>
    <row r="101" spans="1:16" x14ac:dyDescent="0.3">
      <c r="A101" s="60">
        <v>4</v>
      </c>
      <c r="B101" s="121">
        <v>18</v>
      </c>
      <c r="C101" s="79"/>
      <c r="D101" s="79"/>
      <c r="E101" s="79"/>
      <c r="F101" s="79"/>
      <c r="G101" s="94"/>
      <c r="I101" s="86" t="e">
        <f t="shared" si="4"/>
        <v>#DIV/0!</v>
      </c>
      <c r="J101" s="87" t="e">
        <f t="shared" si="4"/>
        <v>#DIV/0!</v>
      </c>
      <c r="K101" s="87" t="e">
        <f t="shared" si="4"/>
        <v>#DIV/0!</v>
      </c>
      <c r="L101" s="87" t="e">
        <f t="shared" si="4"/>
        <v>#DIV/0!</v>
      </c>
      <c r="M101" s="88" t="e">
        <f t="shared" si="4"/>
        <v>#DIV/0!</v>
      </c>
      <c r="O101" s="121" t="str">
        <f t="shared" si="5"/>
        <v>שפרעם</v>
      </c>
      <c r="P101" s="121" t="str">
        <f t="shared" si="5"/>
        <v>נשר</v>
      </c>
    </row>
    <row r="102" spans="1:16" x14ac:dyDescent="0.3">
      <c r="A102" s="60">
        <v>4</v>
      </c>
      <c r="B102" s="121">
        <v>19</v>
      </c>
      <c r="C102" s="79"/>
      <c r="D102" s="79"/>
      <c r="E102" s="79"/>
      <c r="F102" s="79"/>
      <c r="G102" s="94"/>
      <c r="I102" s="86" t="e">
        <f t="shared" si="4"/>
        <v>#DIV/0!</v>
      </c>
      <c r="J102" s="87" t="e">
        <f t="shared" si="4"/>
        <v>#DIV/0!</v>
      </c>
      <c r="K102" s="87" t="e">
        <f t="shared" si="4"/>
        <v>#DIV/0!</v>
      </c>
      <c r="L102" s="87" t="e">
        <f t="shared" si="4"/>
        <v>#DIV/0!</v>
      </c>
      <c r="M102" s="88" t="e">
        <f t="shared" si="4"/>
        <v>#DIV/0!</v>
      </c>
      <c r="O102" s="121" t="str">
        <f t="shared" si="5"/>
        <v>שפרעם</v>
      </c>
      <c r="P102" s="121" t="str">
        <f t="shared" si="5"/>
        <v>נצרת</v>
      </c>
    </row>
    <row r="103" spans="1:16" x14ac:dyDescent="0.3">
      <c r="A103" s="60">
        <v>4</v>
      </c>
      <c r="B103" s="121">
        <v>20</v>
      </c>
      <c r="C103" s="79"/>
      <c r="D103" s="79"/>
      <c r="E103" s="79"/>
      <c r="F103" s="79"/>
      <c r="G103" s="94"/>
      <c r="I103" s="86" t="e">
        <f t="shared" si="4"/>
        <v>#DIV/0!</v>
      </c>
      <c r="J103" s="87" t="e">
        <f t="shared" si="4"/>
        <v>#DIV/0!</v>
      </c>
      <c r="K103" s="87" t="e">
        <f t="shared" si="4"/>
        <v>#DIV/0!</v>
      </c>
      <c r="L103" s="87" t="e">
        <f t="shared" si="4"/>
        <v>#DIV/0!</v>
      </c>
      <c r="M103" s="88" t="e">
        <f t="shared" si="4"/>
        <v>#DIV/0!</v>
      </c>
      <c r="O103" s="121" t="str">
        <f t="shared" si="5"/>
        <v>שפרעם</v>
      </c>
      <c r="P103" s="121" t="str">
        <f t="shared" si="5"/>
        <v>נצרת-עילית</v>
      </c>
    </row>
    <row r="104" spans="1:16" x14ac:dyDescent="0.3">
      <c r="A104" s="60">
        <v>4</v>
      </c>
      <c r="B104" s="121">
        <v>21</v>
      </c>
      <c r="C104" s="79"/>
      <c r="D104" s="79"/>
      <c r="E104" s="79"/>
      <c r="F104" s="79"/>
      <c r="G104" s="94"/>
      <c r="I104" s="86" t="e">
        <f t="shared" si="4"/>
        <v>#DIV/0!</v>
      </c>
      <c r="J104" s="87" t="e">
        <f t="shared" si="4"/>
        <v>#DIV/0!</v>
      </c>
      <c r="K104" s="87" t="e">
        <f t="shared" si="4"/>
        <v>#DIV/0!</v>
      </c>
      <c r="L104" s="87" t="e">
        <f t="shared" si="4"/>
        <v>#DIV/0!</v>
      </c>
      <c r="M104" s="88" t="e">
        <f t="shared" si="4"/>
        <v>#DIV/0!</v>
      </c>
      <c r="O104" s="121" t="str">
        <f t="shared" si="5"/>
        <v>שפרעם</v>
      </c>
      <c r="P104" s="121" t="str">
        <f t="shared" si="5"/>
        <v>מגדל העמק</v>
      </c>
    </row>
    <row r="105" spans="1:16" x14ac:dyDescent="0.3">
      <c r="A105" s="60">
        <v>4</v>
      </c>
      <c r="B105" s="121">
        <v>22</v>
      </c>
      <c r="C105" s="79"/>
      <c r="D105" s="79"/>
      <c r="E105" s="79"/>
      <c r="F105" s="79"/>
      <c r="G105" s="94"/>
      <c r="I105" s="86" t="e">
        <f t="shared" si="4"/>
        <v>#DIV/0!</v>
      </c>
      <c r="J105" s="87" t="e">
        <f t="shared" si="4"/>
        <v>#DIV/0!</v>
      </c>
      <c r="K105" s="87" t="e">
        <f t="shared" si="4"/>
        <v>#DIV/0!</v>
      </c>
      <c r="L105" s="87" t="e">
        <f t="shared" si="4"/>
        <v>#DIV/0!</v>
      </c>
      <c r="M105" s="88" t="e">
        <f t="shared" si="4"/>
        <v>#DIV/0!</v>
      </c>
      <c r="O105" s="121" t="str">
        <f t="shared" si="5"/>
        <v>שפרעם</v>
      </c>
      <c r="P105" s="121" t="str">
        <f t="shared" si="5"/>
        <v>יוקנעם</v>
      </c>
    </row>
    <row r="106" spans="1:16" x14ac:dyDescent="0.3">
      <c r="A106" s="60">
        <v>4</v>
      </c>
      <c r="B106" s="121">
        <v>23</v>
      </c>
      <c r="C106" s="79"/>
      <c r="D106" s="79"/>
      <c r="E106" s="79"/>
      <c r="F106" s="79"/>
      <c r="G106" s="94"/>
      <c r="I106" s="86" t="e">
        <f t="shared" si="4"/>
        <v>#DIV/0!</v>
      </c>
      <c r="J106" s="87" t="e">
        <f t="shared" si="4"/>
        <v>#DIV/0!</v>
      </c>
      <c r="K106" s="87" t="e">
        <f t="shared" si="4"/>
        <v>#DIV/0!</v>
      </c>
      <c r="L106" s="87" t="e">
        <f t="shared" si="4"/>
        <v>#DIV/0!</v>
      </c>
      <c r="M106" s="88" t="e">
        <f t="shared" si="4"/>
        <v>#DIV/0!</v>
      </c>
      <c r="O106" s="121" t="str">
        <f t="shared" si="5"/>
        <v>שפרעם</v>
      </c>
      <c r="P106" s="121" t="str">
        <f t="shared" si="5"/>
        <v>דלית אל כרמל</v>
      </c>
    </row>
    <row r="107" spans="1:16" x14ac:dyDescent="0.3">
      <c r="A107" s="60">
        <v>4</v>
      </c>
      <c r="B107" s="121">
        <v>24</v>
      </c>
      <c r="C107" s="79"/>
      <c r="D107" s="79"/>
      <c r="E107" s="79"/>
      <c r="F107" s="79"/>
      <c r="G107" s="94"/>
      <c r="I107" s="86" t="e">
        <f t="shared" si="4"/>
        <v>#DIV/0!</v>
      </c>
      <c r="J107" s="87" t="e">
        <f t="shared" si="4"/>
        <v>#DIV/0!</v>
      </c>
      <c r="K107" s="87" t="e">
        <f t="shared" si="4"/>
        <v>#DIV/0!</v>
      </c>
      <c r="L107" s="87" t="e">
        <f t="shared" si="4"/>
        <v>#DIV/0!</v>
      </c>
      <c r="M107" s="88" t="e">
        <f t="shared" si="4"/>
        <v>#DIV/0!</v>
      </c>
      <c r="O107" s="121" t="str">
        <f t="shared" si="5"/>
        <v>שפרעם</v>
      </c>
      <c r="P107" s="121" t="str">
        <f t="shared" si="5"/>
        <v>חוף הכרמל</v>
      </c>
    </row>
    <row r="108" spans="1:16" x14ac:dyDescent="0.3">
      <c r="A108" s="60">
        <v>4</v>
      </c>
      <c r="B108" s="121">
        <v>25</v>
      </c>
      <c r="C108" s="79"/>
      <c r="D108" s="79"/>
      <c r="E108" s="79"/>
      <c r="F108" s="79"/>
      <c r="G108" s="94"/>
      <c r="I108" s="86" t="e">
        <f t="shared" si="4"/>
        <v>#DIV/0!</v>
      </c>
      <c r="J108" s="87" t="e">
        <f t="shared" si="4"/>
        <v>#DIV/0!</v>
      </c>
      <c r="K108" s="87" t="e">
        <f t="shared" si="4"/>
        <v>#DIV/0!</v>
      </c>
      <c r="L108" s="87" t="e">
        <f t="shared" si="4"/>
        <v>#DIV/0!</v>
      </c>
      <c r="M108" s="88" t="e">
        <f t="shared" si="4"/>
        <v>#DIV/0!</v>
      </c>
      <c r="O108" s="121" t="str">
        <f t="shared" si="5"/>
        <v>שפרעם</v>
      </c>
      <c r="P108" s="121" t="str">
        <f t="shared" si="5"/>
        <v>זכרון יעקב</v>
      </c>
    </row>
    <row r="109" spans="1:16" x14ac:dyDescent="0.3">
      <c r="A109" s="60">
        <v>4</v>
      </c>
      <c r="B109" s="121">
        <v>30</v>
      </c>
      <c r="C109" s="79"/>
      <c r="D109" s="79"/>
      <c r="E109" s="79"/>
      <c r="F109" s="79"/>
      <c r="G109" s="94"/>
      <c r="I109" s="86" t="e">
        <f t="shared" si="4"/>
        <v>#DIV/0!</v>
      </c>
      <c r="J109" s="87" t="e">
        <f t="shared" si="4"/>
        <v>#DIV/0!</v>
      </c>
      <c r="K109" s="87" t="e">
        <f t="shared" si="4"/>
        <v>#DIV/0!</v>
      </c>
      <c r="L109" s="87" t="e">
        <f t="shared" si="4"/>
        <v>#DIV/0!</v>
      </c>
      <c r="M109" s="88" t="e">
        <f t="shared" si="4"/>
        <v>#DIV/0!</v>
      </c>
      <c r="O109" s="121" t="str">
        <f t="shared" si="5"/>
        <v>שפרעם</v>
      </c>
      <c r="P109" s="121" t="str">
        <f t="shared" si="5"/>
        <v>סכנין</v>
      </c>
    </row>
    <row r="110" spans="1:16" x14ac:dyDescent="0.3">
      <c r="A110" s="60">
        <v>5</v>
      </c>
      <c r="B110" s="121">
        <v>1</v>
      </c>
      <c r="C110" s="79"/>
      <c r="D110" s="79"/>
      <c r="E110" s="79"/>
      <c r="F110" s="79"/>
      <c r="G110" s="94"/>
      <c r="I110" s="86" t="e">
        <f t="shared" si="4"/>
        <v>#DIV/0!</v>
      </c>
      <c r="J110" s="87" t="e">
        <f t="shared" si="4"/>
        <v>#DIV/0!</v>
      </c>
      <c r="K110" s="87" t="e">
        <f t="shared" si="4"/>
        <v>#DIV/0!</v>
      </c>
      <c r="L110" s="87" t="e">
        <f t="shared" si="4"/>
        <v>#DIV/0!</v>
      </c>
      <c r="M110" s="88" t="e">
        <f t="shared" si="4"/>
        <v>#DIV/0!</v>
      </c>
      <c r="O110" s="121" t="str">
        <f t="shared" si="5"/>
        <v>קרית ים</v>
      </c>
      <c r="P110" s="121" t="str">
        <f t="shared" si="5"/>
        <v>נהריה</v>
      </c>
    </row>
    <row r="111" spans="1:16" x14ac:dyDescent="0.3">
      <c r="A111" s="60">
        <v>5</v>
      </c>
      <c r="B111" s="121">
        <v>2</v>
      </c>
      <c r="C111" s="79"/>
      <c r="D111" s="79"/>
      <c r="E111" s="79"/>
      <c r="F111" s="79"/>
      <c r="G111" s="94"/>
      <c r="I111" s="86" t="e">
        <f t="shared" si="4"/>
        <v>#DIV/0!</v>
      </c>
      <c r="J111" s="87" t="e">
        <f t="shared" si="4"/>
        <v>#DIV/0!</v>
      </c>
      <c r="K111" s="87" t="e">
        <f t="shared" si="4"/>
        <v>#DIV/0!</v>
      </c>
      <c r="L111" s="87" t="e">
        <f t="shared" si="4"/>
        <v>#DIV/0!</v>
      </c>
      <c r="M111" s="88" t="e">
        <f t="shared" si="4"/>
        <v>#DIV/0!</v>
      </c>
      <c r="O111" s="121" t="str">
        <f t="shared" si="5"/>
        <v>קרית ים</v>
      </c>
      <c r="P111" s="121" t="str">
        <f t="shared" si="5"/>
        <v>עכו</v>
      </c>
    </row>
    <row r="112" spans="1:16" x14ac:dyDescent="0.3">
      <c r="A112" s="60">
        <v>5</v>
      </c>
      <c r="B112" s="121">
        <v>3</v>
      </c>
      <c r="C112" s="79"/>
      <c r="D112" s="79"/>
      <c r="E112" s="79"/>
      <c r="F112" s="79"/>
      <c r="G112" s="94"/>
      <c r="I112" s="86" t="e">
        <f t="shared" si="4"/>
        <v>#DIV/0!</v>
      </c>
      <c r="J112" s="87" t="e">
        <f t="shared" si="4"/>
        <v>#DIV/0!</v>
      </c>
      <c r="K112" s="87" t="e">
        <f t="shared" si="4"/>
        <v>#DIV/0!</v>
      </c>
      <c r="L112" s="87" t="e">
        <f t="shared" si="4"/>
        <v>#DIV/0!</v>
      </c>
      <c r="M112" s="88" t="e">
        <f t="shared" si="4"/>
        <v>#DIV/0!</v>
      </c>
      <c r="O112" s="121" t="str">
        <f t="shared" si="5"/>
        <v>קרית ים</v>
      </c>
      <c r="P112" s="121" t="str">
        <f t="shared" si="5"/>
        <v>כרמיאל</v>
      </c>
    </row>
    <row r="113" spans="1:16" x14ac:dyDescent="0.3">
      <c r="A113" s="60">
        <v>5</v>
      </c>
      <c r="B113" s="121">
        <v>4</v>
      </c>
      <c r="C113" s="79"/>
      <c r="D113" s="79"/>
      <c r="E113" s="79"/>
      <c r="F113" s="79"/>
      <c r="G113" s="94"/>
      <c r="I113" s="86" t="e">
        <f t="shared" si="4"/>
        <v>#DIV/0!</v>
      </c>
      <c r="J113" s="87" t="e">
        <f t="shared" si="4"/>
        <v>#DIV/0!</v>
      </c>
      <c r="K113" s="87" t="e">
        <f t="shared" si="4"/>
        <v>#DIV/0!</v>
      </c>
      <c r="L113" s="87" t="e">
        <f t="shared" si="4"/>
        <v>#DIV/0!</v>
      </c>
      <c r="M113" s="88" t="e">
        <f t="shared" si="4"/>
        <v>#DIV/0!</v>
      </c>
      <c r="O113" s="121" t="str">
        <f t="shared" si="5"/>
        <v>קרית ים</v>
      </c>
      <c r="P113" s="121" t="str">
        <f t="shared" si="5"/>
        <v>שפרעם</v>
      </c>
    </row>
    <row r="114" spans="1:16" x14ac:dyDescent="0.3">
      <c r="A114" s="60">
        <v>5</v>
      </c>
      <c r="B114" s="121">
        <v>5</v>
      </c>
      <c r="C114" s="79"/>
      <c r="D114" s="79"/>
      <c r="E114" s="79"/>
      <c r="F114" s="79"/>
      <c r="G114" s="94"/>
      <c r="I114" s="86" t="e">
        <f t="shared" si="4"/>
        <v>#DIV/0!</v>
      </c>
      <c r="J114" s="87" t="e">
        <f t="shared" si="4"/>
        <v>#DIV/0!</v>
      </c>
      <c r="K114" s="87" t="e">
        <f t="shared" si="4"/>
        <v>#DIV/0!</v>
      </c>
      <c r="L114" s="87" t="e">
        <f t="shared" si="4"/>
        <v>#DIV/0!</v>
      </c>
      <c r="M114" s="88" t="e">
        <f t="shared" si="4"/>
        <v>#DIV/0!</v>
      </c>
      <c r="O114" s="121" t="str">
        <f t="shared" si="5"/>
        <v>קרית ים</v>
      </c>
      <c r="P114" s="121" t="str">
        <f t="shared" si="5"/>
        <v>קרית ים</v>
      </c>
    </row>
    <row r="115" spans="1:16" x14ac:dyDescent="0.3">
      <c r="A115" s="60">
        <v>5</v>
      </c>
      <c r="B115" s="121">
        <v>6</v>
      </c>
      <c r="C115" s="79"/>
      <c r="D115" s="79"/>
      <c r="E115" s="79"/>
      <c r="F115" s="79"/>
      <c r="G115" s="94"/>
      <c r="I115" s="86" t="e">
        <f t="shared" si="4"/>
        <v>#DIV/0!</v>
      </c>
      <c r="J115" s="87" t="e">
        <f t="shared" si="4"/>
        <v>#DIV/0!</v>
      </c>
      <c r="K115" s="87" t="e">
        <f t="shared" si="4"/>
        <v>#DIV/0!</v>
      </c>
      <c r="L115" s="87" t="e">
        <f t="shared" si="4"/>
        <v>#DIV/0!</v>
      </c>
      <c r="M115" s="88" t="e">
        <f t="shared" si="4"/>
        <v>#DIV/0!</v>
      </c>
      <c r="O115" s="121" t="str">
        <f t="shared" si="5"/>
        <v>קרית ים</v>
      </c>
      <c r="P115" s="121" t="str">
        <f t="shared" si="5"/>
        <v>קרית מוצקין</v>
      </c>
    </row>
    <row r="116" spans="1:16" x14ac:dyDescent="0.3">
      <c r="A116" s="60">
        <v>5</v>
      </c>
      <c r="B116" s="121">
        <v>7</v>
      </c>
      <c r="C116" s="79"/>
      <c r="D116" s="79"/>
      <c r="E116" s="79"/>
      <c r="F116" s="79"/>
      <c r="G116" s="94"/>
      <c r="I116" s="86" t="e">
        <f t="shared" si="4"/>
        <v>#DIV/0!</v>
      </c>
      <c r="J116" s="87" t="e">
        <f t="shared" si="4"/>
        <v>#DIV/0!</v>
      </c>
      <c r="K116" s="87" t="e">
        <f t="shared" si="4"/>
        <v>#DIV/0!</v>
      </c>
      <c r="L116" s="87" t="e">
        <f t="shared" si="4"/>
        <v>#DIV/0!</v>
      </c>
      <c r="M116" s="88" t="e">
        <f t="shared" si="4"/>
        <v>#DIV/0!</v>
      </c>
      <c r="O116" s="121" t="str">
        <f t="shared" si="5"/>
        <v>קרית ים</v>
      </c>
      <c r="P116" s="121" t="str">
        <f t="shared" si="5"/>
        <v>קרית ביאליק</v>
      </c>
    </row>
    <row r="117" spans="1:16" x14ac:dyDescent="0.3">
      <c r="A117" s="60">
        <v>5</v>
      </c>
      <c r="B117" s="121">
        <v>8</v>
      </c>
      <c r="C117" s="79"/>
      <c r="D117" s="79"/>
      <c r="E117" s="79"/>
      <c r="F117" s="79"/>
      <c r="G117" s="94"/>
      <c r="I117" s="86" t="e">
        <f t="shared" si="4"/>
        <v>#DIV/0!</v>
      </c>
      <c r="J117" s="87" t="e">
        <f t="shared" si="4"/>
        <v>#DIV/0!</v>
      </c>
      <c r="K117" s="87" t="e">
        <f t="shared" si="4"/>
        <v>#DIV/0!</v>
      </c>
      <c r="L117" s="87" t="e">
        <f t="shared" si="4"/>
        <v>#DIV/0!</v>
      </c>
      <c r="M117" s="88" t="e">
        <f t="shared" si="4"/>
        <v>#DIV/0!</v>
      </c>
      <c r="O117" s="121" t="str">
        <f t="shared" si="5"/>
        <v>קרית ים</v>
      </c>
      <c r="P117" s="121" t="str">
        <f t="shared" si="5"/>
        <v>קרית חיים</v>
      </c>
    </row>
    <row r="118" spans="1:16" x14ac:dyDescent="0.3">
      <c r="A118" s="60">
        <v>5</v>
      </c>
      <c r="B118" s="121">
        <v>9</v>
      </c>
      <c r="C118" s="79"/>
      <c r="D118" s="79"/>
      <c r="E118" s="79"/>
      <c r="F118" s="79"/>
      <c r="G118" s="94"/>
      <c r="I118" s="86" t="e">
        <f t="shared" si="4"/>
        <v>#DIV/0!</v>
      </c>
      <c r="J118" s="87" t="e">
        <f t="shared" si="4"/>
        <v>#DIV/0!</v>
      </c>
      <c r="K118" s="87" t="e">
        <f t="shared" si="4"/>
        <v>#DIV/0!</v>
      </c>
      <c r="L118" s="87" t="e">
        <f t="shared" si="4"/>
        <v>#DIV/0!</v>
      </c>
      <c r="M118" s="88" t="e">
        <f t="shared" si="4"/>
        <v>#DIV/0!</v>
      </c>
      <c r="O118" s="121" t="str">
        <f t="shared" si="5"/>
        <v>קרית ים</v>
      </c>
      <c r="P118" s="121" t="str">
        <f t="shared" si="5"/>
        <v>קרית אתא</v>
      </c>
    </row>
    <row r="119" spans="1:16" x14ac:dyDescent="0.3">
      <c r="A119" s="60">
        <v>5</v>
      </c>
      <c r="B119" s="121">
        <v>10</v>
      </c>
      <c r="C119" s="79"/>
      <c r="D119" s="79"/>
      <c r="E119" s="79"/>
      <c r="F119" s="79"/>
      <c r="G119" s="94"/>
      <c r="I119" s="86" t="e">
        <f t="shared" si="4"/>
        <v>#DIV/0!</v>
      </c>
      <c r="J119" s="87" t="e">
        <f t="shared" si="4"/>
        <v>#DIV/0!</v>
      </c>
      <c r="K119" s="87" t="e">
        <f t="shared" si="4"/>
        <v>#DIV/0!</v>
      </c>
      <c r="L119" s="87" t="e">
        <f t="shared" si="4"/>
        <v>#DIV/0!</v>
      </c>
      <c r="M119" s="88" t="e">
        <f t="shared" si="4"/>
        <v>#DIV/0!</v>
      </c>
      <c r="O119" s="121" t="str">
        <f t="shared" si="5"/>
        <v>קרית ים</v>
      </c>
      <c r="P119" s="121" t="str">
        <f t="shared" si="5"/>
        <v>כפר מנדא</v>
      </c>
    </row>
    <row r="120" spans="1:16" x14ac:dyDescent="0.3">
      <c r="A120" s="60">
        <v>5</v>
      </c>
      <c r="B120" s="121">
        <v>11</v>
      </c>
      <c r="C120" s="79"/>
      <c r="D120" s="79"/>
      <c r="E120" s="79"/>
      <c r="F120" s="79"/>
      <c r="G120" s="94"/>
      <c r="I120" s="86" t="e">
        <f t="shared" si="4"/>
        <v>#DIV/0!</v>
      </c>
      <c r="J120" s="87" t="e">
        <f t="shared" si="4"/>
        <v>#DIV/0!</v>
      </c>
      <c r="K120" s="87" t="e">
        <f t="shared" si="4"/>
        <v>#DIV/0!</v>
      </c>
      <c r="L120" s="87" t="e">
        <f t="shared" si="4"/>
        <v>#DIV/0!</v>
      </c>
      <c r="M120" s="88" t="e">
        <f t="shared" si="4"/>
        <v>#DIV/0!</v>
      </c>
      <c r="O120" s="121" t="str">
        <f t="shared" si="5"/>
        <v>קרית ים</v>
      </c>
      <c r="P120" s="121" t="str">
        <f t="shared" si="5"/>
        <v>זבולון</v>
      </c>
    </row>
    <row r="121" spans="1:16" x14ac:dyDescent="0.3">
      <c r="A121" s="60">
        <v>5</v>
      </c>
      <c r="B121" s="121">
        <v>12</v>
      </c>
      <c r="C121" s="79"/>
      <c r="D121" s="79"/>
      <c r="E121" s="79"/>
      <c r="F121" s="79"/>
      <c r="G121" s="94"/>
      <c r="I121" s="86" t="e">
        <f t="shared" ref="I121:M171" si="6">C121/SUM($C121:$G121)</f>
        <v>#DIV/0!</v>
      </c>
      <c r="J121" s="87" t="e">
        <f t="shared" si="6"/>
        <v>#DIV/0!</v>
      </c>
      <c r="K121" s="87" t="e">
        <f t="shared" si="6"/>
        <v>#DIV/0!</v>
      </c>
      <c r="L121" s="87" t="e">
        <f t="shared" si="6"/>
        <v>#DIV/0!</v>
      </c>
      <c r="M121" s="88" t="e">
        <f t="shared" si="6"/>
        <v>#DIV/0!</v>
      </c>
      <c r="O121" s="121" t="str">
        <f t="shared" si="5"/>
        <v>קרית ים</v>
      </c>
      <c r="P121" s="121" t="str">
        <f t="shared" si="5"/>
        <v>חיפה מפרץ</v>
      </c>
    </row>
    <row r="122" spans="1:16" x14ac:dyDescent="0.3">
      <c r="A122" s="60">
        <v>5</v>
      </c>
      <c r="B122" s="121">
        <v>13</v>
      </c>
      <c r="C122" s="79"/>
      <c r="D122" s="79"/>
      <c r="E122" s="79"/>
      <c r="F122" s="79"/>
      <c r="G122" s="94"/>
      <c r="I122" s="86" t="e">
        <f t="shared" si="6"/>
        <v>#DIV/0!</v>
      </c>
      <c r="J122" s="87" t="e">
        <f t="shared" si="6"/>
        <v>#DIV/0!</v>
      </c>
      <c r="K122" s="87" t="e">
        <f t="shared" si="6"/>
        <v>#DIV/0!</v>
      </c>
      <c r="L122" s="87" t="e">
        <f t="shared" si="6"/>
        <v>#DIV/0!</v>
      </c>
      <c r="M122" s="88" t="e">
        <f t="shared" si="6"/>
        <v>#DIV/0!</v>
      </c>
      <c r="O122" s="121" t="str">
        <f t="shared" si="5"/>
        <v>קרית ים</v>
      </c>
      <c r="P122" s="121" t="str">
        <f t="shared" si="5"/>
        <v>חיפה עיר תחתית</v>
      </c>
    </row>
    <row r="123" spans="1:16" x14ac:dyDescent="0.3">
      <c r="A123" s="60">
        <v>5</v>
      </c>
      <c r="B123" s="121">
        <v>14</v>
      </c>
      <c r="C123" s="79"/>
      <c r="D123" s="79"/>
      <c r="E123" s="79"/>
      <c r="F123" s="79"/>
      <c r="G123" s="94"/>
      <c r="I123" s="86" t="e">
        <f t="shared" si="6"/>
        <v>#DIV/0!</v>
      </c>
      <c r="J123" s="87" t="e">
        <f t="shared" si="6"/>
        <v>#DIV/0!</v>
      </c>
      <c r="K123" s="87" t="e">
        <f t="shared" si="6"/>
        <v>#DIV/0!</v>
      </c>
      <c r="L123" s="87" t="e">
        <f t="shared" si="6"/>
        <v>#DIV/0!</v>
      </c>
      <c r="M123" s="88" t="e">
        <f t="shared" si="6"/>
        <v>#DIV/0!</v>
      </c>
      <c r="O123" s="121" t="str">
        <f t="shared" si="5"/>
        <v>קרית ים</v>
      </c>
      <c r="P123" s="121" t="str">
        <f t="shared" si="5"/>
        <v>חיפה הדר-כרמל</v>
      </c>
    </row>
    <row r="124" spans="1:16" x14ac:dyDescent="0.3">
      <c r="A124" s="60">
        <v>5</v>
      </c>
      <c r="B124" s="121">
        <v>15</v>
      </c>
      <c r="C124" s="79"/>
      <c r="D124" s="79"/>
      <c r="E124" s="79"/>
      <c r="F124" s="79"/>
      <c r="G124" s="94"/>
      <c r="I124" s="86" t="e">
        <f t="shared" si="6"/>
        <v>#DIV/0!</v>
      </c>
      <c r="J124" s="87" t="e">
        <f t="shared" si="6"/>
        <v>#DIV/0!</v>
      </c>
      <c r="K124" s="87" t="e">
        <f t="shared" si="6"/>
        <v>#DIV/0!</v>
      </c>
      <c r="L124" s="87" t="e">
        <f t="shared" si="6"/>
        <v>#DIV/0!</v>
      </c>
      <c r="M124" s="88" t="e">
        <f t="shared" si="6"/>
        <v>#DIV/0!</v>
      </c>
      <c r="O124" s="121" t="str">
        <f t="shared" si="5"/>
        <v>קרית ים</v>
      </c>
      <c r="P124" s="121" t="str">
        <f t="shared" si="5"/>
        <v>חיפה מערב</v>
      </c>
    </row>
    <row r="125" spans="1:16" x14ac:dyDescent="0.3">
      <c r="A125" s="60">
        <v>5</v>
      </c>
      <c r="B125" s="121">
        <v>16</v>
      </c>
      <c r="C125" s="79"/>
      <c r="D125" s="79"/>
      <c r="E125" s="79"/>
      <c r="F125" s="79"/>
      <c r="G125" s="94"/>
      <c r="I125" s="86" t="e">
        <f t="shared" si="6"/>
        <v>#DIV/0!</v>
      </c>
      <c r="J125" s="87" t="e">
        <f t="shared" si="6"/>
        <v>#DIV/0!</v>
      </c>
      <c r="K125" s="87" t="e">
        <f t="shared" si="6"/>
        <v>#DIV/0!</v>
      </c>
      <c r="L125" s="87" t="e">
        <f t="shared" si="6"/>
        <v>#DIV/0!</v>
      </c>
      <c r="M125" s="88" t="e">
        <f t="shared" si="6"/>
        <v>#DIV/0!</v>
      </c>
      <c r="O125" s="121" t="str">
        <f t="shared" si="5"/>
        <v>קרית ים</v>
      </c>
      <c r="P125" s="121" t="str">
        <f t="shared" si="5"/>
        <v>חיפה כרמל</v>
      </c>
    </row>
    <row r="126" spans="1:16" x14ac:dyDescent="0.3">
      <c r="A126" s="60">
        <v>5</v>
      </c>
      <c r="B126" s="121">
        <v>17</v>
      </c>
      <c r="C126" s="79"/>
      <c r="D126" s="79"/>
      <c r="E126" s="79"/>
      <c r="F126" s="79"/>
      <c r="G126" s="94"/>
      <c r="I126" s="86" t="e">
        <f t="shared" si="6"/>
        <v>#DIV/0!</v>
      </c>
      <c r="J126" s="87" t="e">
        <f t="shared" si="6"/>
        <v>#DIV/0!</v>
      </c>
      <c r="K126" s="87" t="e">
        <f t="shared" si="6"/>
        <v>#DIV/0!</v>
      </c>
      <c r="L126" s="87" t="e">
        <f t="shared" si="6"/>
        <v>#DIV/0!</v>
      </c>
      <c r="M126" s="88" t="e">
        <f t="shared" si="6"/>
        <v>#DIV/0!</v>
      </c>
      <c r="O126" s="121" t="str">
        <f t="shared" si="5"/>
        <v>קרית ים</v>
      </c>
      <c r="P126" s="121" t="str">
        <f t="shared" si="5"/>
        <v>חיפה נווה שאנן</v>
      </c>
    </row>
    <row r="127" spans="1:16" x14ac:dyDescent="0.3">
      <c r="A127" s="60">
        <v>5</v>
      </c>
      <c r="B127" s="121">
        <v>18</v>
      </c>
      <c r="C127" s="79"/>
      <c r="D127" s="79"/>
      <c r="E127" s="79"/>
      <c r="F127" s="79"/>
      <c r="G127" s="94"/>
      <c r="I127" s="86" t="e">
        <f t="shared" si="6"/>
        <v>#DIV/0!</v>
      </c>
      <c r="J127" s="87" t="e">
        <f t="shared" si="6"/>
        <v>#DIV/0!</v>
      </c>
      <c r="K127" s="87" t="e">
        <f t="shared" si="6"/>
        <v>#DIV/0!</v>
      </c>
      <c r="L127" s="87" t="e">
        <f t="shared" si="6"/>
        <v>#DIV/0!</v>
      </c>
      <c r="M127" s="88" t="e">
        <f t="shared" si="6"/>
        <v>#DIV/0!</v>
      </c>
      <c r="O127" s="121" t="str">
        <f t="shared" si="5"/>
        <v>קרית ים</v>
      </c>
      <c r="P127" s="121" t="str">
        <f t="shared" si="5"/>
        <v>נשר</v>
      </c>
    </row>
    <row r="128" spans="1:16" x14ac:dyDescent="0.3">
      <c r="A128" s="60">
        <v>5</v>
      </c>
      <c r="B128" s="121">
        <v>19</v>
      </c>
      <c r="C128" s="79"/>
      <c r="D128" s="79"/>
      <c r="E128" s="79"/>
      <c r="F128" s="79"/>
      <c r="G128" s="94"/>
      <c r="I128" s="86" t="e">
        <f t="shared" si="6"/>
        <v>#DIV/0!</v>
      </c>
      <c r="J128" s="87" t="e">
        <f t="shared" si="6"/>
        <v>#DIV/0!</v>
      </c>
      <c r="K128" s="87" t="e">
        <f t="shared" si="6"/>
        <v>#DIV/0!</v>
      </c>
      <c r="L128" s="87" t="e">
        <f t="shared" si="6"/>
        <v>#DIV/0!</v>
      </c>
      <c r="M128" s="88" t="e">
        <f t="shared" si="6"/>
        <v>#DIV/0!</v>
      </c>
      <c r="O128" s="121" t="str">
        <f t="shared" si="5"/>
        <v>קרית ים</v>
      </c>
      <c r="P128" s="121" t="str">
        <f t="shared" si="5"/>
        <v>נצרת</v>
      </c>
    </row>
    <row r="129" spans="1:16" x14ac:dyDescent="0.3">
      <c r="A129" s="60">
        <v>5</v>
      </c>
      <c r="B129" s="121">
        <v>20</v>
      </c>
      <c r="C129" s="79"/>
      <c r="D129" s="79"/>
      <c r="E129" s="79"/>
      <c r="F129" s="79"/>
      <c r="G129" s="94"/>
      <c r="I129" s="86" t="e">
        <f t="shared" si="6"/>
        <v>#DIV/0!</v>
      </c>
      <c r="J129" s="87" t="e">
        <f t="shared" si="6"/>
        <v>#DIV/0!</v>
      </c>
      <c r="K129" s="87" t="e">
        <f t="shared" si="6"/>
        <v>#DIV/0!</v>
      </c>
      <c r="L129" s="87" t="e">
        <f t="shared" si="6"/>
        <v>#DIV/0!</v>
      </c>
      <c r="M129" s="88" t="e">
        <f t="shared" si="6"/>
        <v>#DIV/0!</v>
      </c>
      <c r="O129" s="121" t="str">
        <f t="shared" si="5"/>
        <v>קרית ים</v>
      </c>
      <c r="P129" s="121" t="str">
        <f t="shared" si="5"/>
        <v>נצרת-עילית</v>
      </c>
    </row>
    <row r="130" spans="1:16" x14ac:dyDescent="0.3">
      <c r="A130" s="60">
        <v>5</v>
      </c>
      <c r="B130" s="121">
        <v>21</v>
      </c>
      <c r="C130" s="79"/>
      <c r="D130" s="79"/>
      <c r="E130" s="79"/>
      <c r="F130" s="79"/>
      <c r="G130" s="94"/>
      <c r="I130" s="86" t="e">
        <f t="shared" si="6"/>
        <v>#DIV/0!</v>
      </c>
      <c r="J130" s="87" t="e">
        <f t="shared" si="6"/>
        <v>#DIV/0!</v>
      </c>
      <c r="K130" s="87" t="e">
        <f t="shared" si="6"/>
        <v>#DIV/0!</v>
      </c>
      <c r="L130" s="87" t="e">
        <f t="shared" si="6"/>
        <v>#DIV/0!</v>
      </c>
      <c r="M130" s="88" t="e">
        <f t="shared" si="6"/>
        <v>#DIV/0!</v>
      </c>
      <c r="O130" s="121" t="str">
        <f t="shared" si="5"/>
        <v>קרית ים</v>
      </c>
      <c r="P130" s="121" t="str">
        <f t="shared" si="5"/>
        <v>מגדל העמק</v>
      </c>
    </row>
    <row r="131" spans="1:16" x14ac:dyDescent="0.3">
      <c r="A131" s="60">
        <v>5</v>
      </c>
      <c r="B131" s="121">
        <v>22</v>
      </c>
      <c r="C131" s="79"/>
      <c r="D131" s="79"/>
      <c r="E131" s="79"/>
      <c r="F131" s="79"/>
      <c r="G131" s="94"/>
      <c r="I131" s="86" t="e">
        <f t="shared" si="6"/>
        <v>#DIV/0!</v>
      </c>
      <c r="J131" s="87" t="e">
        <f t="shared" si="6"/>
        <v>#DIV/0!</v>
      </c>
      <c r="K131" s="87" t="e">
        <f t="shared" si="6"/>
        <v>#DIV/0!</v>
      </c>
      <c r="L131" s="87" t="e">
        <f t="shared" si="6"/>
        <v>#DIV/0!</v>
      </c>
      <c r="M131" s="88" t="e">
        <f t="shared" si="6"/>
        <v>#DIV/0!</v>
      </c>
      <c r="O131" s="121" t="str">
        <f t="shared" si="5"/>
        <v>קרית ים</v>
      </c>
      <c r="P131" s="121" t="str">
        <f t="shared" si="5"/>
        <v>יוקנעם</v>
      </c>
    </row>
    <row r="132" spans="1:16" x14ac:dyDescent="0.3">
      <c r="A132" s="60">
        <v>5</v>
      </c>
      <c r="B132" s="121">
        <v>23</v>
      </c>
      <c r="C132" s="79"/>
      <c r="D132" s="79"/>
      <c r="E132" s="79"/>
      <c r="F132" s="79"/>
      <c r="G132" s="94"/>
      <c r="I132" s="86" t="e">
        <f t="shared" si="6"/>
        <v>#DIV/0!</v>
      </c>
      <c r="J132" s="87" t="e">
        <f t="shared" si="6"/>
        <v>#DIV/0!</v>
      </c>
      <c r="K132" s="87" t="e">
        <f t="shared" si="6"/>
        <v>#DIV/0!</v>
      </c>
      <c r="L132" s="87" t="e">
        <f t="shared" si="6"/>
        <v>#DIV/0!</v>
      </c>
      <c r="M132" s="88" t="e">
        <f t="shared" si="6"/>
        <v>#DIV/0!</v>
      </c>
      <c r="O132" s="121" t="str">
        <f t="shared" si="5"/>
        <v>קרית ים</v>
      </c>
      <c r="P132" s="121" t="str">
        <f t="shared" si="5"/>
        <v>דלית אל כרמל</v>
      </c>
    </row>
    <row r="133" spans="1:16" x14ac:dyDescent="0.3">
      <c r="A133" s="60">
        <v>5</v>
      </c>
      <c r="B133" s="121">
        <v>24</v>
      </c>
      <c r="C133" s="79"/>
      <c r="D133" s="79"/>
      <c r="E133" s="79"/>
      <c r="F133" s="79"/>
      <c r="G133" s="94"/>
      <c r="I133" s="86" t="e">
        <f t="shared" si="6"/>
        <v>#DIV/0!</v>
      </c>
      <c r="J133" s="87" t="e">
        <f t="shared" si="6"/>
        <v>#DIV/0!</v>
      </c>
      <c r="K133" s="87" t="e">
        <f t="shared" si="6"/>
        <v>#DIV/0!</v>
      </c>
      <c r="L133" s="87" t="e">
        <f t="shared" si="6"/>
        <v>#DIV/0!</v>
      </c>
      <c r="M133" s="88" t="e">
        <f t="shared" si="6"/>
        <v>#DIV/0!</v>
      </c>
      <c r="O133" s="121" t="str">
        <f t="shared" si="5"/>
        <v>קרית ים</v>
      </c>
      <c r="P133" s="121" t="str">
        <f t="shared" si="5"/>
        <v>חוף הכרמל</v>
      </c>
    </row>
    <row r="134" spans="1:16" x14ac:dyDescent="0.3">
      <c r="A134" s="60">
        <v>5</v>
      </c>
      <c r="B134" s="121">
        <v>25</v>
      </c>
      <c r="C134" s="79"/>
      <c r="D134" s="79"/>
      <c r="E134" s="79"/>
      <c r="F134" s="79"/>
      <c r="G134" s="94"/>
      <c r="I134" s="86" t="e">
        <f t="shared" si="6"/>
        <v>#DIV/0!</v>
      </c>
      <c r="J134" s="87" t="e">
        <f t="shared" si="6"/>
        <v>#DIV/0!</v>
      </c>
      <c r="K134" s="87" t="e">
        <f t="shared" si="6"/>
        <v>#DIV/0!</v>
      </c>
      <c r="L134" s="87" t="e">
        <f t="shared" si="6"/>
        <v>#DIV/0!</v>
      </c>
      <c r="M134" s="88" t="e">
        <f t="shared" si="6"/>
        <v>#DIV/0!</v>
      </c>
      <c r="O134" s="121" t="str">
        <f t="shared" si="5"/>
        <v>קרית ים</v>
      </c>
      <c r="P134" s="121" t="str">
        <f t="shared" si="5"/>
        <v>זכרון יעקב</v>
      </c>
    </row>
    <row r="135" spans="1:16" x14ac:dyDescent="0.3">
      <c r="A135" s="60">
        <v>5</v>
      </c>
      <c r="B135" s="121">
        <v>30</v>
      </c>
      <c r="C135" s="79"/>
      <c r="D135" s="79"/>
      <c r="E135" s="79"/>
      <c r="F135" s="79"/>
      <c r="G135" s="94"/>
      <c r="I135" s="86" t="e">
        <f t="shared" si="6"/>
        <v>#DIV/0!</v>
      </c>
      <c r="J135" s="87" t="e">
        <f t="shared" si="6"/>
        <v>#DIV/0!</v>
      </c>
      <c r="K135" s="87" t="e">
        <f t="shared" si="6"/>
        <v>#DIV/0!</v>
      </c>
      <c r="L135" s="87" t="e">
        <f t="shared" si="6"/>
        <v>#DIV/0!</v>
      </c>
      <c r="M135" s="88" t="e">
        <f t="shared" si="6"/>
        <v>#DIV/0!</v>
      </c>
      <c r="O135" s="121" t="str">
        <f t="shared" si="5"/>
        <v>קרית ים</v>
      </c>
      <c r="P135" s="121" t="str">
        <f t="shared" si="5"/>
        <v>סכנין</v>
      </c>
    </row>
    <row r="136" spans="1:16" x14ac:dyDescent="0.3">
      <c r="A136" s="60">
        <v>6</v>
      </c>
      <c r="B136" s="121">
        <v>1</v>
      </c>
      <c r="C136" s="79"/>
      <c r="D136" s="79"/>
      <c r="E136" s="79"/>
      <c r="F136" s="79"/>
      <c r="G136" s="94"/>
      <c r="I136" s="86" t="e">
        <f t="shared" si="6"/>
        <v>#DIV/0!</v>
      </c>
      <c r="J136" s="87" t="e">
        <f t="shared" si="6"/>
        <v>#DIV/0!</v>
      </c>
      <c r="K136" s="87" t="e">
        <f t="shared" si="6"/>
        <v>#DIV/0!</v>
      </c>
      <c r="L136" s="87" t="e">
        <f t="shared" si="6"/>
        <v>#DIV/0!</v>
      </c>
      <c r="M136" s="88" t="e">
        <f t="shared" si="6"/>
        <v>#DIV/0!</v>
      </c>
      <c r="O136" s="121" t="str">
        <f t="shared" ref="O136:P199" si="7">VLOOKUP(A136,$S$6:$T$31,2,0)</f>
        <v>קרית מוצקין</v>
      </c>
      <c r="P136" s="121" t="str">
        <f t="shared" si="7"/>
        <v>נהריה</v>
      </c>
    </row>
    <row r="137" spans="1:16" x14ac:dyDescent="0.3">
      <c r="A137" s="60">
        <v>6</v>
      </c>
      <c r="B137" s="121">
        <v>2</v>
      </c>
      <c r="C137" s="79"/>
      <c r="D137" s="79"/>
      <c r="E137" s="79"/>
      <c r="F137" s="79"/>
      <c r="G137" s="94"/>
      <c r="I137" s="86" t="e">
        <f t="shared" si="6"/>
        <v>#DIV/0!</v>
      </c>
      <c r="J137" s="87" t="e">
        <f t="shared" si="6"/>
        <v>#DIV/0!</v>
      </c>
      <c r="K137" s="87" t="e">
        <f t="shared" si="6"/>
        <v>#DIV/0!</v>
      </c>
      <c r="L137" s="87" t="e">
        <f t="shared" si="6"/>
        <v>#DIV/0!</v>
      </c>
      <c r="M137" s="88" t="e">
        <f t="shared" si="6"/>
        <v>#DIV/0!</v>
      </c>
      <c r="O137" s="121" t="str">
        <f t="shared" si="7"/>
        <v>קרית מוצקין</v>
      </c>
      <c r="P137" s="121" t="str">
        <f t="shared" si="7"/>
        <v>עכו</v>
      </c>
    </row>
    <row r="138" spans="1:16" x14ac:dyDescent="0.3">
      <c r="A138" s="60">
        <v>6</v>
      </c>
      <c r="B138" s="121">
        <v>3</v>
      </c>
      <c r="C138" s="79"/>
      <c r="D138" s="79"/>
      <c r="E138" s="79"/>
      <c r="F138" s="79"/>
      <c r="G138" s="94"/>
      <c r="I138" s="86" t="e">
        <f t="shared" si="6"/>
        <v>#DIV/0!</v>
      </c>
      <c r="J138" s="87" t="e">
        <f t="shared" si="6"/>
        <v>#DIV/0!</v>
      </c>
      <c r="K138" s="87" t="e">
        <f t="shared" si="6"/>
        <v>#DIV/0!</v>
      </c>
      <c r="L138" s="87" t="e">
        <f t="shared" si="6"/>
        <v>#DIV/0!</v>
      </c>
      <c r="M138" s="88" t="e">
        <f t="shared" si="6"/>
        <v>#DIV/0!</v>
      </c>
      <c r="O138" s="121" t="str">
        <f t="shared" si="7"/>
        <v>קרית מוצקין</v>
      </c>
      <c r="P138" s="121" t="str">
        <f t="shared" si="7"/>
        <v>כרמיאל</v>
      </c>
    </row>
    <row r="139" spans="1:16" x14ac:dyDescent="0.3">
      <c r="A139" s="60">
        <v>6</v>
      </c>
      <c r="B139" s="121">
        <v>4</v>
      </c>
      <c r="C139" s="79"/>
      <c r="D139" s="79"/>
      <c r="E139" s="79"/>
      <c r="F139" s="79"/>
      <c r="G139" s="94"/>
      <c r="I139" s="86" t="e">
        <f t="shared" si="6"/>
        <v>#DIV/0!</v>
      </c>
      <c r="J139" s="87" t="e">
        <f t="shared" si="6"/>
        <v>#DIV/0!</v>
      </c>
      <c r="K139" s="87" t="e">
        <f t="shared" si="6"/>
        <v>#DIV/0!</v>
      </c>
      <c r="L139" s="87" t="e">
        <f t="shared" si="6"/>
        <v>#DIV/0!</v>
      </c>
      <c r="M139" s="88" t="e">
        <f t="shared" si="6"/>
        <v>#DIV/0!</v>
      </c>
      <c r="O139" s="121" t="str">
        <f t="shared" si="7"/>
        <v>קרית מוצקין</v>
      </c>
      <c r="P139" s="121" t="str">
        <f t="shared" si="7"/>
        <v>שפרעם</v>
      </c>
    </row>
    <row r="140" spans="1:16" x14ac:dyDescent="0.3">
      <c r="A140" s="60">
        <v>6</v>
      </c>
      <c r="B140" s="121">
        <v>5</v>
      </c>
      <c r="C140" s="79"/>
      <c r="D140" s="79"/>
      <c r="E140" s="79"/>
      <c r="F140" s="79"/>
      <c r="G140" s="94"/>
      <c r="I140" s="86" t="e">
        <f t="shared" si="6"/>
        <v>#DIV/0!</v>
      </c>
      <c r="J140" s="87" t="e">
        <f t="shared" si="6"/>
        <v>#DIV/0!</v>
      </c>
      <c r="K140" s="87" t="e">
        <f t="shared" si="6"/>
        <v>#DIV/0!</v>
      </c>
      <c r="L140" s="87" t="e">
        <f t="shared" si="6"/>
        <v>#DIV/0!</v>
      </c>
      <c r="M140" s="88" t="e">
        <f t="shared" si="6"/>
        <v>#DIV/0!</v>
      </c>
      <c r="O140" s="121" t="str">
        <f t="shared" si="7"/>
        <v>קרית מוצקין</v>
      </c>
      <c r="P140" s="121" t="str">
        <f t="shared" si="7"/>
        <v>קרית ים</v>
      </c>
    </row>
    <row r="141" spans="1:16" x14ac:dyDescent="0.3">
      <c r="A141" s="60">
        <v>6</v>
      </c>
      <c r="B141" s="121">
        <v>6</v>
      </c>
      <c r="C141" s="79"/>
      <c r="D141" s="79"/>
      <c r="E141" s="79"/>
      <c r="F141" s="79"/>
      <c r="G141" s="94"/>
      <c r="I141" s="86" t="e">
        <f t="shared" si="6"/>
        <v>#DIV/0!</v>
      </c>
      <c r="J141" s="87" t="e">
        <f t="shared" si="6"/>
        <v>#DIV/0!</v>
      </c>
      <c r="K141" s="87" t="e">
        <f t="shared" si="6"/>
        <v>#DIV/0!</v>
      </c>
      <c r="L141" s="87" t="e">
        <f t="shared" si="6"/>
        <v>#DIV/0!</v>
      </c>
      <c r="M141" s="88" t="e">
        <f t="shared" si="6"/>
        <v>#DIV/0!</v>
      </c>
      <c r="O141" s="121" t="str">
        <f t="shared" si="7"/>
        <v>קרית מוצקין</v>
      </c>
      <c r="P141" s="121" t="str">
        <f t="shared" si="7"/>
        <v>קרית מוצקין</v>
      </c>
    </row>
    <row r="142" spans="1:16" x14ac:dyDescent="0.3">
      <c r="A142" s="60">
        <v>6</v>
      </c>
      <c r="B142" s="121">
        <v>7</v>
      </c>
      <c r="C142" s="79"/>
      <c r="D142" s="79"/>
      <c r="E142" s="79"/>
      <c r="F142" s="79"/>
      <c r="G142" s="94"/>
      <c r="I142" s="86" t="e">
        <f t="shared" si="6"/>
        <v>#DIV/0!</v>
      </c>
      <c r="J142" s="87" t="e">
        <f t="shared" si="6"/>
        <v>#DIV/0!</v>
      </c>
      <c r="K142" s="87" t="e">
        <f t="shared" si="6"/>
        <v>#DIV/0!</v>
      </c>
      <c r="L142" s="87" t="e">
        <f t="shared" si="6"/>
        <v>#DIV/0!</v>
      </c>
      <c r="M142" s="88" t="e">
        <f t="shared" si="6"/>
        <v>#DIV/0!</v>
      </c>
      <c r="O142" s="121" t="str">
        <f t="shared" si="7"/>
        <v>קרית מוצקין</v>
      </c>
      <c r="P142" s="121" t="str">
        <f t="shared" si="7"/>
        <v>קרית ביאליק</v>
      </c>
    </row>
    <row r="143" spans="1:16" x14ac:dyDescent="0.3">
      <c r="A143" s="60">
        <v>6</v>
      </c>
      <c r="B143" s="121">
        <v>8</v>
      </c>
      <c r="C143" s="79"/>
      <c r="D143" s="79"/>
      <c r="E143" s="79"/>
      <c r="F143" s="79"/>
      <c r="G143" s="94"/>
      <c r="I143" s="86" t="e">
        <f t="shared" si="6"/>
        <v>#DIV/0!</v>
      </c>
      <c r="J143" s="87" t="e">
        <f t="shared" si="6"/>
        <v>#DIV/0!</v>
      </c>
      <c r="K143" s="87" t="e">
        <f t="shared" si="6"/>
        <v>#DIV/0!</v>
      </c>
      <c r="L143" s="87" t="e">
        <f t="shared" si="6"/>
        <v>#DIV/0!</v>
      </c>
      <c r="M143" s="88" t="e">
        <f t="shared" si="6"/>
        <v>#DIV/0!</v>
      </c>
      <c r="O143" s="121" t="str">
        <f t="shared" si="7"/>
        <v>קרית מוצקין</v>
      </c>
      <c r="P143" s="121" t="str">
        <f t="shared" si="7"/>
        <v>קרית חיים</v>
      </c>
    </row>
    <row r="144" spans="1:16" x14ac:dyDescent="0.3">
      <c r="A144" s="60">
        <v>6</v>
      </c>
      <c r="B144" s="121">
        <v>9</v>
      </c>
      <c r="C144" s="79"/>
      <c r="D144" s="79"/>
      <c r="E144" s="79"/>
      <c r="F144" s="79"/>
      <c r="G144" s="94"/>
      <c r="I144" s="86" t="e">
        <f t="shared" si="6"/>
        <v>#DIV/0!</v>
      </c>
      <c r="J144" s="87" t="e">
        <f t="shared" si="6"/>
        <v>#DIV/0!</v>
      </c>
      <c r="K144" s="87" t="e">
        <f t="shared" si="6"/>
        <v>#DIV/0!</v>
      </c>
      <c r="L144" s="87" t="e">
        <f t="shared" si="6"/>
        <v>#DIV/0!</v>
      </c>
      <c r="M144" s="88" t="e">
        <f t="shared" si="6"/>
        <v>#DIV/0!</v>
      </c>
      <c r="O144" s="121" t="str">
        <f t="shared" si="7"/>
        <v>קרית מוצקין</v>
      </c>
      <c r="P144" s="121" t="str">
        <f t="shared" si="7"/>
        <v>קרית אתא</v>
      </c>
    </row>
    <row r="145" spans="1:16" x14ac:dyDescent="0.3">
      <c r="A145" s="60">
        <v>6</v>
      </c>
      <c r="B145" s="121">
        <v>10</v>
      </c>
      <c r="C145" s="79"/>
      <c r="D145" s="79"/>
      <c r="E145" s="79"/>
      <c r="F145" s="79"/>
      <c r="G145" s="94"/>
      <c r="I145" s="86" t="e">
        <f t="shared" si="6"/>
        <v>#DIV/0!</v>
      </c>
      <c r="J145" s="87" t="e">
        <f t="shared" si="6"/>
        <v>#DIV/0!</v>
      </c>
      <c r="K145" s="87" t="e">
        <f t="shared" si="6"/>
        <v>#DIV/0!</v>
      </c>
      <c r="L145" s="87" t="e">
        <f t="shared" si="6"/>
        <v>#DIV/0!</v>
      </c>
      <c r="M145" s="88" t="e">
        <f t="shared" si="6"/>
        <v>#DIV/0!</v>
      </c>
      <c r="O145" s="121" t="str">
        <f t="shared" si="7"/>
        <v>קרית מוצקין</v>
      </c>
      <c r="P145" s="121" t="str">
        <f t="shared" si="7"/>
        <v>כפר מנדא</v>
      </c>
    </row>
    <row r="146" spans="1:16" x14ac:dyDescent="0.3">
      <c r="A146" s="60">
        <v>6</v>
      </c>
      <c r="B146" s="121">
        <v>11</v>
      </c>
      <c r="C146" s="79"/>
      <c r="D146" s="79"/>
      <c r="E146" s="79"/>
      <c r="F146" s="79"/>
      <c r="G146" s="94"/>
      <c r="I146" s="86" t="e">
        <f t="shared" si="6"/>
        <v>#DIV/0!</v>
      </c>
      <c r="J146" s="87" t="e">
        <f t="shared" si="6"/>
        <v>#DIV/0!</v>
      </c>
      <c r="K146" s="87" t="e">
        <f t="shared" si="6"/>
        <v>#DIV/0!</v>
      </c>
      <c r="L146" s="87" t="e">
        <f t="shared" si="6"/>
        <v>#DIV/0!</v>
      </c>
      <c r="M146" s="88" t="e">
        <f t="shared" si="6"/>
        <v>#DIV/0!</v>
      </c>
      <c r="O146" s="121" t="str">
        <f t="shared" si="7"/>
        <v>קרית מוצקין</v>
      </c>
      <c r="P146" s="121" t="str">
        <f t="shared" si="7"/>
        <v>זבולון</v>
      </c>
    </row>
    <row r="147" spans="1:16" x14ac:dyDescent="0.3">
      <c r="A147" s="60">
        <v>6</v>
      </c>
      <c r="B147" s="121">
        <v>12</v>
      </c>
      <c r="C147" s="79"/>
      <c r="D147" s="79"/>
      <c r="E147" s="79"/>
      <c r="F147" s="79"/>
      <c r="G147" s="94"/>
      <c r="I147" s="86" t="e">
        <f t="shared" si="6"/>
        <v>#DIV/0!</v>
      </c>
      <c r="J147" s="87" t="e">
        <f t="shared" si="6"/>
        <v>#DIV/0!</v>
      </c>
      <c r="K147" s="87" t="e">
        <f t="shared" si="6"/>
        <v>#DIV/0!</v>
      </c>
      <c r="L147" s="87" t="e">
        <f t="shared" si="6"/>
        <v>#DIV/0!</v>
      </c>
      <c r="M147" s="88" t="e">
        <f t="shared" si="6"/>
        <v>#DIV/0!</v>
      </c>
      <c r="O147" s="121" t="str">
        <f t="shared" si="7"/>
        <v>קרית מוצקין</v>
      </c>
      <c r="P147" s="121" t="str">
        <f t="shared" si="7"/>
        <v>חיפה מפרץ</v>
      </c>
    </row>
    <row r="148" spans="1:16" x14ac:dyDescent="0.3">
      <c r="A148" s="60">
        <v>6</v>
      </c>
      <c r="B148" s="121">
        <v>13</v>
      </c>
      <c r="C148" s="79"/>
      <c r="D148" s="79"/>
      <c r="E148" s="79"/>
      <c r="F148" s="79"/>
      <c r="G148" s="94"/>
      <c r="I148" s="86" t="e">
        <f t="shared" si="6"/>
        <v>#DIV/0!</v>
      </c>
      <c r="J148" s="87" t="e">
        <f t="shared" si="6"/>
        <v>#DIV/0!</v>
      </c>
      <c r="K148" s="87" t="e">
        <f t="shared" si="6"/>
        <v>#DIV/0!</v>
      </c>
      <c r="L148" s="87" t="e">
        <f t="shared" si="6"/>
        <v>#DIV/0!</v>
      </c>
      <c r="M148" s="88" t="e">
        <f t="shared" si="6"/>
        <v>#DIV/0!</v>
      </c>
      <c r="O148" s="121" t="str">
        <f t="shared" si="7"/>
        <v>קרית מוצקין</v>
      </c>
      <c r="P148" s="121" t="str">
        <f t="shared" si="7"/>
        <v>חיפה עיר תחתית</v>
      </c>
    </row>
    <row r="149" spans="1:16" x14ac:dyDescent="0.3">
      <c r="A149" s="60">
        <v>6</v>
      </c>
      <c r="B149" s="121">
        <v>14</v>
      </c>
      <c r="C149" s="79"/>
      <c r="D149" s="79"/>
      <c r="E149" s="79"/>
      <c r="F149" s="79"/>
      <c r="G149" s="94"/>
      <c r="I149" s="86" t="e">
        <f t="shared" si="6"/>
        <v>#DIV/0!</v>
      </c>
      <c r="J149" s="87" t="e">
        <f t="shared" si="6"/>
        <v>#DIV/0!</v>
      </c>
      <c r="K149" s="87" t="e">
        <f t="shared" si="6"/>
        <v>#DIV/0!</v>
      </c>
      <c r="L149" s="87" t="e">
        <f t="shared" si="6"/>
        <v>#DIV/0!</v>
      </c>
      <c r="M149" s="88" t="e">
        <f t="shared" si="6"/>
        <v>#DIV/0!</v>
      </c>
      <c r="O149" s="121" t="str">
        <f t="shared" si="7"/>
        <v>קרית מוצקין</v>
      </c>
      <c r="P149" s="121" t="str">
        <f t="shared" si="7"/>
        <v>חיפה הדר-כרמל</v>
      </c>
    </row>
    <row r="150" spans="1:16" x14ac:dyDescent="0.3">
      <c r="A150" s="60">
        <v>6</v>
      </c>
      <c r="B150" s="121">
        <v>15</v>
      </c>
      <c r="C150" s="79"/>
      <c r="D150" s="79"/>
      <c r="E150" s="79"/>
      <c r="F150" s="79"/>
      <c r="G150" s="94"/>
      <c r="I150" s="86" t="e">
        <f t="shared" si="6"/>
        <v>#DIV/0!</v>
      </c>
      <c r="J150" s="87" t="e">
        <f t="shared" si="6"/>
        <v>#DIV/0!</v>
      </c>
      <c r="K150" s="87" t="e">
        <f t="shared" si="6"/>
        <v>#DIV/0!</v>
      </c>
      <c r="L150" s="87" t="e">
        <f t="shared" si="6"/>
        <v>#DIV/0!</v>
      </c>
      <c r="M150" s="88" t="e">
        <f t="shared" si="6"/>
        <v>#DIV/0!</v>
      </c>
      <c r="O150" s="121" t="str">
        <f t="shared" si="7"/>
        <v>קרית מוצקין</v>
      </c>
      <c r="P150" s="121" t="str">
        <f t="shared" si="7"/>
        <v>חיפה מערב</v>
      </c>
    </row>
    <row r="151" spans="1:16" x14ac:dyDescent="0.3">
      <c r="A151" s="60">
        <v>6</v>
      </c>
      <c r="B151" s="121">
        <v>16</v>
      </c>
      <c r="C151" s="79"/>
      <c r="D151" s="79"/>
      <c r="E151" s="79"/>
      <c r="F151" s="79"/>
      <c r="G151" s="94"/>
      <c r="I151" s="86" t="e">
        <f t="shared" si="6"/>
        <v>#DIV/0!</v>
      </c>
      <c r="J151" s="87" t="e">
        <f t="shared" si="6"/>
        <v>#DIV/0!</v>
      </c>
      <c r="K151" s="87" t="e">
        <f t="shared" si="6"/>
        <v>#DIV/0!</v>
      </c>
      <c r="L151" s="87" t="e">
        <f t="shared" si="6"/>
        <v>#DIV/0!</v>
      </c>
      <c r="M151" s="88" t="e">
        <f t="shared" si="6"/>
        <v>#DIV/0!</v>
      </c>
      <c r="O151" s="121" t="str">
        <f t="shared" si="7"/>
        <v>קרית מוצקין</v>
      </c>
      <c r="P151" s="121" t="str">
        <f t="shared" si="7"/>
        <v>חיפה כרמל</v>
      </c>
    </row>
    <row r="152" spans="1:16" x14ac:dyDescent="0.3">
      <c r="A152" s="60">
        <v>6</v>
      </c>
      <c r="B152" s="121">
        <v>17</v>
      </c>
      <c r="C152" s="79"/>
      <c r="D152" s="79"/>
      <c r="E152" s="79"/>
      <c r="F152" s="79"/>
      <c r="G152" s="94"/>
      <c r="I152" s="86" t="e">
        <f t="shared" si="6"/>
        <v>#DIV/0!</v>
      </c>
      <c r="J152" s="87" t="e">
        <f t="shared" si="6"/>
        <v>#DIV/0!</v>
      </c>
      <c r="K152" s="87" t="e">
        <f t="shared" si="6"/>
        <v>#DIV/0!</v>
      </c>
      <c r="L152" s="87" t="e">
        <f t="shared" si="6"/>
        <v>#DIV/0!</v>
      </c>
      <c r="M152" s="88" t="e">
        <f t="shared" si="6"/>
        <v>#DIV/0!</v>
      </c>
      <c r="O152" s="121" t="str">
        <f t="shared" si="7"/>
        <v>קרית מוצקין</v>
      </c>
      <c r="P152" s="121" t="str">
        <f t="shared" si="7"/>
        <v>חיפה נווה שאנן</v>
      </c>
    </row>
    <row r="153" spans="1:16" x14ac:dyDescent="0.3">
      <c r="A153" s="60">
        <v>6</v>
      </c>
      <c r="B153" s="121">
        <v>18</v>
      </c>
      <c r="C153" s="79"/>
      <c r="D153" s="79"/>
      <c r="E153" s="79"/>
      <c r="F153" s="79"/>
      <c r="G153" s="94"/>
      <c r="I153" s="86" t="e">
        <f t="shared" si="6"/>
        <v>#DIV/0!</v>
      </c>
      <c r="J153" s="87" t="e">
        <f t="shared" si="6"/>
        <v>#DIV/0!</v>
      </c>
      <c r="K153" s="87" t="e">
        <f t="shared" si="6"/>
        <v>#DIV/0!</v>
      </c>
      <c r="L153" s="87" t="e">
        <f t="shared" si="6"/>
        <v>#DIV/0!</v>
      </c>
      <c r="M153" s="88" t="e">
        <f t="shared" si="6"/>
        <v>#DIV/0!</v>
      </c>
      <c r="O153" s="121" t="str">
        <f t="shared" si="7"/>
        <v>קרית מוצקין</v>
      </c>
      <c r="P153" s="121" t="str">
        <f t="shared" si="7"/>
        <v>נשר</v>
      </c>
    </row>
    <row r="154" spans="1:16" x14ac:dyDescent="0.3">
      <c r="A154" s="60">
        <v>6</v>
      </c>
      <c r="B154" s="121">
        <v>19</v>
      </c>
      <c r="C154" s="79"/>
      <c r="D154" s="79"/>
      <c r="E154" s="79"/>
      <c r="F154" s="79"/>
      <c r="G154" s="94"/>
      <c r="I154" s="86" t="e">
        <f t="shared" si="6"/>
        <v>#DIV/0!</v>
      </c>
      <c r="J154" s="87" t="e">
        <f t="shared" si="6"/>
        <v>#DIV/0!</v>
      </c>
      <c r="K154" s="87" t="e">
        <f t="shared" si="6"/>
        <v>#DIV/0!</v>
      </c>
      <c r="L154" s="87" t="e">
        <f t="shared" si="6"/>
        <v>#DIV/0!</v>
      </c>
      <c r="M154" s="88" t="e">
        <f t="shared" si="6"/>
        <v>#DIV/0!</v>
      </c>
      <c r="O154" s="121" t="str">
        <f t="shared" si="7"/>
        <v>קרית מוצקין</v>
      </c>
      <c r="P154" s="121" t="str">
        <f t="shared" si="7"/>
        <v>נצרת</v>
      </c>
    </row>
    <row r="155" spans="1:16" x14ac:dyDescent="0.3">
      <c r="A155" s="60">
        <v>6</v>
      </c>
      <c r="B155" s="121">
        <v>20</v>
      </c>
      <c r="C155" s="79"/>
      <c r="D155" s="79"/>
      <c r="E155" s="79"/>
      <c r="F155" s="79"/>
      <c r="G155" s="94"/>
      <c r="I155" s="86" t="e">
        <f t="shared" si="6"/>
        <v>#DIV/0!</v>
      </c>
      <c r="J155" s="87" t="e">
        <f t="shared" si="6"/>
        <v>#DIV/0!</v>
      </c>
      <c r="K155" s="87" t="e">
        <f t="shared" si="6"/>
        <v>#DIV/0!</v>
      </c>
      <c r="L155" s="87" t="e">
        <f t="shared" si="6"/>
        <v>#DIV/0!</v>
      </c>
      <c r="M155" s="88" t="e">
        <f t="shared" si="6"/>
        <v>#DIV/0!</v>
      </c>
      <c r="O155" s="121" t="str">
        <f t="shared" si="7"/>
        <v>קרית מוצקין</v>
      </c>
      <c r="P155" s="121" t="str">
        <f t="shared" si="7"/>
        <v>נצרת-עילית</v>
      </c>
    </row>
    <row r="156" spans="1:16" x14ac:dyDescent="0.3">
      <c r="A156" s="60">
        <v>6</v>
      </c>
      <c r="B156" s="121">
        <v>21</v>
      </c>
      <c r="C156" s="79"/>
      <c r="D156" s="79"/>
      <c r="E156" s="79"/>
      <c r="F156" s="79"/>
      <c r="G156" s="94"/>
      <c r="I156" s="86" t="e">
        <f t="shared" si="6"/>
        <v>#DIV/0!</v>
      </c>
      <c r="J156" s="87" t="e">
        <f t="shared" si="6"/>
        <v>#DIV/0!</v>
      </c>
      <c r="K156" s="87" t="e">
        <f t="shared" si="6"/>
        <v>#DIV/0!</v>
      </c>
      <c r="L156" s="87" t="e">
        <f t="shared" si="6"/>
        <v>#DIV/0!</v>
      </c>
      <c r="M156" s="88" t="e">
        <f t="shared" si="6"/>
        <v>#DIV/0!</v>
      </c>
      <c r="O156" s="121" t="str">
        <f t="shared" si="7"/>
        <v>קרית מוצקין</v>
      </c>
      <c r="P156" s="121" t="str">
        <f t="shared" si="7"/>
        <v>מגדל העמק</v>
      </c>
    </row>
    <row r="157" spans="1:16" x14ac:dyDescent="0.3">
      <c r="A157" s="60">
        <v>6</v>
      </c>
      <c r="B157" s="121">
        <v>22</v>
      </c>
      <c r="C157" s="79"/>
      <c r="D157" s="79"/>
      <c r="E157" s="79"/>
      <c r="F157" s="79"/>
      <c r="G157" s="94"/>
      <c r="I157" s="86" t="e">
        <f t="shared" si="6"/>
        <v>#DIV/0!</v>
      </c>
      <c r="J157" s="87" t="e">
        <f t="shared" si="6"/>
        <v>#DIV/0!</v>
      </c>
      <c r="K157" s="87" t="e">
        <f t="shared" si="6"/>
        <v>#DIV/0!</v>
      </c>
      <c r="L157" s="87" t="e">
        <f t="shared" si="6"/>
        <v>#DIV/0!</v>
      </c>
      <c r="M157" s="88" t="e">
        <f t="shared" si="6"/>
        <v>#DIV/0!</v>
      </c>
      <c r="O157" s="121" t="str">
        <f t="shared" si="7"/>
        <v>קרית מוצקין</v>
      </c>
      <c r="P157" s="121" t="str">
        <f t="shared" si="7"/>
        <v>יוקנעם</v>
      </c>
    </row>
    <row r="158" spans="1:16" x14ac:dyDescent="0.3">
      <c r="A158" s="60">
        <v>6</v>
      </c>
      <c r="B158" s="121">
        <v>23</v>
      </c>
      <c r="C158" s="79"/>
      <c r="D158" s="79"/>
      <c r="E158" s="79"/>
      <c r="F158" s="79"/>
      <c r="G158" s="94"/>
      <c r="I158" s="86" t="e">
        <f t="shared" si="6"/>
        <v>#DIV/0!</v>
      </c>
      <c r="J158" s="87" t="e">
        <f t="shared" si="6"/>
        <v>#DIV/0!</v>
      </c>
      <c r="K158" s="87" t="e">
        <f t="shared" si="6"/>
        <v>#DIV/0!</v>
      </c>
      <c r="L158" s="87" t="e">
        <f t="shared" si="6"/>
        <v>#DIV/0!</v>
      </c>
      <c r="M158" s="88" t="e">
        <f t="shared" si="6"/>
        <v>#DIV/0!</v>
      </c>
      <c r="O158" s="121" t="str">
        <f t="shared" si="7"/>
        <v>קרית מוצקין</v>
      </c>
      <c r="P158" s="121" t="str">
        <f t="shared" si="7"/>
        <v>דלית אל כרמל</v>
      </c>
    </row>
    <row r="159" spans="1:16" x14ac:dyDescent="0.3">
      <c r="A159" s="60">
        <v>6</v>
      </c>
      <c r="B159" s="121">
        <v>24</v>
      </c>
      <c r="C159" s="79"/>
      <c r="D159" s="79"/>
      <c r="E159" s="79"/>
      <c r="F159" s="79"/>
      <c r="G159" s="94"/>
      <c r="I159" s="86" t="e">
        <f t="shared" si="6"/>
        <v>#DIV/0!</v>
      </c>
      <c r="J159" s="87" t="e">
        <f t="shared" si="6"/>
        <v>#DIV/0!</v>
      </c>
      <c r="K159" s="87" t="e">
        <f t="shared" si="6"/>
        <v>#DIV/0!</v>
      </c>
      <c r="L159" s="87" t="e">
        <f t="shared" si="6"/>
        <v>#DIV/0!</v>
      </c>
      <c r="M159" s="88" t="e">
        <f t="shared" si="6"/>
        <v>#DIV/0!</v>
      </c>
      <c r="O159" s="121" t="str">
        <f t="shared" si="7"/>
        <v>קרית מוצקין</v>
      </c>
      <c r="P159" s="121" t="str">
        <f t="shared" si="7"/>
        <v>חוף הכרמל</v>
      </c>
    </row>
    <row r="160" spans="1:16" x14ac:dyDescent="0.3">
      <c r="A160" s="60">
        <v>6</v>
      </c>
      <c r="B160" s="121">
        <v>25</v>
      </c>
      <c r="C160" s="79"/>
      <c r="D160" s="79"/>
      <c r="E160" s="79"/>
      <c r="F160" s="79"/>
      <c r="G160" s="94"/>
      <c r="I160" s="86" t="e">
        <f t="shared" si="6"/>
        <v>#DIV/0!</v>
      </c>
      <c r="J160" s="87" t="e">
        <f t="shared" si="6"/>
        <v>#DIV/0!</v>
      </c>
      <c r="K160" s="87" t="e">
        <f t="shared" si="6"/>
        <v>#DIV/0!</v>
      </c>
      <c r="L160" s="87" t="e">
        <f t="shared" si="6"/>
        <v>#DIV/0!</v>
      </c>
      <c r="M160" s="88" t="e">
        <f t="shared" si="6"/>
        <v>#DIV/0!</v>
      </c>
      <c r="O160" s="121" t="str">
        <f t="shared" si="7"/>
        <v>קרית מוצקין</v>
      </c>
      <c r="P160" s="121" t="str">
        <f t="shared" si="7"/>
        <v>זכרון יעקב</v>
      </c>
    </row>
    <row r="161" spans="1:16" x14ac:dyDescent="0.3">
      <c r="A161" s="60">
        <v>6</v>
      </c>
      <c r="B161" s="121">
        <v>30</v>
      </c>
      <c r="C161" s="79"/>
      <c r="D161" s="79"/>
      <c r="E161" s="79"/>
      <c r="F161" s="79"/>
      <c r="G161" s="94"/>
      <c r="I161" s="86" t="e">
        <f t="shared" si="6"/>
        <v>#DIV/0!</v>
      </c>
      <c r="J161" s="87" t="e">
        <f t="shared" si="6"/>
        <v>#DIV/0!</v>
      </c>
      <c r="K161" s="87" t="e">
        <f t="shared" si="6"/>
        <v>#DIV/0!</v>
      </c>
      <c r="L161" s="87" t="e">
        <f t="shared" si="6"/>
        <v>#DIV/0!</v>
      </c>
      <c r="M161" s="88" t="e">
        <f t="shared" si="6"/>
        <v>#DIV/0!</v>
      </c>
      <c r="O161" s="121" t="str">
        <f t="shared" si="7"/>
        <v>קרית מוצקין</v>
      </c>
      <c r="P161" s="121" t="str">
        <f t="shared" si="7"/>
        <v>סכנין</v>
      </c>
    </row>
    <row r="162" spans="1:16" x14ac:dyDescent="0.3">
      <c r="A162" s="60">
        <v>7</v>
      </c>
      <c r="B162" s="121">
        <v>1</v>
      </c>
      <c r="C162" s="79"/>
      <c r="D162" s="79"/>
      <c r="E162" s="79"/>
      <c r="F162" s="79"/>
      <c r="G162" s="94"/>
      <c r="I162" s="86" t="e">
        <f t="shared" si="6"/>
        <v>#DIV/0!</v>
      </c>
      <c r="J162" s="87" t="e">
        <f t="shared" si="6"/>
        <v>#DIV/0!</v>
      </c>
      <c r="K162" s="87" t="e">
        <f t="shared" si="6"/>
        <v>#DIV/0!</v>
      </c>
      <c r="L162" s="87" t="e">
        <f t="shared" si="6"/>
        <v>#DIV/0!</v>
      </c>
      <c r="M162" s="88" t="e">
        <f t="shared" si="6"/>
        <v>#DIV/0!</v>
      </c>
      <c r="O162" s="121" t="str">
        <f t="shared" si="7"/>
        <v>קרית ביאליק</v>
      </c>
      <c r="P162" s="121" t="str">
        <f t="shared" si="7"/>
        <v>נהריה</v>
      </c>
    </row>
    <row r="163" spans="1:16" x14ac:dyDescent="0.3">
      <c r="A163" s="60">
        <v>7</v>
      </c>
      <c r="B163" s="121">
        <v>2</v>
      </c>
      <c r="C163" s="79"/>
      <c r="D163" s="79"/>
      <c r="E163" s="79"/>
      <c r="F163" s="79"/>
      <c r="G163" s="94"/>
      <c r="I163" s="86" t="e">
        <f t="shared" si="6"/>
        <v>#DIV/0!</v>
      </c>
      <c r="J163" s="87" t="e">
        <f t="shared" si="6"/>
        <v>#DIV/0!</v>
      </c>
      <c r="K163" s="87" t="e">
        <f t="shared" si="6"/>
        <v>#DIV/0!</v>
      </c>
      <c r="L163" s="87" t="e">
        <f t="shared" si="6"/>
        <v>#DIV/0!</v>
      </c>
      <c r="M163" s="88" t="e">
        <f t="shared" si="6"/>
        <v>#DIV/0!</v>
      </c>
      <c r="O163" s="121" t="str">
        <f t="shared" si="7"/>
        <v>קרית ביאליק</v>
      </c>
      <c r="P163" s="121" t="str">
        <f t="shared" si="7"/>
        <v>עכו</v>
      </c>
    </row>
    <row r="164" spans="1:16" x14ac:dyDescent="0.3">
      <c r="A164" s="60">
        <v>7</v>
      </c>
      <c r="B164" s="121">
        <v>3</v>
      </c>
      <c r="C164" s="79"/>
      <c r="D164" s="79"/>
      <c r="E164" s="79"/>
      <c r="F164" s="79"/>
      <c r="G164" s="94"/>
      <c r="I164" s="86" t="e">
        <f t="shared" si="6"/>
        <v>#DIV/0!</v>
      </c>
      <c r="J164" s="87" t="e">
        <f t="shared" si="6"/>
        <v>#DIV/0!</v>
      </c>
      <c r="K164" s="87" t="e">
        <f t="shared" si="6"/>
        <v>#DIV/0!</v>
      </c>
      <c r="L164" s="87" t="e">
        <f t="shared" si="6"/>
        <v>#DIV/0!</v>
      </c>
      <c r="M164" s="88" t="e">
        <f t="shared" si="6"/>
        <v>#DIV/0!</v>
      </c>
      <c r="O164" s="121" t="str">
        <f t="shared" si="7"/>
        <v>קרית ביאליק</v>
      </c>
      <c r="P164" s="121" t="str">
        <f t="shared" si="7"/>
        <v>כרמיאל</v>
      </c>
    </row>
    <row r="165" spans="1:16" x14ac:dyDescent="0.3">
      <c r="A165" s="60">
        <v>7</v>
      </c>
      <c r="B165" s="121">
        <v>4</v>
      </c>
      <c r="C165" s="79"/>
      <c r="D165" s="79"/>
      <c r="E165" s="79"/>
      <c r="F165" s="79"/>
      <c r="G165" s="94"/>
      <c r="I165" s="86" t="e">
        <f t="shared" si="6"/>
        <v>#DIV/0!</v>
      </c>
      <c r="J165" s="87" t="e">
        <f t="shared" si="6"/>
        <v>#DIV/0!</v>
      </c>
      <c r="K165" s="87" t="e">
        <f t="shared" si="6"/>
        <v>#DIV/0!</v>
      </c>
      <c r="L165" s="87" t="e">
        <f t="shared" si="6"/>
        <v>#DIV/0!</v>
      </c>
      <c r="M165" s="88" t="e">
        <f t="shared" si="6"/>
        <v>#DIV/0!</v>
      </c>
      <c r="O165" s="121" t="str">
        <f t="shared" si="7"/>
        <v>קרית ביאליק</v>
      </c>
      <c r="P165" s="121" t="str">
        <f t="shared" si="7"/>
        <v>שפרעם</v>
      </c>
    </row>
    <row r="166" spans="1:16" x14ac:dyDescent="0.3">
      <c r="A166" s="60">
        <v>7</v>
      </c>
      <c r="B166" s="121">
        <v>5</v>
      </c>
      <c r="C166" s="79"/>
      <c r="D166" s="79"/>
      <c r="E166" s="79"/>
      <c r="F166" s="79"/>
      <c r="G166" s="94"/>
      <c r="I166" s="86" t="e">
        <f t="shared" si="6"/>
        <v>#DIV/0!</v>
      </c>
      <c r="J166" s="87" t="e">
        <f t="shared" si="6"/>
        <v>#DIV/0!</v>
      </c>
      <c r="K166" s="87" t="e">
        <f t="shared" si="6"/>
        <v>#DIV/0!</v>
      </c>
      <c r="L166" s="87" t="e">
        <f t="shared" si="6"/>
        <v>#DIV/0!</v>
      </c>
      <c r="M166" s="88" t="e">
        <f t="shared" si="6"/>
        <v>#DIV/0!</v>
      </c>
      <c r="O166" s="121" t="str">
        <f t="shared" si="7"/>
        <v>קרית ביאליק</v>
      </c>
      <c r="P166" s="121" t="str">
        <f t="shared" si="7"/>
        <v>קרית ים</v>
      </c>
    </row>
    <row r="167" spans="1:16" x14ac:dyDescent="0.3">
      <c r="A167" s="60">
        <v>7</v>
      </c>
      <c r="B167" s="121">
        <v>6</v>
      </c>
      <c r="C167" s="79"/>
      <c r="D167" s="79"/>
      <c r="E167" s="79"/>
      <c r="F167" s="79"/>
      <c r="G167" s="94"/>
      <c r="I167" s="86" t="e">
        <f t="shared" si="6"/>
        <v>#DIV/0!</v>
      </c>
      <c r="J167" s="87" t="e">
        <f t="shared" si="6"/>
        <v>#DIV/0!</v>
      </c>
      <c r="K167" s="87" t="e">
        <f t="shared" si="6"/>
        <v>#DIV/0!</v>
      </c>
      <c r="L167" s="87" t="e">
        <f t="shared" si="6"/>
        <v>#DIV/0!</v>
      </c>
      <c r="M167" s="88" t="e">
        <f t="shared" si="6"/>
        <v>#DIV/0!</v>
      </c>
      <c r="O167" s="121" t="str">
        <f t="shared" si="7"/>
        <v>קרית ביאליק</v>
      </c>
      <c r="P167" s="121" t="str">
        <f t="shared" si="7"/>
        <v>קרית מוצקין</v>
      </c>
    </row>
    <row r="168" spans="1:16" x14ac:dyDescent="0.3">
      <c r="A168" s="60">
        <v>7</v>
      </c>
      <c r="B168" s="121">
        <v>7</v>
      </c>
      <c r="C168" s="79"/>
      <c r="D168" s="79"/>
      <c r="E168" s="79"/>
      <c r="F168" s="79"/>
      <c r="G168" s="94"/>
      <c r="I168" s="86" t="e">
        <f t="shared" si="6"/>
        <v>#DIV/0!</v>
      </c>
      <c r="J168" s="87" t="e">
        <f t="shared" si="6"/>
        <v>#DIV/0!</v>
      </c>
      <c r="K168" s="87" t="e">
        <f t="shared" si="6"/>
        <v>#DIV/0!</v>
      </c>
      <c r="L168" s="87" t="e">
        <f t="shared" si="6"/>
        <v>#DIV/0!</v>
      </c>
      <c r="M168" s="88" t="e">
        <f t="shared" si="6"/>
        <v>#DIV/0!</v>
      </c>
      <c r="O168" s="121" t="str">
        <f t="shared" si="7"/>
        <v>קרית ביאליק</v>
      </c>
      <c r="P168" s="121" t="str">
        <f t="shared" si="7"/>
        <v>קרית ביאליק</v>
      </c>
    </row>
    <row r="169" spans="1:16" x14ac:dyDescent="0.3">
      <c r="A169" s="60">
        <v>7</v>
      </c>
      <c r="B169" s="121">
        <v>8</v>
      </c>
      <c r="C169" s="79"/>
      <c r="D169" s="79"/>
      <c r="E169" s="79"/>
      <c r="F169" s="79"/>
      <c r="G169" s="94"/>
      <c r="I169" s="86" t="e">
        <f t="shared" si="6"/>
        <v>#DIV/0!</v>
      </c>
      <c r="J169" s="87" t="e">
        <f t="shared" si="6"/>
        <v>#DIV/0!</v>
      </c>
      <c r="K169" s="87" t="e">
        <f t="shared" si="6"/>
        <v>#DIV/0!</v>
      </c>
      <c r="L169" s="87" t="e">
        <f t="shared" si="6"/>
        <v>#DIV/0!</v>
      </c>
      <c r="M169" s="88" t="e">
        <f t="shared" si="6"/>
        <v>#DIV/0!</v>
      </c>
      <c r="O169" s="121" t="str">
        <f t="shared" si="7"/>
        <v>קרית ביאליק</v>
      </c>
      <c r="P169" s="121" t="str">
        <f t="shared" si="7"/>
        <v>קרית חיים</v>
      </c>
    </row>
    <row r="170" spans="1:16" x14ac:dyDescent="0.3">
      <c r="A170" s="60">
        <v>7</v>
      </c>
      <c r="B170" s="121">
        <v>9</v>
      </c>
      <c r="C170" s="79"/>
      <c r="D170" s="79"/>
      <c r="E170" s="79"/>
      <c r="F170" s="79"/>
      <c r="G170" s="94"/>
      <c r="I170" s="86" t="e">
        <f t="shared" si="6"/>
        <v>#DIV/0!</v>
      </c>
      <c r="J170" s="87" t="e">
        <f t="shared" si="6"/>
        <v>#DIV/0!</v>
      </c>
      <c r="K170" s="87" t="e">
        <f t="shared" si="6"/>
        <v>#DIV/0!</v>
      </c>
      <c r="L170" s="87" t="e">
        <f t="shared" si="6"/>
        <v>#DIV/0!</v>
      </c>
      <c r="M170" s="88" t="e">
        <f t="shared" si="6"/>
        <v>#DIV/0!</v>
      </c>
      <c r="O170" s="121" t="str">
        <f t="shared" si="7"/>
        <v>קרית ביאליק</v>
      </c>
      <c r="P170" s="121" t="str">
        <f t="shared" si="7"/>
        <v>קרית אתא</v>
      </c>
    </row>
    <row r="171" spans="1:16" x14ac:dyDescent="0.3">
      <c r="A171" s="60">
        <v>7</v>
      </c>
      <c r="B171" s="121">
        <v>10</v>
      </c>
      <c r="C171" s="79"/>
      <c r="D171" s="79"/>
      <c r="E171" s="79"/>
      <c r="F171" s="79"/>
      <c r="G171" s="94"/>
      <c r="I171" s="86" t="e">
        <f t="shared" si="6"/>
        <v>#DIV/0!</v>
      </c>
      <c r="J171" s="87" t="e">
        <f t="shared" si="6"/>
        <v>#DIV/0!</v>
      </c>
      <c r="K171" s="87" t="e">
        <f t="shared" si="6"/>
        <v>#DIV/0!</v>
      </c>
      <c r="L171" s="87" t="e">
        <f t="shared" si="6"/>
        <v>#DIV/0!</v>
      </c>
      <c r="M171" s="88" t="e">
        <f t="shared" si="6"/>
        <v>#DIV/0!</v>
      </c>
      <c r="O171" s="121" t="str">
        <f t="shared" si="7"/>
        <v>קרית ביאליק</v>
      </c>
      <c r="P171" s="121" t="str">
        <f t="shared" si="7"/>
        <v>כפר מנדא</v>
      </c>
    </row>
    <row r="172" spans="1:16" x14ac:dyDescent="0.3">
      <c r="A172" s="60">
        <v>7</v>
      </c>
      <c r="B172" s="121">
        <v>11</v>
      </c>
      <c r="C172" s="79"/>
      <c r="D172" s="79"/>
      <c r="E172" s="79"/>
      <c r="F172" s="79"/>
      <c r="G172" s="94"/>
      <c r="I172" s="86" t="e">
        <f t="shared" ref="I172:M222" si="8">C172/SUM($C172:$G172)</f>
        <v>#DIV/0!</v>
      </c>
      <c r="J172" s="87" t="e">
        <f t="shared" si="8"/>
        <v>#DIV/0!</v>
      </c>
      <c r="K172" s="87" t="e">
        <f t="shared" si="8"/>
        <v>#DIV/0!</v>
      </c>
      <c r="L172" s="87" t="e">
        <f t="shared" si="8"/>
        <v>#DIV/0!</v>
      </c>
      <c r="M172" s="88" t="e">
        <f t="shared" si="8"/>
        <v>#DIV/0!</v>
      </c>
      <c r="O172" s="121" t="str">
        <f t="shared" si="7"/>
        <v>קרית ביאליק</v>
      </c>
      <c r="P172" s="121" t="str">
        <f t="shared" si="7"/>
        <v>זבולון</v>
      </c>
    </row>
    <row r="173" spans="1:16" x14ac:dyDescent="0.3">
      <c r="A173" s="60">
        <v>7</v>
      </c>
      <c r="B173" s="121">
        <v>12</v>
      </c>
      <c r="C173" s="79"/>
      <c r="D173" s="79"/>
      <c r="E173" s="79"/>
      <c r="F173" s="79"/>
      <c r="G173" s="94"/>
      <c r="I173" s="86" t="e">
        <f t="shared" si="8"/>
        <v>#DIV/0!</v>
      </c>
      <c r="J173" s="87" t="e">
        <f t="shared" si="8"/>
        <v>#DIV/0!</v>
      </c>
      <c r="K173" s="87" t="e">
        <f t="shared" si="8"/>
        <v>#DIV/0!</v>
      </c>
      <c r="L173" s="87" t="e">
        <f t="shared" si="8"/>
        <v>#DIV/0!</v>
      </c>
      <c r="M173" s="88" t="e">
        <f t="shared" si="8"/>
        <v>#DIV/0!</v>
      </c>
      <c r="O173" s="121" t="str">
        <f t="shared" si="7"/>
        <v>קרית ביאליק</v>
      </c>
      <c r="P173" s="121" t="str">
        <f t="shared" si="7"/>
        <v>חיפה מפרץ</v>
      </c>
    </row>
    <row r="174" spans="1:16" x14ac:dyDescent="0.3">
      <c r="A174" s="60">
        <v>7</v>
      </c>
      <c r="B174" s="121">
        <v>13</v>
      </c>
      <c r="C174" s="79"/>
      <c r="D174" s="79"/>
      <c r="E174" s="79"/>
      <c r="F174" s="79"/>
      <c r="G174" s="94"/>
      <c r="I174" s="86" t="e">
        <f t="shared" si="8"/>
        <v>#DIV/0!</v>
      </c>
      <c r="J174" s="87" t="e">
        <f t="shared" si="8"/>
        <v>#DIV/0!</v>
      </c>
      <c r="K174" s="87" t="e">
        <f t="shared" si="8"/>
        <v>#DIV/0!</v>
      </c>
      <c r="L174" s="87" t="e">
        <f t="shared" si="8"/>
        <v>#DIV/0!</v>
      </c>
      <c r="M174" s="88" t="e">
        <f t="shared" si="8"/>
        <v>#DIV/0!</v>
      </c>
      <c r="O174" s="121" t="str">
        <f t="shared" si="7"/>
        <v>קרית ביאליק</v>
      </c>
      <c r="P174" s="121" t="str">
        <f t="shared" si="7"/>
        <v>חיפה עיר תחתית</v>
      </c>
    </row>
    <row r="175" spans="1:16" x14ac:dyDescent="0.3">
      <c r="A175" s="60">
        <v>7</v>
      </c>
      <c r="B175" s="121">
        <v>14</v>
      </c>
      <c r="C175" s="79"/>
      <c r="D175" s="79"/>
      <c r="E175" s="79"/>
      <c r="F175" s="79"/>
      <c r="G175" s="94"/>
      <c r="I175" s="86" t="e">
        <f t="shared" si="8"/>
        <v>#DIV/0!</v>
      </c>
      <c r="J175" s="87" t="e">
        <f t="shared" si="8"/>
        <v>#DIV/0!</v>
      </c>
      <c r="K175" s="87" t="e">
        <f t="shared" si="8"/>
        <v>#DIV/0!</v>
      </c>
      <c r="L175" s="87" t="e">
        <f t="shared" si="8"/>
        <v>#DIV/0!</v>
      </c>
      <c r="M175" s="88" t="e">
        <f t="shared" si="8"/>
        <v>#DIV/0!</v>
      </c>
      <c r="O175" s="121" t="str">
        <f t="shared" si="7"/>
        <v>קרית ביאליק</v>
      </c>
      <c r="P175" s="121" t="str">
        <f t="shared" si="7"/>
        <v>חיפה הדר-כרמל</v>
      </c>
    </row>
    <row r="176" spans="1:16" x14ac:dyDescent="0.3">
      <c r="A176" s="60">
        <v>7</v>
      </c>
      <c r="B176" s="121">
        <v>15</v>
      </c>
      <c r="C176" s="79"/>
      <c r="D176" s="79"/>
      <c r="E176" s="79"/>
      <c r="F176" s="79"/>
      <c r="G176" s="94"/>
      <c r="I176" s="86" t="e">
        <f t="shared" si="8"/>
        <v>#DIV/0!</v>
      </c>
      <c r="J176" s="87" t="e">
        <f t="shared" si="8"/>
        <v>#DIV/0!</v>
      </c>
      <c r="K176" s="87" t="e">
        <f t="shared" si="8"/>
        <v>#DIV/0!</v>
      </c>
      <c r="L176" s="87" t="e">
        <f t="shared" si="8"/>
        <v>#DIV/0!</v>
      </c>
      <c r="M176" s="88" t="e">
        <f t="shared" si="8"/>
        <v>#DIV/0!</v>
      </c>
      <c r="O176" s="121" t="str">
        <f t="shared" si="7"/>
        <v>קרית ביאליק</v>
      </c>
      <c r="P176" s="121" t="str">
        <f t="shared" si="7"/>
        <v>חיפה מערב</v>
      </c>
    </row>
    <row r="177" spans="1:16" x14ac:dyDescent="0.3">
      <c r="A177" s="60">
        <v>7</v>
      </c>
      <c r="B177" s="121">
        <v>16</v>
      </c>
      <c r="C177" s="79"/>
      <c r="D177" s="79"/>
      <c r="E177" s="79"/>
      <c r="F177" s="79"/>
      <c r="G177" s="94"/>
      <c r="I177" s="86" t="e">
        <f t="shared" si="8"/>
        <v>#DIV/0!</v>
      </c>
      <c r="J177" s="87" t="e">
        <f t="shared" si="8"/>
        <v>#DIV/0!</v>
      </c>
      <c r="K177" s="87" t="e">
        <f t="shared" si="8"/>
        <v>#DIV/0!</v>
      </c>
      <c r="L177" s="87" t="e">
        <f t="shared" si="8"/>
        <v>#DIV/0!</v>
      </c>
      <c r="M177" s="88" t="e">
        <f t="shared" si="8"/>
        <v>#DIV/0!</v>
      </c>
      <c r="O177" s="121" t="str">
        <f t="shared" si="7"/>
        <v>קרית ביאליק</v>
      </c>
      <c r="P177" s="121" t="str">
        <f t="shared" si="7"/>
        <v>חיפה כרמל</v>
      </c>
    </row>
    <row r="178" spans="1:16" x14ac:dyDescent="0.3">
      <c r="A178" s="60">
        <v>7</v>
      </c>
      <c r="B178" s="121">
        <v>17</v>
      </c>
      <c r="C178" s="79"/>
      <c r="D178" s="79"/>
      <c r="E178" s="79"/>
      <c r="F178" s="79"/>
      <c r="G178" s="94"/>
      <c r="I178" s="86" t="e">
        <f t="shared" si="8"/>
        <v>#DIV/0!</v>
      </c>
      <c r="J178" s="87" t="e">
        <f t="shared" si="8"/>
        <v>#DIV/0!</v>
      </c>
      <c r="K178" s="87" t="e">
        <f t="shared" si="8"/>
        <v>#DIV/0!</v>
      </c>
      <c r="L178" s="87" t="e">
        <f t="shared" si="8"/>
        <v>#DIV/0!</v>
      </c>
      <c r="M178" s="88" t="e">
        <f t="shared" si="8"/>
        <v>#DIV/0!</v>
      </c>
      <c r="O178" s="121" t="str">
        <f t="shared" si="7"/>
        <v>קרית ביאליק</v>
      </c>
      <c r="P178" s="121" t="str">
        <f t="shared" si="7"/>
        <v>חיפה נווה שאנן</v>
      </c>
    </row>
    <row r="179" spans="1:16" x14ac:dyDescent="0.3">
      <c r="A179" s="60">
        <v>7</v>
      </c>
      <c r="B179" s="121">
        <v>18</v>
      </c>
      <c r="C179" s="79"/>
      <c r="D179" s="79"/>
      <c r="E179" s="79"/>
      <c r="F179" s="79"/>
      <c r="G179" s="94"/>
      <c r="I179" s="86" t="e">
        <f t="shared" si="8"/>
        <v>#DIV/0!</v>
      </c>
      <c r="J179" s="87" t="e">
        <f t="shared" si="8"/>
        <v>#DIV/0!</v>
      </c>
      <c r="K179" s="87" t="e">
        <f t="shared" si="8"/>
        <v>#DIV/0!</v>
      </c>
      <c r="L179" s="87" t="e">
        <f t="shared" si="8"/>
        <v>#DIV/0!</v>
      </c>
      <c r="M179" s="88" t="e">
        <f t="shared" si="8"/>
        <v>#DIV/0!</v>
      </c>
      <c r="O179" s="121" t="str">
        <f t="shared" si="7"/>
        <v>קרית ביאליק</v>
      </c>
      <c r="P179" s="121" t="str">
        <f t="shared" si="7"/>
        <v>נשר</v>
      </c>
    </row>
    <row r="180" spans="1:16" x14ac:dyDescent="0.3">
      <c r="A180" s="60">
        <v>7</v>
      </c>
      <c r="B180" s="121">
        <v>19</v>
      </c>
      <c r="C180" s="79"/>
      <c r="D180" s="79"/>
      <c r="E180" s="79"/>
      <c r="F180" s="79"/>
      <c r="G180" s="94"/>
      <c r="I180" s="86" t="e">
        <f t="shared" si="8"/>
        <v>#DIV/0!</v>
      </c>
      <c r="J180" s="87" t="e">
        <f t="shared" si="8"/>
        <v>#DIV/0!</v>
      </c>
      <c r="K180" s="87" t="e">
        <f t="shared" si="8"/>
        <v>#DIV/0!</v>
      </c>
      <c r="L180" s="87" t="e">
        <f t="shared" si="8"/>
        <v>#DIV/0!</v>
      </c>
      <c r="M180" s="88" t="e">
        <f t="shared" si="8"/>
        <v>#DIV/0!</v>
      </c>
      <c r="O180" s="121" t="str">
        <f t="shared" si="7"/>
        <v>קרית ביאליק</v>
      </c>
      <c r="P180" s="121" t="str">
        <f t="shared" si="7"/>
        <v>נצרת</v>
      </c>
    </row>
    <row r="181" spans="1:16" x14ac:dyDescent="0.3">
      <c r="A181" s="60">
        <v>7</v>
      </c>
      <c r="B181" s="121">
        <v>20</v>
      </c>
      <c r="C181" s="79"/>
      <c r="D181" s="79"/>
      <c r="E181" s="79"/>
      <c r="F181" s="79"/>
      <c r="G181" s="94"/>
      <c r="I181" s="86" t="e">
        <f t="shared" si="8"/>
        <v>#DIV/0!</v>
      </c>
      <c r="J181" s="87" t="e">
        <f t="shared" si="8"/>
        <v>#DIV/0!</v>
      </c>
      <c r="K181" s="87" t="e">
        <f t="shared" si="8"/>
        <v>#DIV/0!</v>
      </c>
      <c r="L181" s="87" t="e">
        <f t="shared" si="8"/>
        <v>#DIV/0!</v>
      </c>
      <c r="M181" s="88" t="e">
        <f t="shared" si="8"/>
        <v>#DIV/0!</v>
      </c>
      <c r="O181" s="121" t="str">
        <f t="shared" si="7"/>
        <v>קרית ביאליק</v>
      </c>
      <c r="P181" s="121" t="str">
        <f t="shared" si="7"/>
        <v>נצרת-עילית</v>
      </c>
    </row>
    <row r="182" spans="1:16" x14ac:dyDescent="0.3">
      <c r="A182" s="60">
        <v>7</v>
      </c>
      <c r="B182" s="121">
        <v>21</v>
      </c>
      <c r="C182" s="79"/>
      <c r="D182" s="79"/>
      <c r="E182" s="79"/>
      <c r="F182" s="79"/>
      <c r="G182" s="94"/>
      <c r="I182" s="86" t="e">
        <f t="shared" si="8"/>
        <v>#DIV/0!</v>
      </c>
      <c r="J182" s="87" t="e">
        <f t="shared" si="8"/>
        <v>#DIV/0!</v>
      </c>
      <c r="K182" s="87" t="e">
        <f t="shared" si="8"/>
        <v>#DIV/0!</v>
      </c>
      <c r="L182" s="87" t="e">
        <f t="shared" si="8"/>
        <v>#DIV/0!</v>
      </c>
      <c r="M182" s="88" t="e">
        <f t="shared" si="8"/>
        <v>#DIV/0!</v>
      </c>
      <c r="O182" s="121" t="str">
        <f t="shared" si="7"/>
        <v>קרית ביאליק</v>
      </c>
      <c r="P182" s="121" t="str">
        <f t="shared" si="7"/>
        <v>מגדל העמק</v>
      </c>
    </row>
    <row r="183" spans="1:16" x14ac:dyDescent="0.3">
      <c r="A183" s="60">
        <v>7</v>
      </c>
      <c r="B183" s="121">
        <v>22</v>
      </c>
      <c r="C183" s="79"/>
      <c r="D183" s="79"/>
      <c r="E183" s="79"/>
      <c r="F183" s="79"/>
      <c r="G183" s="94"/>
      <c r="I183" s="86" t="e">
        <f t="shared" si="8"/>
        <v>#DIV/0!</v>
      </c>
      <c r="J183" s="87" t="e">
        <f t="shared" si="8"/>
        <v>#DIV/0!</v>
      </c>
      <c r="K183" s="87" t="e">
        <f t="shared" si="8"/>
        <v>#DIV/0!</v>
      </c>
      <c r="L183" s="87" t="e">
        <f t="shared" si="8"/>
        <v>#DIV/0!</v>
      </c>
      <c r="M183" s="88" t="e">
        <f t="shared" si="8"/>
        <v>#DIV/0!</v>
      </c>
      <c r="O183" s="121" t="str">
        <f t="shared" si="7"/>
        <v>קרית ביאליק</v>
      </c>
      <c r="P183" s="121" t="str">
        <f t="shared" si="7"/>
        <v>יוקנעם</v>
      </c>
    </row>
    <row r="184" spans="1:16" x14ac:dyDescent="0.3">
      <c r="A184" s="60">
        <v>7</v>
      </c>
      <c r="B184" s="121">
        <v>23</v>
      </c>
      <c r="C184" s="79"/>
      <c r="D184" s="79"/>
      <c r="E184" s="79"/>
      <c r="F184" s="79"/>
      <c r="G184" s="94"/>
      <c r="I184" s="86" t="e">
        <f t="shared" si="8"/>
        <v>#DIV/0!</v>
      </c>
      <c r="J184" s="87" t="e">
        <f t="shared" si="8"/>
        <v>#DIV/0!</v>
      </c>
      <c r="K184" s="87" t="e">
        <f t="shared" si="8"/>
        <v>#DIV/0!</v>
      </c>
      <c r="L184" s="87" t="e">
        <f t="shared" si="8"/>
        <v>#DIV/0!</v>
      </c>
      <c r="M184" s="88" t="e">
        <f t="shared" si="8"/>
        <v>#DIV/0!</v>
      </c>
      <c r="O184" s="121" t="str">
        <f t="shared" si="7"/>
        <v>קרית ביאליק</v>
      </c>
      <c r="P184" s="121" t="str">
        <f t="shared" si="7"/>
        <v>דלית אל כרמל</v>
      </c>
    </row>
    <row r="185" spans="1:16" x14ac:dyDescent="0.3">
      <c r="A185" s="60">
        <v>7</v>
      </c>
      <c r="B185" s="121">
        <v>24</v>
      </c>
      <c r="C185" s="79"/>
      <c r="D185" s="79"/>
      <c r="E185" s="79"/>
      <c r="F185" s="79"/>
      <c r="G185" s="94"/>
      <c r="I185" s="86" t="e">
        <f t="shared" si="8"/>
        <v>#DIV/0!</v>
      </c>
      <c r="J185" s="87" t="e">
        <f t="shared" si="8"/>
        <v>#DIV/0!</v>
      </c>
      <c r="K185" s="87" t="e">
        <f t="shared" si="8"/>
        <v>#DIV/0!</v>
      </c>
      <c r="L185" s="87" t="e">
        <f t="shared" si="8"/>
        <v>#DIV/0!</v>
      </c>
      <c r="M185" s="88" t="e">
        <f t="shared" si="8"/>
        <v>#DIV/0!</v>
      </c>
      <c r="O185" s="121" t="str">
        <f t="shared" si="7"/>
        <v>קרית ביאליק</v>
      </c>
      <c r="P185" s="121" t="str">
        <f t="shared" si="7"/>
        <v>חוף הכרמל</v>
      </c>
    </row>
    <row r="186" spans="1:16" x14ac:dyDescent="0.3">
      <c r="A186" s="60">
        <v>7</v>
      </c>
      <c r="B186" s="121">
        <v>25</v>
      </c>
      <c r="C186" s="79"/>
      <c r="D186" s="79"/>
      <c r="E186" s="79"/>
      <c r="F186" s="79"/>
      <c r="G186" s="94"/>
      <c r="I186" s="86" t="e">
        <f t="shared" si="8"/>
        <v>#DIV/0!</v>
      </c>
      <c r="J186" s="87" t="e">
        <f t="shared" si="8"/>
        <v>#DIV/0!</v>
      </c>
      <c r="K186" s="87" t="e">
        <f t="shared" si="8"/>
        <v>#DIV/0!</v>
      </c>
      <c r="L186" s="87" t="e">
        <f t="shared" si="8"/>
        <v>#DIV/0!</v>
      </c>
      <c r="M186" s="88" t="e">
        <f t="shared" si="8"/>
        <v>#DIV/0!</v>
      </c>
      <c r="O186" s="121" t="str">
        <f t="shared" si="7"/>
        <v>קרית ביאליק</v>
      </c>
      <c r="P186" s="121" t="str">
        <f t="shared" si="7"/>
        <v>זכרון יעקב</v>
      </c>
    </row>
    <row r="187" spans="1:16" x14ac:dyDescent="0.3">
      <c r="A187" s="60">
        <v>7</v>
      </c>
      <c r="B187" s="121">
        <v>30</v>
      </c>
      <c r="C187" s="79"/>
      <c r="D187" s="79"/>
      <c r="E187" s="79"/>
      <c r="F187" s="79"/>
      <c r="G187" s="94"/>
      <c r="I187" s="86" t="e">
        <f t="shared" si="8"/>
        <v>#DIV/0!</v>
      </c>
      <c r="J187" s="87" t="e">
        <f t="shared" si="8"/>
        <v>#DIV/0!</v>
      </c>
      <c r="K187" s="87" t="e">
        <f t="shared" si="8"/>
        <v>#DIV/0!</v>
      </c>
      <c r="L187" s="87" t="e">
        <f t="shared" si="8"/>
        <v>#DIV/0!</v>
      </c>
      <c r="M187" s="88" t="e">
        <f t="shared" si="8"/>
        <v>#DIV/0!</v>
      </c>
      <c r="O187" s="121" t="str">
        <f t="shared" si="7"/>
        <v>קרית ביאליק</v>
      </c>
      <c r="P187" s="121" t="str">
        <f t="shared" si="7"/>
        <v>סכנין</v>
      </c>
    </row>
    <row r="188" spans="1:16" x14ac:dyDescent="0.3">
      <c r="A188" s="60">
        <v>8</v>
      </c>
      <c r="B188" s="121">
        <v>1</v>
      </c>
      <c r="C188" s="79"/>
      <c r="D188" s="79"/>
      <c r="E188" s="79"/>
      <c r="F188" s="79"/>
      <c r="G188" s="94"/>
      <c r="I188" s="86" t="e">
        <f t="shared" si="8"/>
        <v>#DIV/0!</v>
      </c>
      <c r="J188" s="87" t="e">
        <f t="shared" si="8"/>
        <v>#DIV/0!</v>
      </c>
      <c r="K188" s="87" t="e">
        <f t="shared" si="8"/>
        <v>#DIV/0!</v>
      </c>
      <c r="L188" s="87" t="e">
        <f t="shared" si="8"/>
        <v>#DIV/0!</v>
      </c>
      <c r="M188" s="88" t="e">
        <f t="shared" si="8"/>
        <v>#DIV/0!</v>
      </c>
      <c r="O188" s="121" t="str">
        <f t="shared" si="7"/>
        <v>קרית חיים</v>
      </c>
      <c r="P188" s="121" t="str">
        <f t="shared" si="7"/>
        <v>נהריה</v>
      </c>
    </row>
    <row r="189" spans="1:16" x14ac:dyDescent="0.3">
      <c r="A189" s="60">
        <v>8</v>
      </c>
      <c r="B189" s="121">
        <v>2</v>
      </c>
      <c r="C189" s="79"/>
      <c r="D189" s="79"/>
      <c r="E189" s="79"/>
      <c r="F189" s="79"/>
      <c r="G189" s="94"/>
      <c r="I189" s="86" t="e">
        <f t="shared" si="8"/>
        <v>#DIV/0!</v>
      </c>
      <c r="J189" s="87" t="e">
        <f t="shared" si="8"/>
        <v>#DIV/0!</v>
      </c>
      <c r="K189" s="87" t="e">
        <f t="shared" si="8"/>
        <v>#DIV/0!</v>
      </c>
      <c r="L189" s="87" t="e">
        <f t="shared" si="8"/>
        <v>#DIV/0!</v>
      </c>
      <c r="M189" s="88" t="e">
        <f t="shared" si="8"/>
        <v>#DIV/0!</v>
      </c>
      <c r="O189" s="121" t="str">
        <f t="shared" si="7"/>
        <v>קרית חיים</v>
      </c>
      <c r="P189" s="121" t="str">
        <f t="shared" si="7"/>
        <v>עכו</v>
      </c>
    </row>
    <row r="190" spans="1:16" x14ac:dyDescent="0.3">
      <c r="A190" s="60">
        <v>8</v>
      </c>
      <c r="B190" s="121">
        <v>3</v>
      </c>
      <c r="C190" s="79"/>
      <c r="D190" s="79"/>
      <c r="E190" s="79"/>
      <c r="F190" s="79"/>
      <c r="G190" s="94"/>
      <c r="I190" s="86" t="e">
        <f t="shared" si="8"/>
        <v>#DIV/0!</v>
      </c>
      <c r="J190" s="87" t="e">
        <f t="shared" si="8"/>
        <v>#DIV/0!</v>
      </c>
      <c r="K190" s="87" t="e">
        <f t="shared" si="8"/>
        <v>#DIV/0!</v>
      </c>
      <c r="L190" s="87" t="e">
        <f t="shared" si="8"/>
        <v>#DIV/0!</v>
      </c>
      <c r="M190" s="88" t="e">
        <f t="shared" si="8"/>
        <v>#DIV/0!</v>
      </c>
      <c r="O190" s="121" t="str">
        <f t="shared" si="7"/>
        <v>קרית חיים</v>
      </c>
      <c r="P190" s="121" t="str">
        <f t="shared" si="7"/>
        <v>כרמיאל</v>
      </c>
    </row>
    <row r="191" spans="1:16" x14ac:dyDescent="0.3">
      <c r="A191" s="60">
        <v>8</v>
      </c>
      <c r="B191" s="121">
        <v>4</v>
      </c>
      <c r="C191" s="79"/>
      <c r="D191" s="79"/>
      <c r="E191" s="79"/>
      <c r="F191" s="79"/>
      <c r="G191" s="94"/>
      <c r="I191" s="86" t="e">
        <f t="shared" si="8"/>
        <v>#DIV/0!</v>
      </c>
      <c r="J191" s="87" t="e">
        <f t="shared" si="8"/>
        <v>#DIV/0!</v>
      </c>
      <c r="K191" s="87" t="e">
        <f t="shared" si="8"/>
        <v>#DIV/0!</v>
      </c>
      <c r="L191" s="87" t="e">
        <f t="shared" si="8"/>
        <v>#DIV/0!</v>
      </c>
      <c r="M191" s="88" t="e">
        <f t="shared" si="8"/>
        <v>#DIV/0!</v>
      </c>
      <c r="O191" s="121" t="str">
        <f t="shared" si="7"/>
        <v>קרית חיים</v>
      </c>
      <c r="P191" s="121" t="str">
        <f t="shared" si="7"/>
        <v>שפרעם</v>
      </c>
    </row>
    <row r="192" spans="1:16" x14ac:dyDescent="0.3">
      <c r="A192" s="60">
        <v>8</v>
      </c>
      <c r="B192" s="121">
        <v>5</v>
      </c>
      <c r="C192" s="79"/>
      <c r="D192" s="79"/>
      <c r="E192" s="79"/>
      <c r="F192" s="79"/>
      <c r="G192" s="94"/>
      <c r="I192" s="86" t="e">
        <f t="shared" si="8"/>
        <v>#DIV/0!</v>
      </c>
      <c r="J192" s="87" t="e">
        <f t="shared" si="8"/>
        <v>#DIV/0!</v>
      </c>
      <c r="K192" s="87" t="e">
        <f t="shared" si="8"/>
        <v>#DIV/0!</v>
      </c>
      <c r="L192" s="87" t="e">
        <f t="shared" si="8"/>
        <v>#DIV/0!</v>
      </c>
      <c r="M192" s="88" t="e">
        <f t="shared" si="8"/>
        <v>#DIV/0!</v>
      </c>
      <c r="O192" s="121" t="str">
        <f t="shared" si="7"/>
        <v>קרית חיים</v>
      </c>
      <c r="P192" s="121" t="str">
        <f t="shared" si="7"/>
        <v>קרית ים</v>
      </c>
    </row>
    <row r="193" spans="1:16" x14ac:dyDescent="0.3">
      <c r="A193" s="60">
        <v>8</v>
      </c>
      <c r="B193" s="121">
        <v>6</v>
      </c>
      <c r="C193" s="79"/>
      <c r="D193" s="79"/>
      <c r="E193" s="79"/>
      <c r="F193" s="79"/>
      <c r="G193" s="94"/>
      <c r="I193" s="86" t="e">
        <f t="shared" si="8"/>
        <v>#DIV/0!</v>
      </c>
      <c r="J193" s="87" t="e">
        <f t="shared" si="8"/>
        <v>#DIV/0!</v>
      </c>
      <c r="K193" s="87" t="e">
        <f t="shared" si="8"/>
        <v>#DIV/0!</v>
      </c>
      <c r="L193" s="87" t="e">
        <f t="shared" si="8"/>
        <v>#DIV/0!</v>
      </c>
      <c r="M193" s="88" t="e">
        <f t="shared" si="8"/>
        <v>#DIV/0!</v>
      </c>
      <c r="O193" s="121" t="str">
        <f t="shared" si="7"/>
        <v>קרית חיים</v>
      </c>
      <c r="P193" s="121" t="str">
        <f t="shared" si="7"/>
        <v>קרית מוצקין</v>
      </c>
    </row>
    <row r="194" spans="1:16" x14ac:dyDescent="0.3">
      <c r="A194" s="60">
        <v>8</v>
      </c>
      <c r="B194" s="121">
        <v>7</v>
      </c>
      <c r="C194" s="79"/>
      <c r="D194" s="79"/>
      <c r="E194" s="79"/>
      <c r="F194" s="79"/>
      <c r="G194" s="94"/>
      <c r="I194" s="86" t="e">
        <f t="shared" si="8"/>
        <v>#DIV/0!</v>
      </c>
      <c r="J194" s="87" t="e">
        <f t="shared" si="8"/>
        <v>#DIV/0!</v>
      </c>
      <c r="K194" s="87" t="e">
        <f t="shared" si="8"/>
        <v>#DIV/0!</v>
      </c>
      <c r="L194" s="87" t="e">
        <f t="shared" si="8"/>
        <v>#DIV/0!</v>
      </c>
      <c r="M194" s="88" t="e">
        <f t="shared" si="8"/>
        <v>#DIV/0!</v>
      </c>
      <c r="O194" s="121" t="str">
        <f t="shared" si="7"/>
        <v>קרית חיים</v>
      </c>
      <c r="P194" s="121" t="str">
        <f t="shared" si="7"/>
        <v>קרית ביאליק</v>
      </c>
    </row>
    <row r="195" spans="1:16" x14ac:dyDescent="0.3">
      <c r="A195" s="60">
        <v>8</v>
      </c>
      <c r="B195" s="121">
        <v>8</v>
      </c>
      <c r="C195" s="79"/>
      <c r="D195" s="79"/>
      <c r="E195" s="79"/>
      <c r="F195" s="79"/>
      <c r="G195" s="94"/>
      <c r="I195" s="86" t="e">
        <f t="shared" si="8"/>
        <v>#DIV/0!</v>
      </c>
      <c r="J195" s="87" t="e">
        <f t="shared" si="8"/>
        <v>#DIV/0!</v>
      </c>
      <c r="K195" s="87" t="e">
        <f t="shared" si="8"/>
        <v>#DIV/0!</v>
      </c>
      <c r="L195" s="87" t="e">
        <f t="shared" si="8"/>
        <v>#DIV/0!</v>
      </c>
      <c r="M195" s="88" t="e">
        <f t="shared" si="8"/>
        <v>#DIV/0!</v>
      </c>
      <c r="O195" s="121" t="str">
        <f t="shared" si="7"/>
        <v>קרית חיים</v>
      </c>
      <c r="P195" s="121" t="str">
        <f t="shared" si="7"/>
        <v>קרית חיים</v>
      </c>
    </row>
    <row r="196" spans="1:16" x14ac:dyDescent="0.3">
      <c r="A196" s="60">
        <v>8</v>
      </c>
      <c r="B196" s="121">
        <v>9</v>
      </c>
      <c r="C196" s="79"/>
      <c r="D196" s="79"/>
      <c r="E196" s="79"/>
      <c r="F196" s="79"/>
      <c r="G196" s="94"/>
      <c r="I196" s="86" t="e">
        <f t="shared" si="8"/>
        <v>#DIV/0!</v>
      </c>
      <c r="J196" s="87" t="e">
        <f t="shared" si="8"/>
        <v>#DIV/0!</v>
      </c>
      <c r="K196" s="87" t="e">
        <f t="shared" si="8"/>
        <v>#DIV/0!</v>
      </c>
      <c r="L196" s="87" t="e">
        <f t="shared" si="8"/>
        <v>#DIV/0!</v>
      </c>
      <c r="M196" s="88" t="e">
        <f t="shared" si="8"/>
        <v>#DIV/0!</v>
      </c>
      <c r="O196" s="121" t="str">
        <f t="shared" si="7"/>
        <v>קרית חיים</v>
      </c>
      <c r="P196" s="121" t="str">
        <f t="shared" si="7"/>
        <v>קרית אתא</v>
      </c>
    </row>
    <row r="197" spans="1:16" x14ac:dyDescent="0.3">
      <c r="A197" s="60">
        <v>8</v>
      </c>
      <c r="B197" s="121">
        <v>10</v>
      </c>
      <c r="C197" s="79"/>
      <c r="D197" s="79"/>
      <c r="E197" s="79"/>
      <c r="F197" s="79"/>
      <c r="G197" s="94"/>
      <c r="I197" s="86" t="e">
        <f t="shared" si="8"/>
        <v>#DIV/0!</v>
      </c>
      <c r="J197" s="87" t="e">
        <f t="shared" si="8"/>
        <v>#DIV/0!</v>
      </c>
      <c r="K197" s="87" t="e">
        <f t="shared" si="8"/>
        <v>#DIV/0!</v>
      </c>
      <c r="L197" s="87" t="e">
        <f t="shared" si="8"/>
        <v>#DIV/0!</v>
      </c>
      <c r="M197" s="88" t="e">
        <f t="shared" si="8"/>
        <v>#DIV/0!</v>
      </c>
      <c r="O197" s="121" t="str">
        <f t="shared" si="7"/>
        <v>קרית חיים</v>
      </c>
      <c r="P197" s="121" t="str">
        <f t="shared" si="7"/>
        <v>כפר מנדא</v>
      </c>
    </row>
    <row r="198" spans="1:16" x14ac:dyDescent="0.3">
      <c r="A198" s="60">
        <v>8</v>
      </c>
      <c r="B198" s="121">
        <v>11</v>
      </c>
      <c r="C198" s="79"/>
      <c r="D198" s="79"/>
      <c r="E198" s="79"/>
      <c r="F198" s="79"/>
      <c r="G198" s="94"/>
      <c r="I198" s="86" t="e">
        <f t="shared" si="8"/>
        <v>#DIV/0!</v>
      </c>
      <c r="J198" s="87" t="e">
        <f t="shared" si="8"/>
        <v>#DIV/0!</v>
      </c>
      <c r="K198" s="87" t="e">
        <f t="shared" si="8"/>
        <v>#DIV/0!</v>
      </c>
      <c r="L198" s="87" t="e">
        <f t="shared" si="8"/>
        <v>#DIV/0!</v>
      </c>
      <c r="M198" s="88" t="e">
        <f t="shared" si="8"/>
        <v>#DIV/0!</v>
      </c>
      <c r="O198" s="121" t="str">
        <f t="shared" si="7"/>
        <v>קרית חיים</v>
      </c>
      <c r="P198" s="121" t="str">
        <f t="shared" si="7"/>
        <v>זבולון</v>
      </c>
    </row>
    <row r="199" spans="1:16" x14ac:dyDescent="0.3">
      <c r="A199" s="60">
        <v>8</v>
      </c>
      <c r="B199" s="121">
        <v>12</v>
      </c>
      <c r="C199" s="79"/>
      <c r="D199" s="79"/>
      <c r="E199" s="79"/>
      <c r="F199" s="79"/>
      <c r="G199" s="94"/>
      <c r="I199" s="86" t="e">
        <f t="shared" si="8"/>
        <v>#DIV/0!</v>
      </c>
      <c r="J199" s="87" t="e">
        <f t="shared" si="8"/>
        <v>#DIV/0!</v>
      </c>
      <c r="K199" s="87" t="e">
        <f t="shared" si="8"/>
        <v>#DIV/0!</v>
      </c>
      <c r="L199" s="87" t="e">
        <f t="shared" si="8"/>
        <v>#DIV/0!</v>
      </c>
      <c r="M199" s="88" t="e">
        <f t="shared" si="8"/>
        <v>#DIV/0!</v>
      </c>
      <c r="O199" s="121" t="str">
        <f t="shared" si="7"/>
        <v>קרית חיים</v>
      </c>
      <c r="P199" s="121" t="str">
        <f t="shared" si="7"/>
        <v>חיפה מפרץ</v>
      </c>
    </row>
    <row r="200" spans="1:16" x14ac:dyDescent="0.3">
      <c r="A200" s="60">
        <v>8</v>
      </c>
      <c r="B200" s="121">
        <v>13</v>
      </c>
      <c r="C200" s="79"/>
      <c r="D200" s="79"/>
      <c r="E200" s="79"/>
      <c r="F200" s="79"/>
      <c r="G200" s="94"/>
      <c r="I200" s="86" t="e">
        <f t="shared" si="8"/>
        <v>#DIV/0!</v>
      </c>
      <c r="J200" s="87" t="e">
        <f t="shared" si="8"/>
        <v>#DIV/0!</v>
      </c>
      <c r="K200" s="87" t="e">
        <f t="shared" si="8"/>
        <v>#DIV/0!</v>
      </c>
      <c r="L200" s="87" t="e">
        <f t="shared" si="8"/>
        <v>#DIV/0!</v>
      </c>
      <c r="M200" s="88" t="e">
        <f t="shared" si="8"/>
        <v>#DIV/0!</v>
      </c>
      <c r="O200" s="121" t="str">
        <f t="shared" ref="O200:P263" si="9">VLOOKUP(A200,$S$6:$T$31,2,0)</f>
        <v>קרית חיים</v>
      </c>
      <c r="P200" s="121" t="str">
        <f t="shared" si="9"/>
        <v>חיפה עיר תחתית</v>
      </c>
    </row>
    <row r="201" spans="1:16" x14ac:dyDescent="0.3">
      <c r="A201" s="60">
        <v>8</v>
      </c>
      <c r="B201" s="121">
        <v>14</v>
      </c>
      <c r="C201" s="79"/>
      <c r="D201" s="79"/>
      <c r="E201" s="79"/>
      <c r="F201" s="79"/>
      <c r="G201" s="94"/>
      <c r="I201" s="86" t="e">
        <f t="shared" si="8"/>
        <v>#DIV/0!</v>
      </c>
      <c r="J201" s="87" t="e">
        <f t="shared" si="8"/>
        <v>#DIV/0!</v>
      </c>
      <c r="K201" s="87" t="e">
        <f t="shared" si="8"/>
        <v>#DIV/0!</v>
      </c>
      <c r="L201" s="87" t="e">
        <f t="shared" si="8"/>
        <v>#DIV/0!</v>
      </c>
      <c r="M201" s="88" t="e">
        <f t="shared" si="8"/>
        <v>#DIV/0!</v>
      </c>
      <c r="O201" s="121" t="str">
        <f t="shared" si="9"/>
        <v>קרית חיים</v>
      </c>
      <c r="P201" s="121" t="str">
        <f t="shared" si="9"/>
        <v>חיפה הדר-כרמל</v>
      </c>
    </row>
    <row r="202" spans="1:16" x14ac:dyDescent="0.3">
      <c r="A202" s="60">
        <v>8</v>
      </c>
      <c r="B202" s="121">
        <v>15</v>
      </c>
      <c r="C202" s="79"/>
      <c r="D202" s="79"/>
      <c r="E202" s="79"/>
      <c r="F202" s="79"/>
      <c r="G202" s="94"/>
      <c r="I202" s="86" t="e">
        <f t="shared" si="8"/>
        <v>#DIV/0!</v>
      </c>
      <c r="J202" s="87" t="e">
        <f t="shared" si="8"/>
        <v>#DIV/0!</v>
      </c>
      <c r="K202" s="87" t="e">
        <f t="shared" si="8"/>
        <v>#DIV/0!</v>
      </c>
      <c r="L202" s="87" t="e">
        <f t="shared" si="8"/>
        <v>#DIV/0!</v>
      </c>
      <c r="M202" s="88" t="e">
        <f t="shared" si="8"/>
        <v>#DIV/0!</v>
      </c>
      <c r="O202" s="121" t="str">
        <f t="shared" si="9"/>
        <v>קרית חיים</v>
      </c>
      <c r="P202" s="121" t="str">
        <f t="shared" si="9"/>
        <v>חיפה מערב</v>
      </c>
    </row>
    <row r="203" spans="1:16" x14ac:dyDescent="0.3">
      <c r="A203" s="60">
        <v>8</v>
      </c>
      <c r="B203" s="121">
        <v>16</v>
      </c>
      <c r="C203" s="79"/>
      <c r="D203" s="79"/>
      <c r="E203" s="79"/>
      <c r="F203" s="79"/>
      <c r="G203" s="94"/>
      <c r="I203" s="86" t="e">
        <f t="shared" si="8"/>
        <v>#DIV/0!</v>
      </c>
      <c r="J203" s="87" t="e">
        <f t="shared" si="8"/>
        <v>#DIV/0!</v>
      </c>
      <c r="K203" s="87" t="e">
        <f t="shared" si="8"/>
        <v>#DIV/0!</v>
      </c>
      <c r="L203" s="87" t="e">
        <f t="shared" si="8"/>
        <v>#DIV/0!</v>
      </c>
      <c r="M203" s="88" t="e">
        <f t="shared" si="8"/>
        <v>#DIV/0!</v>
      </c>
      <c r="O203" s="121" t="str">
        <f t="shared" si="9"/>
        <v>קרית חיים</v>
      </c>
      <c r="P203" s="121" t="str">
        <f t="shared" si="9"/>
        <v>חיפה כרמל</v>
      </c>
    </row>
    <row r="204" spans="1:16" x14ac:dyDescent="0.3">
      <c r="A204" s="60">
        <v>8</v>
      </c>
      <c r="B204" s="121">
        <v>17</v>
      </c>
      <c r="C204" s="79"/>
      <c r="D204" s="79"/>
      <c r="E204" s="79"/>
      <c r="F204" s="79"/>
      <c r="G204" s="94"/>
      <c r="I204" s="86" t="e">
        <f t="shared" si="8"/>
        <v>#DIV/0!</v>
      </c>
      <c r="J204" s="87" t="e">
        <f t="shared" si="8"/>
        <v>#DIV/0!</v>
      </c>
      <c r="K204" s="87" t="e">
        <f t="shared" si="8"/>
        <v>#DIV/0!</v>
      </c>
      <c r="L204" s="87" t="e">
        <f t="shared" si="8"/>
        <v>#DIV/0!</v>
      </c>
      <c r="M204" s="88" t="e">
        <f t="shared" si="8"/>
        <v>#DIV/0!</v>
      </c>
      <c r="O204" s="121" t="str">
        <f t="shared" si="9"/>
        <v>קרית חיים</v>
      </c>
      <c r="P204" s="121" t="str">
        <f t="shared" si="9"/>
        <v>חיפה נווה שאנן</v>
      </c>
    </row>
    <row r="205" spans="1:16" x14ac:dyDescent="0.3">
      <c r="A205" s="60">
        <v>8</v>
      </c>
      <c r="B205" s="121">
        <v>18</v>
      </c>
      <c r="C205" s="79"/>
      <c r="D205" s="79"/>
      <c r="E205" s="79"/>
      <c r="F205" s="79"/>
      <c r="G205" s="94"/>
      <c r="I205" s="86" t="e">
        <f t="shared" si="8"/>
        <v>#DIV/0!</v>
      </c>
      <c r="J205" s="87" t="e">
        <f t="shared" si="8"/>
        <v>#DIV/0!</v>
      </c>
      <c r="K205" s="87" t="e">
        <f t="shared" si="8"/>
        <v>#DIV/0!</v>
      </c>
      <c r="L205" s="87" t="e">
        <f t="shared" si="8"/>
        <v>#DIV/0!</v>
      </c>
      <c r="M205" s="88" t="e">
        <f t="shared" si="8"/>
        <v>#DIV/0!</v>
      </c>
      <c r="O205" s="121" t="str">
        <f t="shared" si="9"/>
        <v>קרית חיים</v>
      </c>
      <c r="P205" s="121" t="str">
        <f t="shared" si="9"/>
        <v>נשר</v>
      </c>
    </row>
    <row r="206" spans="1:16" x14ac:dyDescent="0.3">
      <c r="A206" s="60">
        <v>8</v>
      </c>
      <c r="B206" s="121">
        <v>19</v>
      </c>
      <c r="C206" s="79"/>
      <c r="D206" s="79"/>
      <c r="E206" s="79"/>
      <c r="F206" s="79"/>
      <c r="G206" s="94"/>
      <c r="I206" s="86" t="e">
        <f t="shared" si="8"/>
        <v>#DIV/0!</v>
      </c>
      <c r="J206" s="87" t="e">
        <f t="shared" si="8"/>
        <v>#DIV/0!</v>
      </c>
      <c r="K206" s="87" t="e">
        <f t="shared" si="8"/>
        <v>#DIV/0!</v>
      </c>
      <c r="L206" s="87" t="e">
        <f t="shared" si="8"/>
        <v>#DIV/0!</v>
      </c>
      <c r="M206" s="88" t="e">
        <f t="shared" si="8"/>
        <v>#DIV/0!</v>
      </c>
      <c r="O206" s="121" t="str">
        <f t="shared" si="9"/>
        <v>קרית חיים</v>
      </c>
      <c r="P206" s="121" t="str">
        <f t="shared" si="9"/>
        <v>נצרת</v>
      </c>
    </row>
    <row r="207" spans="1:16" x14ac:dyDescent="0.3">
      <c r="A207" s="60">
        <v>8</v>
      </c>
      <c r="B207" s="121">
        <v>20</v>
      </c>
      <c r="C207" s="79"/>
      <c r="D207" s="79"/>
      <c r="E207" s="79"/>
      <c r="F207" s="79"/>
      <c r="G207" s="94"/>
      <c r="I207" s="86" t="e">
        <f t="shared" si="8"/>
        <v>#DIV/0!</v>
      </c>
      <c r="J207" s="87" t="e">
        <f t="shared" si="8"/>
        <v>#DIV/0!</v>
      </c>
      <c r="K207" s="87" t="e">
        <f t="shared" si="8"/>
        <v>#DIV/0!</v>
      </c>
      <c r="L207" s="87" t="e">
        <f t="shared" si="8"/>
        <v>#DIV/0!</v>
      </c>
      <c r="M207" s="88" t="e">
        <f t="shared" si="8"/>
        <v>#DIV/0!</v>
      </c>
      <c r="O207" s="121" t="str">
        <f t="shared" si="9"/>
        <v>קרית חיים</v>
      </c>
      <c r="P207" s="121" t="str">
        <f t="shared" si="9"/>
        <v>נצרת-עילית</v>
      </c>
    </row>
    <row r="208" spans="1:16" x14ac:dyDescent="0.3">
      <c r="A208" s="60">
        <v>8</v>
      </c>
      <c r="B208" s="121">
        <v>21</v>
      </c>
      <c r="C208" s="79"/>
      <c r="D208" s="79"/>
      <c r="E208" s="79"/>
      <c r="F208" s="79"/>
      <c r="G208" s="94"/>
      <c r="I208" s="86" t="e">
        <f t="shared" si="8"/>
        <v>#DIV/0!</v>
      </c>
      <c r="J208" s="87" t="e">
        <f t="shared" si="8"/>
        <v>#DIV/0!</v>
      </c>
      <c r="K208" s="87" t="e">
        <f t="shared" si="8"/>
        <v>#DIV/0!</v>
      </c>
      <c r="L208" s="87" t="e">
        <f t="shared" si="8"/>
        <v>#DIV/0!</v>
      </c>
      <c r="M208" s="88" t="e">
        <f t="shared" si="8"/>
        <v>#DIV/0!</v>
      </c>
      <c r="O208" s="121" t="str">
        <f t="shared" si="9"/>
        <v>קרית חיים</v>
      </c>
      <c r="P208" s="121" t="str">
        <f t="shared" si="9"/>
        <v>מגדל העמק</v>
      </c>
    </row>
    <row r="209" spans="1:16" x14ac:dyDescent="0.3">
      <c r="A209" s="60">
        <v>8</v>
      </c>
      <c r="B209" s="121">
        <v>22</v>
      </c>
      <c r="C209" s="79"/>
      <c r="D209" s="79"/>
      <c r="E209" s="79"/>
      <c r="F209" s="79"/>
      <c r="G209" s="94"/>
      <c r="I209" s="86" t="e">
        <f t="shared" si="8"/>
        <v>#DIV/0!</v>
      </c>
      <c r="J209" s="87" t="e">
        <f t="shared" si="8"/>
        <v>#DIV/0!</v>
      </c>
      <c r="K209" s="87" t="e">
        <f t="shared" si="8"/>
        <v>#DIV/0!</v>
      </c>
      <c r="L209" s="87" t="e">
        <f t="shared" si="8"/>
        <v>#DIV/0!</v>
      </c>
      <c r="M209" s="88" t="e">
        <f t="shared" si="8"/>
        <v>#DIV/0!</v>
      </c>
      <c r="O209" s="121" t="str">
        <f t="shared" si="9"/>
        <v>קרית חיים</v>
      </c>
      <c r="P209" s="121" t="str">
        <f t="shared" si="9"/>
        <v>יוקנעם</v>
      </c>
    </row>
    <row r="210" spans="1:16" x14ac:dyDescent="0.3">
      <c r="A210" s="60">
        <v>8</v>
      </c>
      <c r="B210" s="121">
        <v>23</v>
      </c>
      <c r="C210" s="79"/>
      <c r="D210" s="79"/>
      <c r="E210" s="79"/>
      <c r="F210" s="79"/>
      <c r="G210" s="94"/>
      <c r="I210" s="86" t="e">
        <f t="shared" si="8"/>
        <v>#DIV/0!</v>
      </c>
      <c r="J210" s="87" t="e">
        <f t="shared" si="8"/>
        <v>#DIV/0!</v>
      </c>
      <c r="K210" s="87" t="e">
        <f t="shared" si="8"/>
        <v>#DIV/0!</v>
      </c>
      <c r="L210" s="87" t="e">
        <f t="shared" si="8"/>
        <v>#DIV/0!</v>
      </c>
      <c r="M210" s="88" t="e">
        <f t="shared" si="8"/>
        <v>#DIV/0!</v>
      </c>
      <c r="O210" s="121" t="str">
        <f t="shared" si="9"/>
        <v>קרית חיים</v>
      </c>
      <c r="P210" s="121" t="str">
        <f t="shared" si="9"/>
        <v>דלית אל כרמל</v>
      </c>
    </row>
    <row r="211" spans="1:16" x14ac:dyDescent="0.3">
      <c r="A211" s="60">
        <v>8</v>
      </c>
      <c r="B211" s="121">
        <v>24</v>
      </c>
      <c r="C211" s="79"/>
      <c r="D211" s="79"/>
      <c r="E211" s="79"/>
      <c r="F211" s="79"/>
      <c r="G211" s="94"/>
      <c r="I211" s="86" t="e">
        <f t="shared" si="8"/>
        <v>#DIV/0!</v>
      </c>
      <c r="J211" s="87" t="e">
        <f t="shared" si="8"/>
        <v>#DIV/0!</v>
      </c>
      <c r="K211" s="87" t="e">
        <f t="shared" si="8"/>
        <v>#DIV/0!</v>
      </c>
      <c r="L211" s="87" t="e">
        <f t="shared" si="8"/>
        <v>#DIV/0!</v>
      </c>
      <c r="M211" s="88" t="e">
        <f t="shared" si="8"/>
        <v>#DIV/0!</v>
      </c>
      <c r="O211" s="121" t="str">
        <f t="shared" si="9"/>
        <v>קרית חיים</v>
      </c>
      <c r="P211" s="121" t="str">
        <f t="shared" si="9"/>
        <v>חוף הכרמל</v>
      </c>
    </row>
    <row r="212" spans="1:16" x14ac:dyDescent="0.3">
      <c r="A212" s="60">
        <v>8</v>
      </c>
      <c r="B212" s="121">
        <v>25</v>
      </c>
      <c r="C212" s="79"/>
      <c r="D212" s="79"/>
      <c r="E212" s="79"/>
      <c r="F212" s="79"/>
      <c r="G212" s="94"/>
      <c r="I212" s="86" t="e">
        <f t="shared" si="8"/>
        <v>#DIV/0!</v>
      </c>
      <c r="J212" s="87" t="e">
        <f t="shared" si="8"/>
        <v>#DIV/0!</v>
      </c>
      <c r="K212" s="87" t="e">
        <f t="shared" si="8"/>
        <v>#DIV/0!</v>
      </c>
      <c r="L212" s="87" t="e">
        <f t="shared" si="8"/>
        <v>#DIV/0!</v>
      </c>
      <c r="M212" s="88" t="e">
        <f t="shared" si="8"/>
        <v>#DIV/0!</v>
      </c>
      <c r="O212" s="121" t="str">
        <f t="shared" si="9"/>
        <v>קרית חיים</v>
      </c>
      <c r="P212" s="121" t="str">
        <f t="shared" si="9"/>
        <v>זכרון יעקב</v>
      </c>
    </row>
    <row r="213" spans="1:16" x14ac:dyDescent="0.3">
      <c r="A213" s="60">
        <v>8</v>
      </c>
      <c r="B213" s="121">
        <v>30</v>
      </c>
      <c r="C213" s="79"/>
      <c r="D213" s="79"/>
      <c r="E213" s="79"/>
      <c r="F213" s="79"/>
      <c r="G213" s="94"/>
      <c r="I213" s="86" t="e">
        <f t="shared" si="8"/>
        <v>#DIV/0!</v>
      </c>
      <c r="J213" s="87" t="e">
        <f t="shared" si="8"/>
        <v>#DIV/0!</v>
      </c>
      <c r="K213" s="87" t="e">
        <f t="shared" si="8"/>
        <v>#DIV/0!</v>
      </c>
      <c r="L213" s="87" t="e">
        <f t="shared" si="8"/>
        <v>#DIV/0!</v>
      </c>
      <c r="M213" s="88" t="e">
        <f t="shared" si="8"/>
        <v>#DIV/0!</v>
      </c>
      <c r="O213" s="121" t="str">
        <f t="shared" si="9"/>
        <v>קרית חיים</v>
      </c>
      <c r="P213" s="121" t="str">
        <f t="shared" si="9"/>
        <v>סכנין</v>
      </c>
    </row>
    <row r="214" spans="1:16" x14ac:dyDescent="0.3">
      <c r="A214" s="60">
        <v>9</v>
      </c>
      <c r="B214" s="121">
        <v>1</v>
      </c>
      <c r="C214" s="79"/>
      <c r="D214" s="79"/>
      <c r="E214" s="79"/>
      <c r="F214" s="79"/>
      <c r="G214" s="94"/>
      <c r="I214" s="86" t="e">
        <f t="shared" si="8"/>
        <v>#DIV/0!</v>
      </c>
      <c r="J214" s="87" t="e">
        <f t="shared" si="8"/>
        <v>#DIV/0!</v>
      </c>
      <c r="K214" s="87" t="e">
        <f t="shared" si="8"/>
        <v>#DIV/0!</v>
      </c>
      <c r="L214" s="87" t="e">
        <f t="shared" si="8"/>
        <v>#DIV/0!</v>
      </c>
      <c r="M214" s="88" t="e">
        <f t="shared" si="8"/>
        <v>#DIV/0!</v>
      </c>
      <c r="O214" s="121" t="str">
        <f t="shared" si="9"/>
        <v>קרית אתא</v>
      </c>
      <c r="P214" s="121" t="str">
        <f t="shared" si="9"/>
        <v>נהריה</v>
      </c>
    </row>
    <row r="215" spans="1:16" x14ac:dyDescent="0.3">
      <c r="A215" s="60">
        <v>9</v>
      </c>
      <c r="B215" s="121">
        <v>2</v>
      </c>
      <c r="C215" s="79"/>
      <c r="D215" s="79"/>
      <c r="E215" s="79"/>
      <c r="F215" s="79"/>
      <c r="G215" s="94"/>
      <c r="I215" s="86" t="e">
        <f t="shared" si="8"/>
        <v>#DIV/0!</v>
      </c>
      <c r="J215" s="87" t="e">
        <f t="shared" si="8"/>
        <v>#DIV/0!</v>
      </c>
      <c r="K215" s="87" t="e">
        <f t="shared" si="8"/>
        <v>#DIV/0!</v>
      </c>
      <c r="L215" s="87" t="e">
        <f t="shared" si="8"/>
        <v>#DIV/0!</v>
      </c>
      <c r="M215" s="88" t="e">
        <f t="shared" si="8"/>
        <v>#DIV/0!</v>
      </c>
      <c r="O215" s="121" t="str">
        <f t="shared" si="9"/>
        <v>קרית אתא</v>
      </c>
      <c r="P215" s="121" t="str">
        <f t="shared" si="9"/>
        <v>עכו</v>
      </c>
    </row>
    <row r="216" spans="1:16" x14ac:dyDescent="0.3">
      <c r="A216" s="60">
        <v>9</v>
      </c>
      <c r="B216" s="121">
        <v>3</v>
      </c>
      <c r="C216" s="79"/>
      <c r="D216" s="79"/>
      <c r="E216" s="79"/>
      <c r="F216" s="79"/>
      <c r="G216" s="94"/>
      <c r="I216" s="86" t="e">
        <f t="shared" si="8"/>
        <v>#DIV/0!</v>
      </c>
      <c r="J216" s="87" t="e">
        <f t="shared" si="8"/>
        <v>#DIV/0!</v>
      </c>
      <c r="K216" s="87" t="e">
        <f t="shared" si="8"/>
        <v>#DIV/0!</v>
      </c>
      <c r="L216" s="87" t="e">
        <f t="shared" si="8"/>
        <v>#DIV/0!</v>
      </c>
      <c r="M216" s="88" t="e">
        <f t="shared" si="8"/>
        <v>#DIV/0!</v>
      </c>
      <c r="O216" s="121" t="str">
        <f t="shared" si="9"/>
        <v>קרית אתא</v>
      </c>
      <c r="P216" s="121" t="str">
        <f t="shared" si="9"/>
        <v>כרמיאל</v>
      </c>
    </row>
    <row r="217" spans="1:16" x14ac:dyDescent="0.3">
      <c r="A217" s="60">
        <v>9</v>
      </c>
      <c r="B217" s="121">
        <v>4</v>
      </c>
      <c r="C217" s="79"/>
      <c r="D217" s="79"/>
      <c r="E217" s="79"/>
      <c r="F217" s="79"/>
      <c r="G217" s="94"/>
      <c r="I217" s="86" t="e">
        <f t="shared" si="8"/>
        <v>#DIV/0!</v>
      </c>
      <c r="J217" s="87" t="e">
        <f t="shared" si="8"/>
        <v>#DIV/0!</v>
      </c>
      <c r="K217" s="87" t="e">
        <f t="shared" si="8"/>
        <v>#DIV/0!</v>
      </c>
      <c r="L217" s="87" t="e">
        <f t="shared" si="8"/>
        <v>#DIV/0!</v>
      </c>
      <c r="M217" s="88" t="e">
        <f t="shared" si="8"/>
        <v>#DIV/0!</v>
      </c>
      <c r="O217" s="121" t="str">
        <f t="shared" si="9"/>
        <v>קרית אתא</v>
      </c>
      <c r="P217" s="121" t="str">
        <f t="shared" si="9"/>
        <v>שפרעם</v>
      </c>
    </row>
    <row r="218" spans="1:16" x14ac:dyDescent="0.3">
      <c r="A218" s="60">
        <v>9</v>
      </c>
      <c r="B218" s="121">
        <v>5</v>
      </c>
      <c r="C218" s="79"/>
      <c r="D218" s="79"/>
      <c r="E218" s="79"/>
      <c r="F218" s="79"/>
      <c r="G218" s="94"/>
      <c r="I218" s="86" t="e">
        <f t="shared" si="8"/>
        <v>#DIV/0!</v>
      </c>
      <c r="J218" s="87" t="e">
        <f t="shared" si="8"/>
        <v>#DIV/0!</v>
      </c>
      <c r="K218" s="87" t="e">
        <f t="shared" si="8"/>
        <v>#DIV/0!</v>
      </c>
      <c r="L218" s="87" t="e">
        <f t="shared" si="8"/>
        <v>#DIV/0!</v>
      </c>
      <c r="M218" s="88" t="e">
        <f t="shared" si="8"/>
        <v>#DIV/0!</v>
      </c>
      <c r="O218" s="121" t="str">
        <f t="shared" si="9"/>
        <v>קרית אתא</v>
      </c>
      <c r="P218" s="121" t="str">
        <f t="shared" si="9"/>
        <v>קרית ים</v>
      </c>
    </row>
    <row r="219" spans="1:16" x14ac:dyDescent="0.3">
      <c r="A219" s="60">
        <v>9</v>
      </c>
      <c r="B219" s="121">
        <v>6</v>
      </c>
      <c r="C219" s="79"/>
      <c r="D219" s="79"/>
      <c r="E219" s="79"/>
      <c r="F219" s="79"/>
      <c r="G219" s="94"/>
      <c r="I219" s="86" t="e">
        <f t="shared" si="8"/>
        <v>#DIV/0!</v>
      </c>
      <c r="J219" s="87" t="e">
        <f t="shared" si="8"/>
        <v>#DIV/0!</v>
      </c>
      <c r="K219" s="87" t="e">
        <f t="shared" si="8"/>
        <v>#DIV/0!</v>
      </c>
      <c r="L219" s="87" t="e">
        <f t="shared" si="8"/>
        <v>#DIV/0!</v>
      </c>
      <c r="M219" s="88" t="e">
        <f t="shared" si="8"/>
        <v>#DIV/0!</v>
      </c>
      <c r="O219" s="121" t="str">
        <f t="shared" si="9"/>
        <v>קרית אתא</v>
      </c>
      <c r="P219" s="121" t="str">
        <f t="shared" si="9"/>
        <v>קרית מוצקין</v>
      </c>
    </row>
    <row r="220" spans="1:16" x14ac:dyDescent="0.3">
      <c r="A220" s="60">
        <v>9</v>
      </c>
      <c r="B220" s="121">
        <v>7</v>
      </c>
      <c r="C220" s="79"/>
      <c r="D220" s="79"/>
      <c r="E220" s="79"/>
      <c r="F220" s="79"/>
      <c r="G220" s="94"/>
      <c r="I220" s="86" t="e">
        <f t="shared" si="8"/>
        <v>#DIV/0!</v>
      </c>
      <c r="J220" s="87" t="e">
        <f t="shared" si="8"/>
        <v>#DIV/0!</v>
      </c>
      <c r="K220" s="87" t="e">
        <f t="shared" si="8"/>
        <v>#DIV/0!</v>
      </c>
      <c r="L220" s="87" t="e">
        <f t="shared" si="8"/>
        <v>#DIV/0!</v>
      </c>
      <c r="M220" s="88" t="e">
        <f t="shared" si="8"/>
        <v>#DIV/0!</v>
      </c>
      <c r="O220" s="121" t="str">
        <f t="shared" si="9"/>
        <v>קרית אתא</v>
      </c>
      <c r="P220" s="121" t="str">
        <f t="shared" si="9"/>
        <v>קרית ביאליק</v>
      </c>
    </row>
    <row r="221" spans="1:16" x14ac:dyDescent="0.3">
      <c r="A221" s="60">
        <v>9</v>
      </c>
      <c r="B221" s="121">
        <v>8</v>
      </c>
      <c r="C221" s="79"/>
      <c r="D221" s="79"/>
      <c r="E221" s="79"/>
      <c r="F221" s="79"/>
      <c r="G221" s="94"/>
      <c r="I221" s="86" t="e">
        <f t="shared" si="8"/>
        <v>#DIV/0!</v>
      </c>
      <c r="J221" s="87" t="e">
        <f t="shared" si="8"/>
        <v>#DIV/0!</v>
      </c>
      <c r="K221" s="87" t="e">
        <f t="shared" si="8"/>
        <v>#DIV/0!</v>
      </c>
      <c r="L221" s="87" t="e">
        <f t="shared" si="8"/>
        <v>#DIV/0!</v>
      </c>
      <c r="M221" s="88" t="e">
        <f t="shared" si="8"/>
        <v>#DIV/0!</v>
      </c>
      <c r="O221" s="121" t="str">
        <f t="shared" si="9"/>
        <v>קרית אתא</v>
      </c>
      <c r="P221" s="121" t="str">
        <f t="shared" si="9"/>
        <v>קרית חיים</v>
      </c>
    </row>
    <row r="222" spans="1:16" x14ac:dyDescent="0.3">
      <c r="A222" s="60">
        <v>9</v>
      </c>
      <c r="B222" s="121">
        <v>9</v>
      </c>
      <c r="C222" s="79"/>
      <c r="D222" s="79"/>
      <c r="E222" s="79"/>
      <c r="F222" s="79"/>
      <c r="G222" s="94"/>
      <c r="I222" s="86" t="e">
        <f t="shared" si="8"/>
        <v>#DIV/0!</v>
      </c>
      <c r="J222" s="87" t="e">
        <f t="shared" si="8"/>
        <v>#DIV/0!</v>
      </c>
      <c r="K222" s="87" t="e">
        <f t="shared" si="8"/>
        <v>#DIV/0!</v>
      </c>
      <c r="L222" s="87" t="e">
        <f t="shared" si="8"/>
        <v>#DIV/0!</v>
      </c>
      <c r="M222" s="88" t="e">
        <f t="shared" si="8"/>
        <v>#DIV/0!</v>
      </c>
      <c r="O222" s="121" t="str">
        <f t="shared" si="9"/>
        <v>קרית אתא</v>
      </c>
      <c r="P222" s="121" t="str">
        <f t="shared" si="9"/>
        <v>קרית אתא</v>
      </c>
    </row>
    <row r="223" spans="1:16" x14ac:dyDescent="0.3">
      <c r="A223" s="60">
        <v>9</v>
      </c>
      <c r="B223" s="121">
        <v>10</v>
      </c>
      <c r="C223" s="79"/>
      <c r="D223" s="79"/>
      <c r="E223" s="79"/>
      <c r="F223" s="79"/>
      <c r="G223" s="94"/>
      <c r="I223" s="86" t="e">
        <f t="shared" ref="I223:M273" si="10">C223/SUM($C223:$G223)</f>
        <v>#DIV/0!</v>
      </c>
      <c r="J223" s="87" t="e">
        <f t="shared" si="10"/>
        <v>#DIV/0!</v>
      </c>
      <c r="K223" s="87" t="e">
        <f t="shared" si="10"/>
        <v>#DIV/0!</v>
      </c>
      <c r="L223" s="87" t="e">
        <f t="shared" si="10"/>
        <v>#DIV/0!</v>
      </c>
      <c r="M223" s="88" t="e">
        <f t="shared" si="10"/>
        <v>#DIV/0!</v>
      </c>
      <c r="O223" s="121" t="str">
        <f t="shared" si="9"/>
        <v>קרית אתא</v>
      </c>
      <c r="P223" s="121" t="str">
        <f t="shared" si="9"/>
        <v>כפר מנדא</v>
      </c>
    </row>
    <row r="224" spans="1:16" x14ac:dyDescent="0.3">
      <c r="A224" s="60">
        <v>9</v>
      </c>
      <c r="B224" s="121">
        <v>11</v>
      </c>
      <c r="C224" s="79"/>
      <c r="D224" s="79"/>
      <c r="E224" s="79"/>
      <c r="F224" s="79"/>
      <c r="G224" s="94"/>
      <c r="I224" s="86" t="e">
        <f t="shared" si="10"/>
        <v>#DIV/0!</v>
      </c>
      <c r="J224" s="87" t="e">
        <f t="shared" si="10"/>
        <v>#DIV/0!</v>
      </c>
      <c r="K224" s="87" t="e">
        <f t="shared" si="10"/>
        <v>#DIV/0!</v>
      </c>
      <c r="L224" s="87" t="e">
        <f t="shared" si="10"/>
        <v>#DIV/0!</v>
      </c>
      <c r="M224" s="88" t="e">
        <f t="shared" si="10"/>
        <v>#DIV/0!</v>
      </c>
      <c r="O224" s="121" t="str">
        <f t="shared" si="9"/>
        <v>קרית אתא</v>
      </c>
      <c r="P224" s="121" t="str">
        <f t="shared" si="9"/>
        <v>זבולון</v>
      </c>
    </row>
    <row r="225" spans="1:16" x14ac:dyDescent="0.3">
      <c r="A225" s="60">
        <v>9</v>
      </c>
      <c r="B225" s="121">
        <v>12</v>
      </c>
      <c r="C225" s="79"/>
      <c r="D225" s="79"/>
      <c r="E225" s="79"/>
      <c r="F225" s="79"/>
      <c r="G225" s="94"/>
      <c r="I225" s="86" t="e">
        <f t="shared" si="10"/>
        <v>#DIV/0!</v>
      </c>
      <c r="J225" s="87" t="e">
        <f t="shared" si="10"/>
        <v>#DIV/0!</v>
      </c>
      <c r="K225" s="87" t="e">
        <f t="shared" si="10"/>
        <v>#DIV/0!</v>
      </c>
      <c r="L225" s="87" t="e">
        <f t="shared" si="10"/>
        <v>#DIV/0!</v>
      </c>
      <c r="M225" s="88" t="e">
        <f t="shared" si="10"/>
        <v>#DIV/0!</v>
      </c>
      <c r="O225" s="121" t="str">
        <f t="shared" si="9"/>
        <v>קרית אתא</v>
      </c>
      <c r="P225" s="121" t="str">
        <f t="shared" si="9"/>
        <v>חיפה מפרץ</v>
      </c>
    </row>
    <row r="226" spans="1:16" x14ac:dyDescent="0.3">
      <c r="A226" s="60">
        <v>9</v>
      </c>
      <c r="B226" s="121">
        <v>13</v>
      </c>
      <c r="C226" s="79"/>
      <c r="D226" s="79"/>
      <c r="E226" s="79"/>
      <c r="F226" s="79"/>
      <c r="G226" s="94"/>
      <c r="I226" s="86" t="e">
        <f t="shared" si="10"/>
        <v>#DIV/0!</v>
      </c>
      <c r="J226" s="87" t="e">
        <f t="shared" si="10"/>
        <v>#DIV/0!</v>
      </c>
      <c r="K226" s="87" t="e">
        <f t="shared" si="10"/>
        <v>#DIV/0!</v>
      </c>
      <c r="L226" s="87" t="e">
        <f t="shared" si="10"/>
        <v>#DIV/0!</v>
      </c>
      <c r="M226" s="88" t="e">
        <f t="shared" si="10"/>
        <v>#DIV/0!</v>
      </c>
      <c r="O226" s="121" t="str">
        <f t="shared" si="9"/>
        <v>קרית אתא</v>
      </c>
      <c r="P226" s="121" t="str">
        <f t="shared" si="9"/>
        <v>חיפה עיר תחתית</v>
      </c>
    </row>
    <row r="227" spans="1:16" x14ac:dyDescent="0.3">
      <c r="A227" s="60">
        <v>9</v>
      </c>
      <c r="B227" s="121">
        <v>14</v>
      </c>
      <c r="C227" s="79"/>
      <c r="D227" s="79"/>
      <c r="E227" s="79"/>
      <c r="F227" s="79"/>
      <c r="G227" s="94"/>
      <c r="I227" s="86" t="e">
        <f t="shared" si="10"/>
        <v>#DIV/0!</v>
      </c>
      <c r="J227" s="87" t="e">
        <f t="shared" si="10"/>
        <v>#DIV/0!</v>
      </c>
      <c r="K227" s="87" t="e">
        <f t="shared" si="10"/>
        <v>#DIV/0!</v>
      </c>
      <c r="L227" s="87" t="e">
        <f t="shared" si="10"/>
        <v>#DIV/0!</v>
      </c>
      <c r="M227" s="88" t="e">
        <f t="shared" si="10"/>
        <v>#DIV/0!</v>
      </c>
      <c r="O227" s="121" t="str">
        <f t="shared" si="9"/>
        <v>קרית אתא</v>
      </c>
      <c r="P227" s="121" t="str">
        <f t="shared" si="9"/>
        <v>חיפה הדר-כרמל</v>
      </c>
    </row>
    <row r="228" spans="1:16" x14ac:dyDescent="0.3">
      <c r="A228" s="60">
        <v>9</v>
      </c>
      <c r="B228" s="121">
        <v>15</v>
      </c>
      <c r="C228" s="79"/>
      <c r="D228" s="79"/>
      <c r="E228" s="79"/>
      <c r="F228" s="79"/>
      <c r="G228" s="94"/>
      <c r="I228" s="86" t="e">
        <f t="shared" si="10"/>
        <v>#DIV/0!</v>
      </c>
      <c r="J228" s="87" t="e">
        <f t="shared" si="10"/>
        <v>#DIV/0!</v>
      </c>
      <c r="K228" s="87" t="e">
        <f t="shared" si="10"/>
        <v>#DIV/0!</v>
      </c>
      <c r="L228" s="87" t="e">
        <f t="shared" si="10"/>
        <v>#DIV/0!</v>
      </c>
      <c r="M228" s="88" t="e">
        <f t="shared" si="10"/>
        <v>#DIV/0!</v>
      </c>
      <c r="O228" s="121" t="str">
        <f t="shared" si="9"/>
        <v>קרית אתא</v>
      </c>
      <c r="P228" s="121" t="str">
        <f t="shared" si="9"/>
        <v>חיפה מערב</v>
      </c>
    </row>
    <row r="229" spans="1:16" x14ac:dyDescent="0.3">
      <c r="A229" s="60">
        <v>9</v>
      </c>
      <c r="B229" s="121">
        <v>16</v>
      </c>
      <c r="C229" s="79"/>
      <c r="D229" s="79"/>
      <c r="E229" s="79"/>
      <c r="F229" s="79"/>
      <c r="G229" s="94"/>
      <c r="I229" s="86" t="e">
        <f t="shared" si="10"/>
        <v>#DIV/0!</v>
      </c>
      <c r="J229" s="87" t="e">
        <f t="shared" si="10"/>
        <v>#DIV/0!</v>
      </c>
      <c r="K229" s="87" t="e">
        <f t="shared" si="10"/>
        <v>#DIV/0!</v>
      </c>
      <c r="L229" s="87" t="e">
        <f t="shared" si="10"/>
        <v>#DIV/0!</v>
      </c>
      <c r="M229" s="88" t="e">
        <f t="shared" si="10"/>
        <v>#DIV/0!</v>
      </c>
      <c r="O229" s="121" t="str">
        <f t="shared" si="9"/>
        <v>קרית אתא</v>
      </c>
      <c r="P229" s="121" t="str">
        <f t="shared" si="9"/>
        <v>חיפה כרמל</v>
      </c>
    </row>
    <row r="230" spans="1:16" x14ac:dyDescent="0.3">
      <c r="A230" s="60">
        <v>9</v>
      </c>
      <c r="B230" s="121">
        <v>17</v>
      </c>
      <c r="C230" s="79"/>
      <c r="D230" s="79"/>
      <c r="E230" s="79"/>
      <c r="F230" s="79"/>
      <c r="G230" s="94"/>
      <c r="I230" s="86" t="e">
        <f t="shared" si="10"/>
        <v>#DIV/0!</v>
      </c>
      <c r="J230" s="87" t="e">
        <f t="shared" si="10"/>
        <v>#DIV/0!</v>
      </c>
      <c r="K230" s="87" t="e">
        <f t="shared" si="10"/>
        <v>#DIV/0!</v>
      </c>
      <c r="L230" s="87" t="e">
        <f t="shared" si="10"/>
        <v>#DIV/0!</v>
      </c>
      <c r="M230" s="88" t="e">
        <f t="shared" si="10"/>
        <v>#DIV/0!</v>
      </c>
      <c r="O230" s="121" t="str">
        <f t="shared" si="9"/>
        <v>קרית אתא</v>
      </c>
      <c r="P230" s="121" t="str">
        <f t="shared" si="9"/>
        <v>חיפה נווה שאנן</v>
      </c>
    </row>
    <row r="231" spans="1:16" x14ac:dyDescent="0.3">
      <c r="A231" s="60">
        <v>9</v>
      </c>
      <c r="B231" s="121">
        <v>18</v>
      </c>
      <c r="C231" s="79"/>
      <c r="D231" s="79"/>
      <c r="E231" s="79"/>
      <c r="F231" s="79"/>
      <c r="G231" s="94"/>
      <c r="I231" s="86" t="e">
        <f t="shared" si="10"/>
        <v>#DIV/0!</v>
      </c>
      <c r="J231" s="87" t="e">
        <f t="shared" si="10"/>
        <v>#DIV/0!</v>
      </c>
      <c r="K231" s="87" t="e">
        <f t="shared" si="10"/>
        <v>#DIV/0!</v>
      </c>
      <c r="L231" s="87" t="e">
        <f t="shared" si="10"/>
        <v>#DIV/0!</v>
      </c>
      <c r="M231" s="88" t="e">
        <f t="shared" si="10"/>
        <v>#DIV/0!</v>
      </c>
      <c r="O231" s="121" t="str">
        <f t="shared" si="9"/>
        <v>קרית אתא</v>
      </c>
      <c r="P231" s="121" t="str">
        <f t="shared" si="9"/>
        <v>נשר</v>
      </c>
    </row>
    <row r="232" spans="1:16" x14ac:dyDescent="0.3">
      <c r="A232" s="60">
        <v>9</v>
      </c>
      <c r="B232" s="121">
        <v>19</v>
      </c>
      <c r="C232" s="79"/>
      <c r="D232" s="79"/>
      <c r="E232" s="79"/>
      <c r="F232" s="79"/>
      <c r="G232" s="94"/>
      <c r="I232" s="86" t="e">
        <f t="shared" si="10"/>
        <v>#DIV/0!</v>
      </c>
      <c r="J232" s="87" t="e">
        <f t="shared" si="10"/>
        <v>#DIV/0!</v>
      </c>
      <c r="K232" s="87" t="e">
        <f t="shared" si="10"/>
        <v>#DIV/0!</v>
      </c>
      <c r="L232" s="87" t="e">
        <f t="shared" si="10"/>
        <v>#DIV/0!</v>
      </c>
      <c r="M232" s="88" t="e">
        <f t="shared" si="10"/>
        <v>#DIV/0!</v>
      </c>
      <c r="O232" s="121" t="str">
        <f t="shared" si="9"/>
        <v>קרית אתא</v>
      </c>
      <c r="P232" s="121" t="str">
        <f t="shared" si="9"/>
        <v>נצרת</v>
      </c>
    </row>
    <row r="233" spans="1:16" x14ac:dyDescent="0.3">
      <c r="A233" s="60">
        <v>9</v>
      </c>
      <c r="B233" s="121">
        <v>20</v>
      </c>
      <c r="C233" s="79"/>
      <c r="D233" s="79"/>
      <c r="E233" s="79"/>
      <c r="F233" s="79"/>
      <c r="G233" s="94"/>
      <c r="I233" s="86" t="e">
        <f t="shared" si="10"/>
        <v>#DIV/0!</v>
      </c>
      <c r="J233" s="87" t="e">
        <f t="shared" si="10"/>
        <v>#DIV/0!</v>
      </c>
      <c r="K233" s="87" t="e">
        <f t="shared" si="10"/>
        <v>#DIV/0!</v>
      </c>
      <c r="L233" s="87" t="e">
        <f t="shared" si="10"/>
        <v>#DIV/0!</v>
      </c>
      <c r="M233" s="88" t="e">
        <f t="shared" si="10"/>
        <v>#DIV/0!</v>
      </c>
      <c r="O233" s="121" t="str">
        <f t="shared" si="9"/>
        <v>קרית אתא</v>
      </c>
      <c r="P233" s="121" t="str">
        <f t="shared" si="9"/>
        <v>נצרת-עילית</v>
      </c>
    </row>
    <row r="234" spans="1:16" x14ac:dyDescent="0.3">
      <c r="A234" s="60">
        <v>9</v>
      </c>
      <c r="B234" s="121">
        <v>21</v>
      </c>
      <c r="C234" s="79"/>
      <c r="D234" s="79"/>
      <c r="E234" s="79"/>
      <c r="F234" s="79"/>
      <c r="G234" s="94"/>
      <c r="I234" s="86" t="e">
        <f t="shared" si="10"/>
        <v>#DIV/0!</v>
      </c>
      <c r="J234" s="87" t="e">
        <f t="shared" si="10"/>
        <v>#DIV/0!</v>
      </c>
      <c r="K234" s="87" t="e">
        <f t="shared" si="10"/>
        <v>#DIV/0!</v>
      </c>
      <c r="L234" s="87" t="e">
        <f t="shared" si="10"/>
        <v>#DIV/0!</v>
      </c>
      <c r="M234" s="88" t="e">
        <f t="shared" si="10"/>
        <v>#DIV/0!</v>
      </c>
      <c r="O234" s="121" t="str">
        <f t="shared" si="9"/>
        <v>קרית אתא</v>
      </c>
      <c r="P234" s="121" t="str">
        <f t="shared" si="9"/>
        <v>מגדל העמק</v>
      </c>
    </row>
    <row r="235" spans="1:16" x14ac:dyDescent="0.3">
      <c r="A235" s="60">
        <v>9</v>
      </c>
      <c r="B235" s="121">
        <v>22</v>
      </c>
      <c r="C235" s="79"/>
      <c r="D235" s="79"/>
      <c r="E235" s="79"/>
      <c r="F235" s="79"/>
      <c r="G235" s="94"/>
      <c r="I235" s="86" t="e">
        <f t="shared" si="10"/>
        <v>#DIV/0!</v>
      </c>
      <c r="J235" s="87" t="e">
        <f t="shared" si="10"/>
        <v>#DIV/0!</v>
      </c>
      <c r="K235" s="87" t="e">
        <f t="shared" si="10"/>
        <v>#DIV/0!</v>
      </c>
      <c r="L235" s="87" t="e">
        <f t="shared" si="10"/>
        <v>#DIV/0!</v>
      </c>
      <c r="M235" s="88" t="e">
        <f t="shared" si="10"/>
        <v>#DIV/0!</v>
      </c>
      <c r="O235" s="121" t="str">
        <f t="shared" si="9"/>
        <v>קרית אתא</v>
      </c>
      <c r="P235" s="121" t="str">
        <f t="shared" si="9"/>
        <v>יוקנעם</v>
      </c>
    </row>
    <row r="236" spans="1:16" x14ac:dyDescent="0.3">
      <c r="A236" s="60">
        <v>9</v>
      </c>
      <c r="B236" s="121">
        <v>23</v>
      </c>
      <c r="C236" s="79"/>
      <c r="D236" s="79"/>
      <c r="E236" s="79"/>
      <c r="F236" s="79"/>
      <c r="G236" s="94"/>
      <c r="I236" s="86" t="e">
        <f t="shared" si="10"/>
        <v>#DIV/0!</v>
      </c>
      <c r="J236" s="87" t="e">
        <f t="shared" si="10"/>
        <v>#DIV/0!</v>
      </c>
      <c r="K236" s="87" t="e">
        <f t="shared" si="10"/>
        <v>#DIV/0!</v>
      </c>
      <c r="L236" s="87" t="e">
        <f t="shared" si="10"/>
        <v>#DIV/0!</v>
      </c>
      <c r="M236" s="88" t="e">
        <f t="shared" si="10"/>
        <v>#DIV/0!</v>
      </c>
      <c r="O236" s="121" t="str">
        <f t="shared" si="9"/>
        <v>קרית אתא</v>
      </c>
      <c r="P236" s="121" t="str">
        <f t="shared" si="9"/>
        <v>דלית אל כרמל</v>
      </c>
    </row>
    <row r="237" spans="1:16" x14ac:dyDescent="0.3">
      <c r="A237" s="60">
        <v>9</v>
      </c>
      <c r="B237" s="121">
        <v>24</v>
      </c>
      <c r="C237" s="79"/>
      <c r="D237" s="79"/>
      <c r="E237" s="79"/>
      <c r="F237" s="79"/>
      <c r="G237" s="94"/>
      <c r="I237" s="86" t="e">
        <f t="shared" si="10"/>
        <v>#DIV/0!</v>
      </c>
      <c r="J237" s="87" t="e">
        <f t="shared" si="10"/>
        <v>#DIV/0!</v>
      </c>
      <c r="K237" s="87" t="e">
        <f t="shared" si="10"/>
        <v>#DIV/0!</v>
      </c>
      <c r="L237" s="87" t="e">
        <f t="shared" si="10"/>
        <v>#DIV/0!</v>
      </c>
      <c r="M237" s="88" t="e">
        <f t="shared" si="10"/>
        <v>#DIV/0!</v>
      </c>
      <c r="O237" s="121" t="str">
        <f t="shared" si="9"/>
        <v>קרית אתא</v>
      </c>
      <c r="P237" s="121" t="str">
        <f t="shared" si="9"/>
        <v>חוף הכרמל</v>
      </c>
    </row>
    <row r="238" spans="1:16" x14ac:dyDescent="0.3">
      <c r="A238" s="60">
        <v>9</v>
      </c>
      <c r="B238" s="121">
        <v>25</v>
      </c>
      <c r="C238" s="79"/>
      <c r="D238" s="79"/>
      <c r="E238" s="79"/>
      <c r="F238" s="79"/>
      <c r="G238" s="94"/>
      <c r="I238" s="86" t="e">
        <f t="shared" si="10"/>
        <v>#DIV/0!</v>
      </c>
      <c r="J238" s="87" t="e">
        <f t="shared" si="10"/>
        <v>#DIV/0!</v>
      </c>
      <c r="K238" s="87" t="e">
        <f t="shared" si="10"/>
        <v>#DIV/0!</v>
      </c>
      <c r="L238" s="87" t="e">
        <f t="shared" si="10"/>
        <v>#DIV/0!</v>
      </c>
      <c r="M238" s="88" t="e">
        <f t="shared" si="10"/>
        <v>#DIV/0!</v>
      </c>
      <c r="O238" s="121" t="str">
        <f t="shared" si="9"/>
        <v>קרית אתא</v>
      </c>
      <c r="P238" s="121" t="str">
        <f t="shared" si="9"/>
        <v>זכרון יעקב</v>
      </c>
    </row>
    <row r="239" spans="1:16" x14ac:dyDescent="0.3">
      <c r="A239" s="60">
        <v>9</v>
      </c>
      <c r="B239" s="121">
        <v>30</v>
      </c>
      <c r="C239" s="79"/>
      <c r="D239" s="79"/>
      <c r="E239" s="79"/>
      <c r="F239" s="79"/>
      <c r="G239" s="94"/>
      <c r="I239" s="86" t="e">
        <f t="shared" si="10"/>
        <v>#DIV/0!</v>
      </c>
      <c r="J239" s="87" t="e">
        <f t="shared" si="10"/>
        <v>#DIV/0!</v>
      </c>
      <c r="K239" s="87" t="e">
        <f t="shared" si="10"/>
        <v>#DIV/0!</v>
      </c>
      <c r="L239" s="87" t="e">
        <f t="shared" si="10"/>
        <v>#DIV/0!</v>
      </c>
      <c r="M239" s="88" t="e">
        <f t="shared" si="10"/>
        <v>#DIV/0!</v>
      </c>
      <c r="O239" s="121" t="str">
        <f t="shared" si="9"/>
        <v>קרית אתא</v>
      </c>
      <c r="P239" s="121" t="str">
        <f t="shared" si="9"/>
        <v>סכנין</v>
      </c>
    </row>
    <row r="240" spans="1:16" x14ac:dyDescent="0.3">
      <c r="A240" s="60">
        <v>10</v>
      </c>
      <c r="B240" s="121">
        <v>1</v>
      </c>
      <c r="C240" s="79"/>
      <c r="D240" s="79"/>
      <c r="E240" s="79"/>
      <c r="F240" s="79"/>
      <c r="G240" s="94"/>
      <c r="I240" s="86" t="e">
        <f t="shared" si="10"/>
        <v>#DIV/0!</v>
      </c>
      <c r="J240" s="87" t="e">
        <f t="shared" si="10"/>
        <v>#DIV/0!</v>
      </c>
      <c r="K240" s="87" t="e">
        <f t="shared" si="10"/>
        <v>#DIV/0!</v>
      </c>
      <c r="L240" s="87" t="e">
        <f t="shared" si="10"/>
        <v>#DIV/0!</v>
      </c>
      <c r="M240" s="88" t="e">
        <f t="shared" si="10"/>
        <v>#DIV/0!</v>
      </c>
      <c r="O240" s="121" t="str">
        <f t="shared" si="9"/>
        <v>כפר מנדא</v>
      </c>
      <c r="P240" s="121" t="str">
        <f t="shared" si="9"/>
        <v>נהריה</v>
      </c>
    </row>
    <row r="241" spans="1:16" x14ac:dyDescent="0.3">
      <c r="A241" s="60">
        <v>10</v>
      </c>
      <c r="B241" s="121">
        <v>2</v>
      </c>
      <c r="C241" s="79"/>
      <c r="D241" s="79"/>
      <c r="E241" s="79"/>
      <c r="F241" s="79"/>
      <c r="G241" s="94"/>
      <c r="I241" s="86" t="e">
        <f t="shared" si="10"/>
        <v>#DIV/0!</v>
      </c>
      <c r="J241" s="87" t="e">
        <f t="shared" si="10"/>
        <v>#DIV/0!</v>
      </c>
      <c r="K241" s="87" t="e">
        <f t="shared" si="10"/>
        <v>#DIV/0!</v>
      </c>
      <c r="L241" s="87" t="e">
        <f t="shared" si="10"/>
        <v>#DIV/0!</v>
      </c>
      <c r="M241" s="88" t="e">
        <f t="shared" si="10"/>
        <v>#DIV/0!</v>
      </c>
      <c r="O241" s="121" t="str">
        <f t="shared" si="9"/>
        <v>כפר מנדא</v>
      </c>
      <c r="P241" s="121" t="str">
        <f t="shared" si="9"/>
        <v>עכו</v>
      </c>
    </row>
    <row r="242" spans="1:16" x14ac:dyDescent="0.3">
      <c r="A242" s="60">
        <v>10</v>
      </c>
      <c r="B242" s="121">
        <v>3</v>
      </c>
      <c r="C242" s="79"/>
      <c r="D242" s="79"/>
      <c r="E242" s="79"/>
      <c r="F242" s="79"/>
      <c r="G242" s="94"/>
      <c r="I242" s="86" t="e">
        <f t="shared" si="10"/>
        <v>#DIV/0!</v>
      </c>
      <c r="J242" s="87" t="e">
        <f t="shared" si="10"/>
        <v>#DIV/0!</v>
      </c>
      <c r="K242" s="87" t="e">
        <f t="shared" si="10"/>
        <v>#DIV/0!</v>
      </c>
      <c r="L242" s="87" t="e">
        <f t="shared" si="10"/>
        <v>#DIV/0!</v>
      </c>
      <c r="M242" s="88" t="e">
        <f t="shared" si="10"/>
        <v>#DIV/0!</v>
      </c>
      <c r="O242" s="121" t="str">
        <f t="shared" si="9"/>
        <v>כפר מנדא</v>
      </c>
      <c r="P242" s="121" t="str">
        <f t="shared" si="9"/>
        <v>כרמיאל</v>
      </c>
    </row>
    <row r="243" spans="1:16" x14ac:dyDescent="0.3">
      <c r="A243" s="60">
        <v>10</v>
      </c>
      <c r="B243" s="121">
        <v>4</v>
      </c>
      <c r="C243" s="79"/>
      <c r="D243" s="79"/>
      <c r="E243" s="79"/>
      <c r="F243" s="79"/>
      <c r="G243" s="94"/>
      <c r="I243" s="86" t="e">
        <f t="shared" si="10"/>
        <v>#DIV/0!</v>
      </c>
      <c r="J243" s="87" t="e">
        <f t="shared" si="10"/>
        <v>#DIV/0!</v>
      </c>
      <c r="K243" s="87" t="e">
        <f t="shared" si="10"/>
        <v>#DIV/0!</v>
      </c>
      <c r="L243" s="87" t="e">
        <f t="shared" si="10"/>
        <v>#DIV/0!</v>
      </c>
      <c r="M243" s="88" t="e">
        <f t="shared" si="10"/>
        <v>#DIV/0!</v>
      </c>
      <c r="O243" s="121" t="str">
        <f t="shared" si="9"/>
        <v>כפר מנדא</v>
      </c>
      <c r="P243" s="121" t="str">
        <f t="shared" si="9"/>
        <v>שפרעם</v>
      </c>
    </row>
    <row r="244" spans="1:16" x14ac:dyDescent="0.3">
      <c r="A244" s="60">
        <v>10</v>
      </c>
      <c r="B244" s="121">
        <v>5</v>
      </c>
      <c r="C244" s="79"/>
      <c r="D244" s="79"/>
      <c r="E244" s="79"/>
      <c r="F244" s="79"/>
      <c r="G244" s="94"/>
      <c r="I244" s="86" t="e">
        <f t="shared" si="10"/>
        <v>#DIV/0!</v>
      </c>
      <c r="J244" s="87" t="e">
        <f t="shared" si="10"/>
        <v>#DIV/0!</v>
      </c>
      <c r="K244" s="87" t="e">
        <f t="shared" si="10"/>
        <v>#DIV/0!</v>
      </c>
      <c r="L244" s="87" t="e">
        <f t="shared" si="10"/>
        <v>#DIV/0!</v>
      </c>
      <c r="M244" s="88" t="e">
        <f t="shared" si="10"/>
        <v>#DIV/0!</v>
      </c>
      <c r="O244" s="121" t="str">
        <f t="shared" si="9"/>
        <v>כפר מנדא</v>
      </c>
      <c r="P244" s="121" t="str">
        <f t="shared" si="9"/>
        <v>קרית ים</v>
      </c>
    </row>
    <row r="245" spans="1:16" x14ac:dyDescent="0.3">
      <c r="A245" s="60">
        <v>10</v>
      </c>
      <c r="B245" s="121">
        <v>6</v>
      </c>
      <c r="C245" s="79"/>
      <c r="D245" s="79"/>
      <c r="E245" s="79"/>
      <c r="F245" s="79"/>
      <c r="G245" s="94"/>
      <c r="I245" s="86" t="e">
        <f t="shared" si="10"/>
        <v>#DIV/0!</v>
      </c>
      <c r="J245" s="87" t="e">
        <f t="shared" si="10"/>
        <v>#DIV/0!</v>
      </c>
      <c r="K245" s="87" t="e">
        <f t="shared" si="10"/>
        <v>#DIV/0!</v>
      </c>
      <c r="L245" s="87" t="e">
        <f t="shared" si="10"/>
        <v>#DIV/0!</v>
      </c>
      <c r="M245" s="88" t="e">
        <f t="shared" si="10"/>
        <v>#DIV/0!</v>
      </c>
      <c r="O245" s="121" t="str">
        <f t="shared" si="9"/>
        <v>כפר מנדא</v>
      </c>
      <c r="P245" s="121" t="str">
        <f t="shared" si="9"/>
        <v>קרית מוצקין</v>
      </c>
    </row>
    <row r="246" spans="1:16" x14ac:dyDescent="0.3">
      <c r="A246" s="60">
        <v>10</v>
      </c>
      <c r="B246" s="121">
        <v>7</v>
      </c>
      <c r="C246" s="79"/>
      <c r="D246" s="79"/>
      <c r="E246" s="79"/>
      <c r="F246" s="79"/>
      <c r="G246" s="94"/>
      <c r="I246" s="86" t="e">
        <f t="shared" si="10"/>
        <v>#DIV/0!</v>
      </c>
      <c r="J246" s="87" t="e">
        <f t="shared" si="10"/>
        <v>#DIV/0!</v>
      </c>
      <c r="K246" s="87" t="e">
        <f t="shared" si="10"/>
        <v>#DIV/0!</v>
      </c>
      <c r="L246" s="87" t="e">
        <f t="shared" si="10"/>
        <v>#DIV/0!</v>
      </c>
      <c r="M246" s="88" t="e">
        <f t="shared" si="10"/>
        <v>#DIV/0!</v>
      </c>
      <c r="O246" s="121" t="str">
        <f t="shared" si="9"/>
        <v>כפר מנדא</v>
      </c>
      <c r="P246" s="121" t="str">
        <f t="shared" si="9"/>
        <v>קרית ביאליק</v>
      </c>
    </row>
    <row r="247" spans="1:16" x14ac:dyDescent="0.3">
      <c r="A247" s="60">
        <v>10</v>
      </c>
      <c r="B247" s="121">
        <v>8</v>
      </c>
      <c r="C247" s="79"/>
      <c r="D247" s="79"/>
      <c r="E247" s="79"/>
      <c r="F247" s="79"/>
      <c r="G247" s="94"/>
      <c r="I247" s="86" t="e">
        <f t="shared" si="10"/>
        <v>#DIV/0!</v>
      </c>
      <c r="J247" s="87" t="e">
        <f t="shared" si="10"/>
        <v>#DIV/0!</v>
      </c>
      <c r="K247" s="87" t="e">
        <f t="shared" si="10"/>
        <v>#DIV/0!</v>
      </c>
      <c r="L247" s="87" t="e">
        <f t="shared" si="10"/>
        <v>#DIV/0!</v>
      </c>
      <c r="M247" s="88" t="e">
        <f t="shared" si="10"/>
        <v>#DIV/0!</v>
      </c>
      <c r="O247" s="121" t="str">
        <f t="shared" si="9"/>
        <v>כפר מנדא</v>
      </c>
      <c r="P247" s="121" t="str">
        <f t="shared" si="9"/>
        <v>קרית חיים</v>
      </c>
    </row>
    <row r="248" spans="1:16" x14ac:dyDescent="0.3">
      <c r="A248" s="60">
        <v>10</v>
      </c>
      <c r="B248" s="121">
        <v>9</v>
      </c>
      <c r="C248" s="79"/>
      <c r="D248" s="79"/>
      <c r="E248" s="79"/>
      <c r="F248" s="79"/>
      <c r="G248" s="94"/>
      <c r="I248" s="86" t="e">
        <f t="shared" si="10"/>
        <v>#DIV/0!</v>
      </c>
      <c r="J248" s="87" t="e">
        <f t="shared" si="10"/>
        <v>#DIV/0!</v>
      </c>
      <c r="K248" s="87" t="e">
        <f t="shared" si="10"/>
        <v>#DIV/0!</v>
      </c>
      <c r="L248" s="87" t="e">
        <f t="shared" si="10"/>
        <v>#DIV/0!</v>
      </c>
      <c r="M248" s="88" t="e">
        <f t="shared" si="10"/>
        <v>#DIV/0!</v>
      </c>
      <c r="O248" s="121" t="str">
        <f t="shared" si="9"/>
        <v>כפר מנדא</v>
      </c>
      <c r="P248" s="121" t="str">
        <f t="shared" si="9"/>
        <v>קרית אתא</v>
      </c>
    </row>
    <row r="249" spans="1:16" x14ac:dyDescent="0.3">
      <c r="A249" s="60">
        <v>10</v>
      </c>
      <c r="B249" s="121">
        <v>10</v>
      </c>
      <c r="C249" s="79"/>
      <c r="D249" s="79"/>
      <c r="E249" s="79"/>
      <c r="F249" s="79"/>
      <c r="G249" s="94"/>
      <c r="I249" s="86" t="e">
        <f t="shared" si="10"/>
        <v>#DIV/0!</v>
      </c>
      <c r="J249" s="87" t="e">
        <f t="shared" si="10"/>
        <v>#DIV/0!</v>
      </c>
      <c r="K249" s="87" t="e">
        <f t="shared" si="10"/>
        <v>#DIV/0!</v>
      </c>
      <c r="L249" s="87" t="e">
        <f t="shared" si="10"/>
        <v>#DIV/0!</v>
      </c>
      <c r="M249" s="88" t="e">
        <f t="shared" si="10"/>
        <v>#DIV/0!</v>
      </c>
      <c r="O249" s="121" t="str">
        <f t="shared" si="9"/>
        <v>כפר מנדא</v>
      </c>
      <c r="P249" s="121" t="str">
        <f t="shared" si="9"/>
        <v>כפר מנדא</v>
      </c>
    </row>
    <row r="250" spans="1:16" x14ac:dyDescent="0.3">
      <c r="A250" s="60">
        <v>10</v>
      </c>
      <c r="B250" s="121">
        <v>11</v>
      </c>
      <c r="C250" s="79"/>
      <c r="D250" s="79"/>
      <c r="E250" s="79"/>
      <c r="F250" s="79"/>
      <c r="G250" s="94"/>
      <c r="I250" s="86" t="e">
        <f t="shared" si="10"/>
        <v>#DIV/0!</v>
      </c>
      <c r="J250" s="87" t="e">
        <f t="shared" si="10"/>
        <v>#DIV/0!</v>
      </c>
      <c r="K250" s="87" t="e">
        <f t="shared" si="10"/>
        <v>#DIV/0!</v>
      </c>
      <c r="L250" s="87" t="e">
        <f t="shared" si="10"/>
        <v>#DIV/0!</v>
      </c>
      <c r="M250" s="88" t="e">
        <f t="shared" si="10"/>
        <v>#DIV/0!</v>
      </c>
      <c r="O250" s="121" t="str">
        <f t="shared" si="9"/>
        <v>כפר מנדא</v>
      </c>
      <c r="P250" s="121" t="str">
        <f t="shared" si="9"/>
        <v>זבולון</v>
      </c>
    </row>
    <row r="251" spans="1:16" x14ac:dyDescent="0.3">
      <c r="A251" s="60">
        <v>10</v>
      </c>
      <c r="B251" s="121">
        <v>12</v>
      </c>
      <c r="C251" s="79"/>
      <c r="D251" s="79"/>
      <c r="E251" s="79"/>
      <c r="F251" s="79"/>
      <c r="G251" s="94"/>
      <c r="I251" s="86" t="e">
        <f t="shared" si="10"/>
        <v>#DIV/0!</v>
      </c>
      <c r="J251" s="87" t="e">
        <f t="shared" si="10"/>
        <v>#DIV/0!</v>
      </c>
      <c r="K251" s="87" t="e">
        <f t="shared" si="10"/>
        <v>#DIV/0!</v>
      </c>
      <c r="L251" s="87" t="e">
        <f t="shared" si="10"/>
        <v>#DIV/0!</v>
      </c>
      <c r="M251" s="88" t="e">
        <f t="shared" si="10"/>
        <v>#DIV/0!</v>
      </c>
      <c r="O251" s="121" t="str">
        <f t="shared" si="9"/>
        <v>כפר מנדא</v>
      </c>
      <c r="P251" s="121" t="str">
        <f t="shared" si="9"/>
        <v>חיפה מפרץ</v>
      </c>
    </row>
    <row r="252" spans="1:16" x14ac:dyDescent="0.3">
      <c r="A252" s="60">
        <v>10</v>
      </c>
      <c r="B252" s="121">
        <v>13</v>
      </c>
      <c r="C252" s="79"/>
      <c r="D252" s="79"/>
      <c r="E252" s="79"/>
      <c r="F252" s="79"/>
      <c r="G252" s="94"/>
      <c r="I252" s="86" t="e">
        <f t="shared" si="10"/>
        <v>#DIV/0!</v>
      </c>
      <c r="J252" s="87" t="e">
        <f t="shared" si="10"/>
        <v>#DIV/0!</v>
      </c>
      <c r="K252" s="87" t="e">
        <f t="shared" si="10"/>
        <v>#DIV/0!</v>
      </c>
      <c r="L252" s="87" t="e">
        <f t="shared" si="10"/>
        <v>#DIV/0!</v>
      </c>
      <c r="M252" s="88" t="e">
        <f t="shared" si="10"/>
        <v>#DIV/0!</v>
      </c>
      <c r="O252" s="121" t="str">
        <f t="shared" si="9"/>
        <v>כפר מנדא</v>
      </c>
      <c r="P252" s="121" t="str">
        <f t="shared" si="9"/>
        <v>חיפה עיר תחתית</v>
      </c>
    </row>
    <row r="253" spans="1:16" x14ac:dyDescent="0.3">
      <c r="A253" s="60">
        <v>10</v>
      </c>
      <c r="B253" s="121">
        <v>14</v>
      </c>
      <c r="C253" s="79"/>
      <c r="D253" s="79"/>
      <c r="E253" s="79"/>
      <c r="F253" s="79"/>
      <c r="G253" s="94"/>
      <c r="I253" s="86" t="e">
        <f t="shared" si="10"/>
        <v>#DIV/0!</v>
      </c>
      <c r="J253" s="87" t="e">
        <f t="shared" si="10"/>
        <v>#DIV/0!</v>
      </c>
      <c r="K253" s="87" t="e">
        <f t="shared" si="10"/>
        <v>#DIV/0!</v>
      </c>
      <c r="L253" s="87" t="e">
        <f t="shared" si="10"/>
        <v>#DIV/0!</v>
      </c>
      <c r="M253" s="88" t="e">
        <f t="shared" si="10"/>
        <v>#DIV/0!</v>
      </c>
      <c r="O253" s="121" t="str">
        <f t="shared" si="9"/>
        <v>כפר מנדא</v>
      </c>
      <c r="P253" s="121" t="str">
        <f t="shared" si="9"/>
        <v>חיפה הדר-כרמל</v>
      </c>
    </row>
    <row r="254" spans="1:16" x14ac:dyDescent="0.3">
      <c r="A254" s="60">
        <v>10</v>
      </c>
      <c r="B254" s="121">
        <v>15</v>
      </c>
      <c r="C254" s="79"/>
      <c r="D254" s="79"/>
      <c r="E254" s="79"/>
      <c r="F254" s="79"/>
      <c r="G254" s="94"/>
      <c r="I254" s="86" t="e">
        <f t="shared" si="10"/>
        <v>#DIV/0!</v>
      </c>
      <c r="J254" s="87" t="e">
        <f t="shared" si="10"/>
        <v>#DIV/0!</v>
      </c>
      <c r="K254" s="87" t="e">
        <f t="shared" si="10"/>
        <v>#DIV/0!</v>
      </c>
      <c r="L254" s="87" t="e">
        <f t="shared" si="10"/>
        <v>#DIV/0!</v>
      </c>
      <c r="M254" s="88" t="e">
        <f t="shared" si="10"/>
        <v>#DIV/0!</v>
      </c>
      <c r="O254" s="121" t="str">
        <f t="shared" si="9"/>
        <v>כפר מנדא</v>
      </c>
      <c r="P254" s="121" t="str">
        <f t="shared" si="9"/>
        <v>חיפה מערב</v>
      </c>
    </row>
    <row r="255" spans="1:16" x14ac:dyDescent="0.3">
      <c r="A255" s="60">
        <v>10</v>
      </c>
      <c r="B255" s="121">
        <v>16</v>
      </c>
      <c r="C255" s="79"/>
      <c r="D255" s="79"/>
      <c r="E255" s="79"/>
      <c r="F255" s="79"/>
      <c r="G255" s="94"/>
      <c r="I255" s="86" t="e">
        <f t="shared" si="10"/>
        <v>#DIV/0!</v>
      </c>
      <c r="J255" s="87" t="e">
        <f t="shared" si="10"/>
        <v>#DIV/0!</v>
      </c>
      <c r="K255" s="87" t="e">
        <f t="shared" si="10"/>
        <v>#DIV/0!</v>
      </c>
      <c r="L255" s="87" t="e">
        <f t="shared" si="10"/>
        <v>#DIV/0!</v>
      </c>
      <c r="M255" s="88" t="e">
        <f t="shared" si="10"/>
        <v>#DIV/0!</v>
      </c>
      <c r="O255" s="121" t="str">
        <f t="shared" si="9"/>
        <v>כפר מנדא</v>
      </c>
      <c r="P255" s="121" t="str">
        <f t="shared" si="9"/>
        <v>חיפה כרמל</v>
      </c>
    </row>
    <row r="256" spans="1:16" x14ac:dyDescent="0.3">
      <c r="A256" s="60">
        <v>10</v>
      </c>
      <c r="B256" s="121">
        <v>17</v>
      </c>
      <c r="C256" s="79"/>
      <c r="D256" s="79"/>
      <c r="E256" s="79"/>
      <c r="F256" s="79"/>
      <c r="G256" s="94"/>
      <c r="I256" s="86" t="e">
        <f t="shared" si="10"/>
        <v>#DIV/0!</v>
      </c>
      <c r="J256" s="87" t="e">
        <f t="shared" si="10"/>
        <v>#DIV/0!</v>
      </c>
      <c r="K256" s="87" t="e">
        <f t="shared" si="10"/>
        <v>#DIV/0!</v>
      </c>
      <c r="L256" s="87" t="e">
        <f t="shared" si="10"/>
        <v>#DIV/0!</v>
      </c>
      <c r="M256" s="88" t="e">
        <f t="shared" si="10"/>
        <v>#DIV/0!</v>
      </c>
      <c r="O256" s="121" t="str">
        <f t="shared" si="9"/>
        <v>כפר מנדא</v>
      </c>
      <c r="P256" s="121" t="str">
        <f t="shared" si="9"/>
        <v>חיפה נווה שאנן</v>
      </c>
    </row>
    <row r="257" spans="1:16" x14ac:dyDescent="0.3">
      <c r="A257" s="60">
        <v>10</v>
      </c>
      <c r="B257" s="121">
        <v>18</v>
      </c>
      <c r="C257" s="79"/>
      <c r="D257" s="79"/>
      <c r="E257" s="79"/>
      <c r="F257" s="79"/>
      <c r="G257" s="94"/>
      <c r="I257" s="86" t="e">
        <f t="shared" si="10"/>
        <v>#DIV/0!</v>
      </c>
      <c r="J257" s="87" t="e">
        <f t="shared" si="10"/>
        <v>#DIV/0!</v>
      </c>
      <c r="K257" s="87" t="e">
        <f t="shared" si="10"/>
        <v>#DIV/0!</v>
      </c>
      <c r="L257" s="87" t="e">
        <f t="shared" si="10"/>
        <v>#DIV/0!</v>
      </c>
      <c r="M257" s="88" t="e">
        <f t="shared" si="10"/>
        <v>#DIV/0!</v>
      </c>
      <c r="O257" s="121" t="str">
        <f t="shared" si="9"/>
        <v>כפר מנדא</v>
      </c>
      <c r="P257" s="121" t="str">
        <f t="shared" si="9"/>
        <v>נשר</v>
      </c>
    </row>
    <row r="258" spans="1:16" x14ac:dyDescent="0.3">
      <c r="A258" s="60">
        <v>10</v>
      </c>
      <c r="B258" s="121">
        <v>19</v>
      </c>
      <c r="C258" s="79"/>
      <c r="D258" s="79"/>
      <c r="E258" s="79"/>
      <c r="F258" s="79"/>
      <c r="G258" s="94"/>
      <c r="I258" s="86" t="e">
        <f t="shared" si="10"/>
        <v>#DIV/0!</v>
      </c>
      <c r="J258" s="87" t="e">
        <f t="shared" si="10"/>
        <v>#DIV/0!</v>
      </c>
      <c r="K258" s="87" t="e">
        <f t="shared" si="10"/>
        <v>#DIV/0!</v>
      </c>
      <c r="L258" s="87" t="e">
        <f t="shared" si="10"/>
        <v>#DIV/0!</v>
      </c>
      <c r="M258" s="88" t="e">
        <f t="shared" si="10"/>
        <v>#DIV/0!</v>
      </c>
      <c r="O258" s="121" t="str">
        <f t="shared" si="9"/>
        <v>כפר מנדא</v>
      </c>
      <c r="P258" s="121" t="str">
        <f t="shared" si="9"/>
        <v>נצרת</v>
      </c>
    </row>
    <row r="259" spans="1:16" x14ac:dyDescent="0.3">
      <c r="A259" s="60">
        <v>10</v>
      </c>
      <c r="B259" s="121">
        <v>20</v>
      </c>
      <c r="C259" s="79"/>
      <c r="D259" s="79"/>
      <c r="E259" s="79"/>
      <c r="F259" s="79"/>
      <c r="G259" s="94"/>
      <c r="I259" s="86" t="e">
        <f t="shared" si="10"/>
        <v>#DIV/0!</v>
      </c>
      <c r="J259" s="87" t="e">
        <f t="shared" si="10"/>
        <v>#DIV/0!</v>
      </c>
      <c r="K259" s="87" t="e">
        <f t="shared" si="10"/>
        <v>#DIV/0!</v>
      </c>
      <c r="L259" s="87" t="e">
        <f t="shared" si="10"/>
        <v>#DIV/0!</v>
      </c>
      <c r="M259" s="88" t="e">
        <f t="shared" si="10"/>
        <v>#DIV/0!</v>
      </c>
      <c r="O259" s="121" t="str">
        <f t="shared" si="9"/>
        <v>כפר מנדא</v>
      </c>
      <c r="P259" s="121" t="str">
        <f t="shared" si="9"/>
        <v>נצרת-עילית</v>
      </c>
    </row>
    <row r="260" spans="1:16" x14ac:dyDescent="0.3">
      <c r="A260" s="60">
        <v>10</v>
      </c>
      <c r="B260" s="121">
        <v>21</v>
      </c>
      <c r="C260" s="79"/>
      <c r="D260" s="79"/>
      <c r="E260" s="79"/>
      <c r="F260" s="79"/>
      <c r="G260" s="94"/>
      <c r="I260" s="86" t="e">
        <f t="shared" si="10"/>
        <v>#DIV/0!</v>
      </c>
      <c r="J260" s="87" t="e">
        <f t="shared" si="10"/>
        <v>#DIV/0!</v>
      </c>
      <c r="K260" s="87" t="e">
        <f t="shared" si="10"/>
        <v>#DIV/0!</v>
      </c>
      <c r="L260" s="87" t="e">
        <f t="shared" si="10"/>
        <v>#DIV/0!</v>
      </c>
      <c r="M260" s="88" t="e">
        <f t="shared" si="10"/>
        <v>#DIV/0!</v>
      </c>
      <c r="O260" s="121" t="str">
        <f t="shared" si="9"/>
        <v>כפר מנדא</v>
      </c>
      <c r="P260" s="121" t="str">
        <f t="shared" si="9"/>
        <v>מגדל העמק</v>
      </c>
    </row>
    <row r="261" spans="1:16" x14ac:dyDescent="0.3">
      <c r="A261" s="60">
        <v>10</v>
      </c>
      <c r="B261" s="121">
        <v>22</v>
      </c>
      <c r="C261" s="79"/>
      <c r="D261" s="79"/>
      <c r="E261" s="79"/>
      <c r="F261" s="79"/>
      <c r="G261" s="94"/>
      <c r="I261" s="86" t="e">
        <f t="shared" si="10"/>
        <v>#DIV/0!</v>
      </c>
      <c r="J261" s="87" t="e">
        <f t="shared" si="10"/>
        <v>#DIV/0!</v>
      </c>
      <c r="K261" s="87" t="e">
        <f t="shared" si="10"/>
        <v>#DIV/0!</v>
      </c>
      <c r="L261" s="87" t="e">
        <f t="shared" si="10"/>
        <v>#DIV/0!</v>
      </c>
      <c r="M261" s="88" t="e">
        <f t="shared" si="10"/>
        <v>#DIV/0!</v>
      </c>
      <c r="O261" s="121" t="str">
        <f t="shared" si="9"/>
        <v>כפר מנדא</v>
      </c>
      <c r="P261" s="121" t="str">
        <f t="shared" si="9"/>
        <v>יוקנעם</v>
      </c>
    </row>
    <row r="262" spans="1:16" x14ac:dyDescent="0.3">
      <c r="A262" s="60">
        <v>10</v>
      </c>
      <c r="B262" s="121">
        <v>23</v>
      </c>
      <c r="C262" s="79"/>
      <c r="D262" s="79"/>
      <c r="E262" s="79"/>
      <c r="F262" s="79"/>
      <c r="G262" s="94"/>
      <c r="I262" s="86" t="e">
        <f t="shared" si="10"/>
        <v>#DIV/0!</v>
      </c>
      <c r="J262" s="87" t="e">
        <f t="shared" si="10"/>
        <v>#DIV/0!</v>
      </c>
      <c r="K262" s="87" t="e">
        <f t="shared" si="10"/>
        <v>#DIV/0!</v>
      </c>
      <c r="L262" s="87" t="e">
        <f t="shared" si="10"/>
        <v>#DIV/0!</v>
      </c>
      <c r="M262" s="88" t="e">
        <f t="shared" si="10"/>
        <v>#DIV/0!</v>
      </c>
      <c r="O262" s="121" t="str">
        <f t="shared" si="9"/>
        <v>כפר מנדא</v>
      </c>
      <c r="P262" s="121" t="str">
        <f t="shared" si="9"/>
        <v>דלית אל כרמל</v>
      </c>
    </row>
    <row r="263" spans="1:16" x14ac:dyDescent="0.3">
      <c r="A263" s="60">
        <v>10</v>
      </c>
      <c r="B263" s="121">
        <v>24</v>
      </c>
      <c r="C263" s="79"/>
      <c r="D263" s="79"/>
      <c r="E263" s="79"/>
      <c r="F263" s="79"/>
      <c r="G263" s="94"/>
      <c r="I263" s="86" t="e">
        <f t="shared" si="10"/>
        <v>#DIV/0!</v>
      </c>
      <c r="J263" s="87" t="e">
        <f t="shared" si="10"/>
        <v>#DIV/0!</v>
      </c>
      <c r="K263" s="87" t="e">
        <f t="shared" si="10"/>
        <v>#DIV/0!</v>
      </c>
      <c r="L263" s="87" t="e">
        <f t="shared" si="10"/>
        <v>#DIV/0!</v>
      </c>
      <c r="M263" s="88" t="e">
        <f t="shared" si="10"/>
        <v>#DIV/0!</v>
      </c>
      <c r="O263" s="121" t="str">
        <f t="shared" si="9"/>
        <v>כפר מנדא</v>
      </c>
      <c r="P263" s="121" t="str">
        <f t="shared" si="9"/>
        <v>חוף הכרמל</v>
      </c>
    </row>
    <row r="264" spans="1:16" x14ac:dyDescent="0.3">
      <c r="A264" s="60">
        <v>10</v>
      </c>
      <c r="B264" s="121">
        <v>25</v>
      </c>
      <c r="C264" s="79"/>
      <c r="D264" s="79"/>
      <c r="E264" s="79"/>
      <c r="F264" s="79"/>
      <c r="G264" s="94"/>
      <c r="I264" s="86" t="e">
        <f t="shared" si="10"/>
        <v>#DIV/0!</v>
      </c>
      <c r="J264" s="87" t="e">
        <f t="shared" si="10"/>
        <v>#DIV/0!</v>
      </c>
      <c r="K264" s="87" t="e">
        <f t="shared" si="10"/>
        <v>#DIV/0!</v>
      </c>
      <c r="L264" s="87" t="e">
        <f t="shared" si="10"/>
        <v>#DIV/0!</v>
      </c>
      <c r="M264" s="88" t="e">
        <f t="shared" si="10"/>
        <v>#DIV/0!</v>
      </c>
      <c r="O264" s="121" t="str">
        <f t="shared" ref="O264:P327" si="11">VLOOKUP(A264,$S$6:$T$31,2,0)</f>
        <v>כפר מנדא</v>
      </c>
      <c r="P264" s="121" t="str">
        <f t="shared" si="11"/>
        <v>זכרון יעקב</v>
      </c>
    </row>
    <row r="265" spans="1:16" x14ac:dyDescent="0.3">
      <c r="A265" s="60">
        <v>10</v>
      </c>
      <c r="B265" s="121">
        <v>30</v>
      </c>
      <c r="C265" s="79"/>
      <c r="D265" s="79"/>
      <c r="E265" s="79"/>
      <c r="F265" s="79"/>
      <c r="G265" s="94"/>
      <c r="I265" s="86" t="e">
        <f t="shared" si="10"/>
        <v>#DIV/0!</v>
      </c>
      <c r="J265" s="87" t="e">
        <f t="shared" si="10"/>
        <v>#DIV/0!</v>
      </c>
      <c r="K265" s="87" t="e">
        <f t="shared" si="10"/>
        <v>#DIV/0!</v>
      </c>
      <c r="L265" s="87" t="e">
        <f t="shared" si="10"/>
        <v>#DIV/0!</v>
      </c>
      <c r="M265" s="88" t="e">
        <f t="shared" si="10"/>
        <v>#DIV/0!</v>
      </c>
      <c r="O265" s="121" t="str">
        <f t="shared" si="11"/>
        <v>כפר מנדא</v>
      </c>
      <c r="P265" s="121" t="str">
        <f t="shared" si="11"/>
        <v>סכנין</v>
      </c>
    </row>
    <row r="266" spans="1:16" x14ac:dyDescent="0.3">
      <c r="A266" s="60">
        <v>11</v>
      </c>
      <c r="B266" s="121">
        <v>1</v>
      </c>
      <c r="C266" s="79"/>
      <c r="D266" s="79"/>
      <c r="E266" s="79"/>
      <c r="F266" s="79"/>
      <c r="G266" s="94"/>
      <c r="I266" s="86" t="e">
        <f t="shared" si="10"/>
        <v>#DIV/0!</v>
      </c>
      <c r="J266" s="87" t="e">
        <f t="shared" si="10"/>
        <v>#DIV/0!</v>
      </c>
      <c r="K266" s="87" t="e">
        <f t="shared" si="10"/>
        <v>#DIV/0!</v>
      </c>
      <c r="L266" s="87" t="e">
        <f t="shared" si="10"/>
        <v>#DIV/0!</v>
      </c>
      <c r="M266" s="88" t="e">
        <f t="shared" si="10"/>
        <v>#DIV/0!</v>
      </c>
      <c r="O266" s="121" t="str">
        <f t="shared" si="11"/>
        <v>זבולון</v>
      </c>
      <c r="P266" s="121" t="str">
        <f t="shared" si="11"/>
        <v>נהריה</v>
      </c>
    </row>
    <row r="267" spans="1:16" x14ac:dyDescent="0.3">
      <c r="A267" s="60">
        <v>11</v>
      </c>
      <c r="B267" s="121">
        <v>2</v>
      </c>
      <c r="C267" s="79"/>
      <c r="D267" s="79"/>
      <c r="E267" s="79"/>
      <c r="F267" s="79"/>
      <c r="G267" s="94"/>
      <c r="I267" s="86" t="e">
        <f t="shared" si="10"/>
        <v>#DIV/0!</v>
      </c>
      <c r="J267" s="87" t="e">
        <f t="shared" si="10"/>
        <v>#DIV/0!</v>
      </c>
      <c r="K267" s="87" t="e">
        <f t="shared" si="10"/>
        <v>#DIV/0!</v>
      </c>
      <c r="L267" s="87" t="e">
        <f t="shared" si="10"/>
        <v>#DIV/0!</v>
      </c>
      <c r="M267" s="88" t="e">
        <f t="shared" si="10"/>
        <v>#DIV/0!</v>
      </c>
      <c r="O267" s="121" t="str">
        <f t="shared" si="11"/>
        <v>זבולון</v>
      </c>
      <c r="P267" s="121" t="str">
        <f t="shared" si="11"/>
        <v>עכו</v>
      </c>
    </row>
    <row r="268" spans="1:16" x14ac:dyDescent="0.3">
      <c r="A268" s="60">
        <v>11</v>
      </c>
      <c r="B268" s="121">
        <v>3</v>
      </c>
      <c r="C268" s="79"/>
      <c r="D268" s="79"/>
      <c r="E268" s="79"/>
      <c r="F268" s="79"/>
      <c r="G268" s="94"/>
      <c r="I268" s="86" t="e">
        <f t="shared" si="10"/>
        <v>#DIV/0!</v>
      </c>
      <c r="J268" s="87" t="e">
        <f t="shared" si="10"/>
        <v>#DIV/0!</v>
      </c>
      <c r="K268" s="87" t="e">
        <f t="shared" si="10"/>
        <v>#DIV/0!</v>
      </c>
      <c r="L268" s="87" t="e">
        <f t="shared" si="10"/>
        <v>#DIV/0!</v>
      </c>
      <c r="M268" s="88" t="e">
        <f t="shared" si="10"/>
        <v>#DIV/0!</v>
      </c>
      <c r="O268" s="121" t="str">
        <f t="shared" si="11"/>
        <v>זבולון</v>
      </c>
      <c r="P268" s="121" t="str">
        <f t="shared" si="11"/>
        <v>כרמיאל</v>
      </c>
    </row>
    <row r="269" spans="1:16" x14ac:dyDescent="0.3">
      <c r="A269" s="60">
        <v>11</v>
      </c>
      <c r="B269" s="121">
        <v>4</v>
      </c>
      <c r="C269" s="79"/>
      <c r="D269" s="79"/>
      <c r="E269" s="79"/>
      <c r="F269" s="79"/>
      <c r="G269" s="94"/>
      <c r="I269" s="86" t="e">
        <f t="shared" si="10"/>
        <v>#DIV/0!</v>
      </c>
      <c r="J269" s="87" t="e">
        <f t="shared" si="10"/>
        <v>#DIV/0!</v>
      </c>
      <c r="K269" s="87" t="e">
        <f t="shared" si="10"/>
        <v>#DIV/0!</v>
      </c>
      <c r="L269" s="87" t="e">
        <f t="shared" si="10"/>
        <v>#DIV/0!</v>
      </c>
      <c r="M269" s="88" t="e">
        <f t="shared" si="10"/>
        <v>#DIV/0!</v>
      </c>
      <c r="O269" s="121" t="str">
        <f t="shared" si="11"/>
        <v>זבולון</v>
      </c>
      <c r="P269" s="121" t="str">
        <f t="shared" si="11"/>
        <v>שפרעם</v>
      </c>
    </row>
    <row r="270" spans="1:16" x14ac:dyDescent="0.3">
      <c r="A270" s="60">
        <v>11</v>
      </c>
      <c r="B270" s="121">
        <v>5</v>
      </c>
      <c r="C270" s="79"/>
      <c r="D270" s="79"/>
      <c r="E270" s="79"/>
      <c r="F270" s="79"/>
      <c r="G270" s="94"/>
      <c r="I270" s="86" t="e">
        <f t="shared" si="10"/>
        <v>#DIV/0!</v>
      </c>
      <c r="J270" s="87" t="e">
        <f t="shared" si="10"/>
        <v>#DIV/0!</v>
      </c>
      <c r="K270" s="87" t="e">
        <f t="shared" si="10"/>
        <v>#DIV/0!</v>
      </c>
      <c r="L270" s="87" t="e">
        <f t="shared" si="10"/>
        <v>#DIV/0!</v>
      </c>
      <c r="M270" s="88" t="e">
        <f t="shared" si="10"/>
        <v>#DIV/0!</v>
      </c>
      <c r="O270" s="121" t="str">
        <f t="shared" si="11"/>
        <v>זבולון</v>
      </c>
      <c r="P270" s="121" t="str">
        <f t="shared" si="11"/>
        <v>קרית ים</v>
      </c>
    </row>
    <row r="271" spans="1:16" x14ac:dyDescent="0.3">
      <c r="A271" s="60">
        <v>11</v>
      </c>
      <c r="B271" s="121">
        <v>6</v>
      </c>
      <c r="C271" s="79"/>
      <c r="D271" s="79"/>
      <c r="E271" s="79"/>
      <c r="F271" s="79"/>
      <c r="G271" s="94"/>
      <c r="I271" s="86" t="e">
        <f t="shared" si="10"/>
        <v>#DIV/0!</v>
      </c>
      <c r="J271" s="87" t="e">
        <f t="shared" si="10"/>
        <v>#DIV/0!</v>
      </c>
      <c r="K271" s="87" t="e">
        <f t="shared" si="10"/>
        <v>#DIV/0!</v>
      </c>
      <c r="L271" s="87" t="e">
        <f t="shared" si="10"/>
        <v>#DIV/0!</v>
      </c>
      <c r="M271" s="88" t="e">
        <f t="shared" si="10"/>
        <v>#DIV/0!</v>
      </c>
      <c r="O271" s="121" t="str">
        <f t="shared" si="11"/>
        <v>זבולון</v>
      </c>
      <c r="P271" s="121" t="str">
        <f t="shared" si="11"/>
        <v>קרית מוצקין</v>
      </c>
    </row>
    <row r="272" spans="1:16" x14ac:dyDescent="0.3">
      <c r="A272" s="60">
        <v>11</v>
      </c>
      <c r="B272" s="121">
        <v>7</v>
      </c>
      <c r="C272" s="79"/>
      <c r="D272" s="79"/>
      <c r="E272" s="79"/>
      <c r="F272" s="79"/>
      <c r="G272" s="94"/>
      <c r="I272" s="86" t="e">
        <f t="shared" si="10"/>
        <v>#DIV/0!</v>
      </c>
      <c r="J272" s="87" t="e">
        <f t="shared" si="10"/>
        <v>#DIV/0!</v>
      </c>
      <c r="K272" s="87" t="e">
        <f t="shared" si="10"/>
        <v>#DIV/0!</v>
      </c>
      <c r="L272" s="87" t="e">
        <f t="shared" si="10"/>
        <v>#DIV/0!</v>
      </c>
      <c r="M272" s="88" t="e">
        <f t="shared" si="10"/>
        <v>#DIV/0!</v>
      </c>
      <c r="O272" s="121" t="str">
        <f t="shared" si="11"/>
        <v>זבולון</v>
      </c>
      <c r="P272" s="121" t="str">
        <f t="shared" si="11"/>
        <v>קרית ביאליק</v>
      </c>
    </row>
    <row r="273" spans="1:16" x14ac:dyDescent="0.3">
      <c r="A273" s="60">
        <v>11</v>
      </c>
      <c r="B273" s="121">
        <v>8</v>
      </c>
      <c r="C273" s="79"/>
      <c r="D273" s="79"/>
      <c r="E273" s="79"/>
      <c r="F273" s="79"/>
      <c r="G273" s="94"/>
      <c r="I273" s="86" t="e">
        <f t="shared" si="10"/>
        <v>#DIV/0!</v>
      </c>
      <c r="J273" s="87" t="e">
        <f t="shared" si="10"/>
        <v>#DIV/0!</v>
      </c>
      <c r="K273" s="87" t="e">
        <f t="shared" si="10"/>
        <v>#DIV/0!</v>
      </c>
      <c r="L273" s="87" t="e">
        <f t="shared" si="10"/>
        <v>#DIV/0!</v>
      </c>
      <c r="M273" s="88" t="e">
        <f t="shared" si="10"/>
        <v>#DIV/0!</v>
      </c>
      <c r="O273" s="121" t="str">
        <f t="shared" si="11"/>
        <v>זבולון</v>
      </c>
      <c r="P273" s="121" t="str">
        <f t="shared" si="11"/>
        <v>קרית חיים</v>
      </c>
    </row>
    <row r="274" spans="1:16" x14ac:dyDescent="0.3">
      <c r="A274" s="60">
        <v>11</v>
      </c>
      <c r="B274" s="121">
        <v>9</v>
      </c>
      <c r="C274" s="79"/>
      <c r="D274" s="79"/>
      <c r="E274" s="79"/>
      <c r="F274" s="79"/>
      <c r="G274" s="94"/>
      <c r="I274" s="86" t="e">
        <f t="shared" ref="I274:M324" si="12">C274/SUM($C274:$G274)</f>
        <v>#DIV/0!</v>
      </c>
      <c r="J274" s="87" t="e">
        <f t="shared" si="12"/>
        <v>#DIV/0!</v>
      </c>
      <c r="K274" s="87" t="e">
        <f t="shared" si="12"/>
        <v>#DIV/0!</v>
      </c>
      <c r="L274" s="87" t="e">
        <f t="shared" si="12"/>
        <v>#DIV/0!</v>
      </c>
      <c r="M274" s="88" t="e">
        <f t="shared" si="12"/>
        <v>#DIV/0!</v>
      </c>
      <c r="O274" s="121" t="str">
        <f t="shared" si="11"/>
        <v>זבולון</v>
      </c>
      <c r="P274" s="121" t="str">
        <f t="shared" si="11"/>
        <v>קרית אתא</v>
      </c>
    </row>
    <row r="275" spans="1:16" x14ac:dyDescent="0.3">
      <c r="A275" s="60">
        <v>11</v>
      </c>
      <c r="B275" s="121">
        <v>10</v>
      </c>
      <c r="C275" s="79"/>
      <c r="D275" s="79"/>
      <c r="E275" s="79"/>
      <c r="F275" s="79"/>
      <c r="G275" s="94"/>
      <c r="I275" s="86" t="e">
        <f t="shared" si="12"/>
        <v>#DIV/0!</v>
      </c>
      <c r="J275" s="87" t="e">
        <f t="shared" si="12"/>
        <v>#DIV/0!</v>
      </c>
      <c r="K275" s="87" t="e">
        <f t="shared" si="12"/>
        <v>#DIV/0!</v>
      </c>
      <c r="L275" s="87" t="e">
        <f t="shared" si="12"/>
        <v>#DIV/0!</v>
      </c>
      <c r="M275" s="88" t="e">
        <f t="shared" si="12"/>
        <v>#DIV/0!</v>
      </c>
      <c r="O275" s="121" t="str">
        <f t="shared" si="11"/>
        <v>זבולון</v>
      </c>
      <c r="P275" s="121" t="str">
        <f t="shared" si="11"/>
        <v>כפר מנדא</v>
      </c>
    </row>
    <row r="276" spans="1:16" x14ac:dyDescent="0.3">
      <c r="A276" s="60">
        <v>11</v>
      </c>
      <c r="B276" s="121">
        <v>11</v>
      </c>
      <c r="C276" s="79"/>
      <c r="D276" s="79"/>
      <c r="E276" s="79"/>
      <c r="F276" s="79"/>
      <c r="G276" s="94"/>
      <c r="I276" s="86" t="e">
        <f t="shared" si="12"/>
        <v>#DIV/0!</v>
      </c>
      <c r="J276" s="87" t="e">
        <f t="shared" si="12"/>
        <v>#DIV/0!</v>
      </c>
      <c r="K276" s="87" t="e">
        <f t="shared" si="12"/>
        <v>#DIV/0!</v>
      </c>
      <c r="L276" s="87" t="e">
        <f t="shared" si="12"/>
        <v>#DIV/0!</v>
      </c>
      <c r="M276" s="88" t="e">
        <f t="shared" si="12"/>
        <v>#DIV/0!</v>
      </c>
      <c r="O276" s="121" t="str">
        <f t="shared" si="11"/>
        <v>זבולון</v>
      </c>
      <c r="P276" s="121" t="str">
        <f t="shared" si="11"/>
        <v>זבולון</v>
      </c>
    </row>
    <row r="277" spans="1:16" x14ac:dyDescent="0.3">
      <c r="A277" s="60">
        <v>11</v>
      </c>
      <c r="B277" s="121">
        <v>12</v>
      </c>
      <c r="C277" s="79"/>
      <c r="D277" s="79"/>
      <c r="E277" s="79"/>
      <c r="F277" s="79"/>
      <c r="G277" s="94"/>
      <c r="I277" s="86" t="e">
        <f t="shared" si="12"/>
        <v>#DIV/0!</v>
      </c>
      <c r="J277" s="87" t="e">
        <f t="shared" si="12"/>
        <v>#DIV/0!</v>
      </c>
      <c r="K277" s="87" t="e">
        <f t="shared" si="12"/>
        <v>#DIV/0!</v>
      </c>
      <c r="L277" s="87" t="e">
        <f t="shared" si="12"/>
        <v>#DIV/0!</v>
      </c>
      <c r="M277" s="88" t="e">
        <f t="shared" si="12"/>
        <v>#DIV/0!</v>
      </c>
      <c r="O277" s="121" t="str">
        <f t="shared" si="11"/>
        <v>זבולון</v>
      </c>
      <c r="P277" s="121" t="str">
        <f t="shared" si="11"/>
        <v>חיפה מפרץ</v>
      </c>
    </row>
    <row r="278" spans="1:16" x14ac:dyDescent="0.3">
      <c r="A278" s="60">
        <v>11</v>
      </c>
      <c r="B278" s="121">
        <v>13</v>
      </c>
      <c r="C278" s="79"/>
      <c r="D278" s="79"/>
      <c r="E278" s="79"/>
      <c r="F278" s="79"/>
      <c r="G278" s="94"/>
      <c r="I278" s="86" t="e">
        <f t="shared" si="12"/>
        <v>#DIV/0!</v>
      </c>
      <c r="J278" s="87" t="e">
        <f t="shared" si="12"/>
        <v>#DIV/0!</v>
      </c>
      <c r="K278" s="87" t="e">
        <f t="shared" si="12"/>
        <v>#DIV/0!</v>
      </c>
      <c r="L278" s="87" t="e">
        <f t="shared" si="12"/>
        <v>#DIV/0!</v>
      </c>
      <c r="M278" s="88" t="e">
        <f t="shared" si="12"/>
        <v>#DIV/0!</v>
      </c>
      <c r="O278" s="121" t="str">
        <f t="shared" si="11"/>
        <v>זבולון</v>
      </c>
      <c r="P278" s="121" t="str">
        <f t="shared" si="11"/>
        <v>חיפה עיר תחתית</v>
      </c>
    </row>
    <row r="279" spans="1:16" x14ac:dyDescent="0.3">
      <c r="A279" s="60">
        <v>11</v>
      </c>
      <c r="B279" s="121">
        <v>14</v>
      </c>
      <c r="C279" s="79"/>
      <c r="D279" s="79"/>
      <c r="E279" s="79"/>
      <c r="F279" s="79"/>
      <c r="G279" s="94"/>
      <c r="I279" s="86" t="e">
        <f t="shared" si="12"/>
        <v>#DIV/0!</v>
      </c>
      <c r="J279" s="87" t="e">
        <f t="shared" si="12"/>
        <v>#DIV/0!</v>
      </c>
      <c r="K279" s="87" t="e">
        <f t="shared" si="12"/>
        <v>#DIV/0!</v>
      </c>
      <c r="L279" s="87" t="e">
        <f t="shared" si="12"/>
        <v>#DIV/0!</v>
      </c>
      <c r="M279" s="88" t="e">
        <f t="shared" si="12"/>
        <v>#DIV/0!</v>
      </c>
      <c r="O279" s="121" t="str">
        <f t="shared" si="11"/>
        <v>זבולון</v>
      </c>
      <c r="P279" s="121" t="str">
        <f t="shared" si="11"/>
        <v>חיפה הדר-כרמל</v>
      </c>
    </row>
    <row r="280" spans="1:16" x14ac:dyDescent="0.3">
      <c r="A280" s="60">
        <v>11</v>
      </c>
      <c r="B280" s="121">
        <v>15</v>
      </c>
      <c r="C280" s="79"/>
      <c r="D280" s="79"/>
      <c r="E280" s="79"/>
      <c r="F280" s="79"/>
      <c r="G280" s="94"/>
      <c r="I280" s="86" t="e">
        <f t="shared" si="12"/>
        <v>#DIV/0!</v>
      </c>
      <c r="J280" s="87" t="e">
        <f t="shared" si="12"/>
        <v>#DIV/0!</v>
      </c>
      <c r="K280" s="87" t="e">
        <f t="shared" si="12"/>
        <v>#DIV/0!</v>
      </c>
      <c r="L280" s="87" t="e">
        <f t="shared" si="12"/>
        <v>#DIV/0!</v>
      </c>
      <c r="M280" s="88" t="e">
        <f t="shared" si="12"/>
        <v>#DIV/0!</v>
      </c>
      <c r="O280" s="121" t="str">
        <f t="shared" si="11"/>
        <v>זבולון</v>
      </c>
      <c r="P280" s="121" t="str">
        <f t="shared" si="11"/>
        <v>חיפה מערב</v>
      </c>
    </row>
    <row r="281" spans="1:16" x14ac:dyDescent="0.3">
      <c r="A281" s="60">
        <v>11</v>
      </c>
      <c r="B281" s="121">
        <v>16</v>
      </c>
      <c r="C281" s="79"/>
      <c r="D281" s="79"/>
      <c r="E281" s="79"/>
      <c r="F281" s="79"/>
      <c r="G281" s="94"/>
      <c r="I281" s="86" t="e">
        <f t="shared" si="12"/>
        <v>#DIV/0!</v>
      </c>
      <c r="J281" s="87" t="e">
        <f t="shared" si="12"/>
        <v>#DIV/0!</v>
      </c>
      <c r="K281" s="87" t="e">
        <f t="shared" si="12"/>
        <v>#DIV/0!</v>
      </c>
      <c r="L281" s="87" t="e">
        <f t="shared" si="12"/>
        <v>#DIV/0!</v>
      </c>
      <c r="M281" s="88" t="e">
        <f t="shared" si="12"/>
        <v>#DIV/0!</v>
      </c>
      <c r="O281" s="121" t="str">
        <f t="shared" si="11"/>
        <v>זבולון</v>
      </c>
      <c r="P281" s="121" t="str">
        <f t="shared" si="11"/>
        <v>חיפה כרמל</v>
      </c>
    </row>
    <row r="282" spans="1:16" x14ac:dyDescent="0.3">
      <c r="A282" s="60">
        <v>11</v>
      </c>
      <c r="B282" s="121">
        <v>17</v>
      </c>
      <c r="C282" s="79"/>
      <c r="D282" s="79"/>
      <c r="E282" s="79"/>
      <c r="F282" s="79"/>
      <c r="G282" s="94"/>
      <c r="I282" s="86" t="e">
        <f t="shared" si="12"/>
        <v>#DIV/0!</v>
      </c>
      <c r="J282" s="87" t="e">
        <f t="shared" si="12"/>
        <v>#DIV/0!</v>
      </c>
      <c r="K282" s="87" t="e">
        <f t="shared" si="12"/>
        <v>#DIV/0!</v>
      </c>
      <c r="L282" s="87" t="e">
        <f t="shared" si="12"/>
        <v>#DIV/0!</v>
      </c>
      <c r="M282" s="88" t="e">
        <f t="shared" si="12"/>
        <v>#DIV/0!</v>
      </c>
      <c r="O282" s="121" t="str">
        <f t="shared" si="11"/>
        <v>זבולון</v>
      </c>
      <c r="P282" s="121" t="str">
        <f t="shared" si="11"/>
        <v>חיפה נווה שאנן</v>
      </c>
    </row>
    <row r="283" spans="1:16" x14ac:dyDescent="0.3">
      <c r="A283" s="60">
        <v>11</v>
      </c>
      <c r="B283" s="121">
        <v>18</v>
      </c>
      <c r="C283" s="79"/>
      <c r="D283" s="79"/>
      <c r="E283" s="79"/>
      <c r="F283" s="79"/>
      <c r="G283" s="94"/>
      <c r="I283" s="86" t="e">
        <f t="shared" si="12"/>
        <v>#DIV/0!</v>
      </c>
      <c r="J283" s="87" t="e">
        <f t="shared" si="12"/>
        <v>#DIV/0!</v>
      </c>
      <c r="K283" s="87" t="e">
        <f t="shared" si="12"/>
        <v>#DIV/0!</v>
      </c>
      <c r="L283" s="87" t="e">
        <f t="shared" si="12"/>
        <v>#DIV/0!</v>
      </c>
      <c r="M283" s="88" t="e">
        <f t="shared" si="12"/>
        <v>#DIV/0!</v>
      </c>
      <c r="O283" s="121" t="str">
        <f t="shared" si="11"/>
        <v>זבולון</v>
      </c>
      <c r="P283" s="121" t="str">
        <f t="shared" si="11"/>
        <v>נשר</v>
      </c>
    </row>
    <row r="284" spans="1:16" x14ac:dyDescent="0.3">
      <c r="A284" s="60">
        <v>11</v>
      </c>
      <c r="B284" s="121">
        <v>19</v>
      </c>
      <c r="C284" s="79"/>
      <c r="D284" s="79"/>
      <c r="E284" s="79"/>
      <c r="F284" s="79"/>
      <c r="G284" s="94"/>
      <c r="I284" s="86" t="e">
        <f t="shared" si="12"/>
        <v>#DIV/0!</v>
      </c>
      <c r="J284" s="87" t="e">
        <f t="shared" si="12"/>
        <v>#DIV/0!</v>
      </c>
      <c r="K284" s="87" t="e">
        <f t="shared" si="12"/>
        <v>#DIV/0!</v>
      </c>
      <c r="L284" s="87" t="e">
        <f t="shared" si="12"/>
        <v>#DIV/0!</v>
      </c>
      <c r="M284" s="88" t="e">
        <f t="shared" si="12"/>
        <v>#DIV/0!</v>
      </c>
      <c r="O284" s="121" t="str">
        <f t="shared" si="11"/>
        <v>זבולון</v>
      </c>
      <c r="P284" s="121" t="str">
        <f t="shared" si="11"/>
        <v>נצרת</v>
      </c>
    </row>
    <row r="285" spans="1:16" x14ac:dyDescent="0.3">
      <c r="A285" s="60">
        <v>11</v>
      </c>
      <c r="B285" s="121">
        <v>20</v>
      </c>
      <c r="C285" s="79"/>
      <c r="D285" s="79"/>
      <c r="E285" s="79"/>
      <c r="F285" s="79"/>
      <c r="G285" s="94"/>
      <c r="I285" s="86" t="e">
        <f t="shared" si="12"/>
        <v>#DIV/0!</v>
      </c>
      <c r="J285" s="87" t="e">
        <f t="shared" si="12"/>
        <v>#DIV/0!</v>
      </c>
      <c r="K285" s="87" t="e">
        <f t="shared" si="12"/>
        <v>#DIV/0!</v>
      </c>
      <c r="L285" s="87" t="e">
        <f t="shared" si="12"/>
        <v>#DIV/0!</v>
      </c>
      <c r="M285" s="88" t="e">
        <f t="shared" si="12"/>
        <v>#DIV/0!</v>
      </c>
      <c r="O285" s="121" t="str">
        <f t="shared" si="11"/>
        <v>זבולון</v>
      </c>
      <c r="P285" s="121" t="str">
        <f t="shared" si="11"/>
        <v>נצרת-עילית</v>
      </c>
    </row>
    <row r="286" spans="1:16" x14ac:dyDescent="0.3">
      <c r="A286" s="60">
        <v>11</v>
      </c>
      <c r="B286" s="121">
        <v>21</v>
      </c>
      <c r="C286" s="79"/>
      <c r="D286" s="79"/>
      <c r="E286" s="79"/>
      <c r="F286" s="79"/>
      <c r="G286" s="94"/>
      <c r="I286" s="86" t="e">
        <f t="shared" si="12"/>
        <v>#DIV/0!</v>
      </c>
      <c r="J286" s="87" t="e">
        <f t="shared" si="12"/>
        <v>#DIV/0!</v>
      </c>
      <c r="K286" s="87" t="e">
        <f t="shared" si="12"/>
        <v>#DIV/0!</v>
      </c>
      <c r="L286" s="87" t="e">
        <f t="shared" si="12"/>
        <v>#DIV/0!</v>
      </c>
      <c r="M286" s="88" t="e">
        <f t="shared" si="12"/>
        <v>#DIV/0!</v>
      </c>
      <c r="O286" s="121" t="str">
        <f t="shared" si="11"/>
        <v>זבולון</v>
      </c>
      <c r="P286" s="121" t="str">
        <f t="shared" si="11"/>
        <v>מגדל העמק</v>
      </c>
    </row>
    <row r="287" spans="1:16" x14ac:dyDescent="0.3">
      <c r="A287" s="60">
        <v>11</v>
      </c>
      <c r="B287" s="121">
        <v>22</v>
      </c>
      <c r="C287" s="79"/>
      <c r="D287" s="79"/>
      <c r="E287" s="79"/>
      <c r="F287" s="79"/>
      <c r="G287" s="94"/>
      <c r="I287" s="86" t="e">
        <f t="shared" si="12"/>
        <v>#DIV/0!</v>
      </c>
      <c r="J287" s="87" t="e">
        <f t="shared" si="12"/>
        <v>#DIV/0!</v>
      </c>
      <c r="K287" s="87" t="e">
        <f t="shared" si="12"/>
        <v>#DIV/0!</v>
      </c>
      <c r="L287" s="87" t="e">
        <f t="shared" si="12"/>
        <v>#DIV/0!</v>
      </c>
      <c r="M287" s="88" t="e">
        <f t="shared" si="12"/>
        <v>#DIV/0!</v>
      </c>
      <c r="O287" s="121" t="str">
        <f t="shared" si="11"/>
        <v>זבולון</v>
      </c>
      <c r="P287" s="121" t="str">
        <f t="shared" si="11"/>
        <v>יוקנעם</v>
      </c>
    </row>
    <row r="288" spans="1:16" x14ac:dyDescent="0.3">
      <c r="A288" s="60">
        <v>11</v>
      </c>
      <c r="B288" s="121">
        <v>23</v>
      </c>
      <c r="C288" s="79"/>
      <c r="D288" s="79"/>
      <c r="E288" s="79"/>
      <c r="F288" s="79"/>
      <c r="G288" s="94"/>
      <c r="I288" s="86" t="e">
        <f t="shared" si="12"/>
        <v>#DIV/0!</v>
      </c>
      <c r="J288" s="87" t="e">
        <f t="shared" si="12"/>
        <v>#DIV/0!</v>
      </c>
      <c r="K288" s="87" t="e">
        <f t="shared" si="12"/>
        <v>#DIV/0!</v>
      </c>
      <c r="L288" s="87" t="e">
        <f t="shared" si="12"/>
        <v>#DIV/0!</v>
      </c>
      <c r="M288" s="88" t="e">
        <f t="shared" si="12"/>
        <v>#DIV/0!</v>
      </c>
      <c r="O288" s="121" t="str">
        <f t="shared" si="11"/>
        <v>זבולון</v>
      </c>
      <c r="P288" s="121" t="str">
        <f t="shared" si="11"/>
        <v>דלית אל כרמל</v>
      </c>
    </row>
    <row r="289" spans="1:16" x14ac:dyDescent="0.3">
      <c r="A289" s="60">
        <v>11</v>
      </c>
      <c r="B289" s="121">
        <v>24</v>
      </c>
      <c r="C289" s="79"/>
      <c r="D289" s="79"/>
      <c r="E289" s="79"/>
      <c r="F289" s="79"/>
      <c r="G289" s="94"/>
      <c r="I289" s="86" t="e">
        <f t="shared" si="12"/>
        <v>#DIV/0!</v>
      </c>
      <c r="J289" s="87" t="e">
        <f t="shared" si="12"/>
        <v>#DIV/0!</v>
      </c>
      <c r="K289" s="87" t="e">
        <f t="shared" si="12"/>
        <v>#DIV/0!</v>
      </c>
      <c r="L289" s="87" t="e">
        <f t="shared" si="12"/>
        <v>#DIV/0!</v>
      </c>
      <c r="M289" s="88" t="e">
        <f t="shared" si="12"/>
        <v>#DIV/0!</v>
      </c>
      <c r="O289" s="121" t="str">
        <f t="shared" si="11"/>
        <v>זבולון</v>
      </c>
      <c r="P289" s="121" t="str">
        <f t="shared" si="11"/>
        <v>חוף הכרמל</v>
      </c>
    </row>
    <row r="290" spans="1:16" x14ac:dyDescent="0.3">
      <c r="A290" s="60">
        <v>11</v>
      </c>
      <c r="B290" s="121">
        <v>25</v>
      </c>
      <c r="C290" s="79"/>
      <c r="D290" s="79"/>
      <c r="E290" s="79"/>
      <c r="F290" s="79"/>
      <c r="G290" s="94"/>
      <c r="I290" s="86" t="e">
        <f t="shared" si="12"/>
        <v>#DIV/0!</v>
      </c>
      <c r="J290" s="87" t="e">
        <f t="shared" si="12"/>
        <v>#DIV/0!</v>
      </c>
      <c r="K290" s="87" t="e">
        <f t="shared" si="12"/>
        <v>#DIV/0!</v>
      </c>
      <c r="L290" s="87" t="e">
        <f t="shared" si="12"/>
        <v>#DIV/0!</v>
      </c>
      <c r="M290" s="88" t="e">
        <f t="shared" si="12"/>
        <v>#DIV/0!</v>
      </c>
      <c r="O290" s="121" t="str">
        <f t="shared" si="11"/>
        <v>זבולון</v>
      </c>
      <c r="P290" s="121" t="str">
        <f t="shared" si="11"/>
        <v>זכרון יעקב</v>
      </c>
    </row>
    <row r="291" spans="1:16" x14ac:dyDescent="0.3">
      <c r="A291" s="60">
        <v>11</v>
      </c>
      <c r="B291" s="121">
        <v>30</v>
      </c>
      <c r="C291" s="79"/>
      <c r="D291" s="79"/>
      <c r="E291" s="79"/>
      <c r="F291" s="79"/>
      <c r="G291" s="94"/>
      <c r="I291" s="86" t="e">
        <f t="shared" si="12"/>
        <v>#DIV/0!</v>
      </c>
      <c r="J291" s="87" t="e">
        <f t="shared" si="12"/>
        <v>#DIV/0!</v>
      </c>
      <c r="K291" s="87" t="e">
        <f t="shared" si="12"/>
        <v>#DIV/0!</v>
      </c>
      <c r="L291" s="87" t="e">
        <f t="shared" si="12"/>
        <v>#DIV/0!</v>
      </c>
      <c r="M291" s="88" t="e">
        <f t="shared" si="12"/>
        <v>#DIV/0!</v>
      </c>
      <c r="O291" s="121" t="str">
        <f t="shared" si="11"/>
        <v>זבולון</v>
      </c>
      <c r="P291" s="121" t="str">
        <f t="shared" si="11"/>
        <v>סכנין</v>
      </c>
    </row>
    <row r="292" spans="1:16" x14ac:dyDescent="0.3">
      <c r="A292" s="60">
        <v>12</v>
      </c>
      <c r="B292" s="121">
        <v>1</v>
      </c>
      <c r="C292" s="79"/>
      <c r="D292" s="79"/>
      <c r="E292" s="79"/>
      <c r="F292" s="79"/>
      <c r="G292" s="94"/>
      <c r="I292" s="86" t="e">
        <f t="shared" si="12"/>
        <v>#DIV/0!</v>
      </c>
      <c r="J292" s="87" t="e">
        <f t="shared" si="12"/>
        <v>#DIV/0!</v>
      </c>
      <c r="K292" s="87" t="e">
        <f t="shared" si="12"/>
        <v>#DIV/0!</v>
      </c>
      <c r="L292" s="87" t="e">
        <f t="shared" si="12"/>
        <v>#DIV/0!</v>
      </c>
      <c r="M292" s="88" t="e">
        <f t="shared" si="12"/>
        <v>#DIV/0!</v>
      </c>
      <c r="O292" s="121" t="str">
        <f t="shared" si="11"/>
        <v>חיפה מפרץ</v>
      </c>
      <c r="P292" s="121" t="str">
        <f t="shared" si="11"/>
        <v>נהריה</v>
      </c>
    </row>
    <row r="293" spans="1:16" x14ac:dyDescent="0.3">
      <c r="A293" s="60">
        <v>12</v>
      </c>
      <c r="B293" s="121">
        <v>2</v>
      </c>
      <c r="C293" s="79"/>
      <c r="D293" s="79"/>
      <c r="E293" s="79"/>
      <c r="F293" s="79"/>
      <c r="G293" s="94"/>
      <c r="I293" s="86" t="e">
        <f t="shared" si="12"/>
        <v>#DIV/0!</v>
      </c>
      <c r="J293" s="87" t="e">
        <f t="shared" si="12"/>
        <v>#DIV/0!</v>
      </c>
      <c r="K293" s="87" t="e">
        <f t="shared" si="12"/>
        <v>#DIV/0!</v>
      </c>
      <c r="L293" s="87" t="e">
        <f t="shared" si="12"/>
        <v>#DIV/0!</v>
      </c>
      <c r="M293" s="88" t="e">
        <f t="shared" si="12"/>
        <v>#DIV/0!</v>
      </c>
      <c r="O293" s="121" t="str">
        <f t="shared" si="11"/>
        <v>חיפה מפרץ</v>
      </c>
      <c r="P293" s="121" t="str">
        <f t="shared" si="11"/>
        <v>עכו</v>
      </c>
    </row>
    <row r="294" spans="1:16" x14ac:dyDescent="0.3">
      <c r="A294" s="60">
        <v>12</v>
      </c>
      <c r="B294" s="121">
        <v>3</v>
      </c>
      <c r="C294" s="79"/>
      <c r="D294" s="79"/>
      <c r="E294" s="79"/>
      <c r="F294" s="79"/>
      <c r="G294" s="94"/>
      <c r="I294" s="86" t="e">
        <f t="shared" si="12"/>
        <v>#DIV/0!</v>
      </c>
      <c r="J294" s="87" t="e">
        <f t="shared" si="12"/>
        <v>#DIV/0!</v>
      </c>
      <c r="K294" s="87" t="e">
        <f t="shared" si="12"/>
        <v>#DIV/0!</v>
      </c>
      <c r="L294" s="87" t="e">
        <f t="shared" si="12"/>
        <v>#DIV/0!</v>
      </c>
      <c r="M294" s="88" t="e">
        <f t="shared" si="12"/>
        <v>#DIV/0!</v>
      </c>
      <c r="O294" s="121" t="str">
        <f t="shared" si="11"/>
        <v>חיפה מפרץ</v>
      </c>
      <c r="P294" s="121" t="str">
        <f t="shared" si="11"/>
        <v>כרמיאל</v>
      </c>
    </row>
    <row r="295" spans="1:16" x14ac:dyDescent="0.3">
      <c r="A295" s="60">
        <v>12</v>
      </c>
      <c r="B295" s="121">
        <v>4</v>
      </c>
      <c r="C295" s="79"/>
      <c r="D295" s="79"/>
      <c r="E295" s="79"/>
      <c r="F295" s="79"/>
      <c r="G295" s="94"/>
      <c r="I295" s="86" t="e">
        <f t="shared" si="12"/>
        <v>#DIV/0!</v>
      </c>
      <c r="J295" s="87" t="e">
        <f t="shared" si="12"/>
        <v>#DIV/0!</v>
      </c>
      <c r="K295" s="87" t="e">
        <f t="shared" si="12"/>
        <v>#DIV/0!</v>
      </c>
      <c r="L295" s="87" t="e">
        <f t="shared" si="12"/>
        <v>#DIV/0!</v>
      </c>
      <c r="M295" s="88" t="e">
        <f t="shared" si="12"/>
        <v>#DIV/0!</v>
      </c>
      <c r="O295" s="121" t="str">
        <f t="shared" si="11"/>
        <v>חיפה מפרץ</v>
      </c>
      <c r="P295" s="121" t="str">
        <f t="shared" si="11"/>
        <v>שפרעם</v>
      </c>
    </row>
    <row r="296" spans="1:16" x14ac:dyDescent="0.3">
      <c r="A296" s="60">
        <v>12</v>
      </c>
      <c r="B296" s="121">
        <v>5</v>
      </c>
      <c r="C296" s="79"/>
      <c r="D296" s="79"/>
      <c r="E296" s="79"/>
      <c r="F296" s="79"/>
      <c r="G296" s="94"/>
      <c r="I296" s="86" t="e">
        <f t="shared" si="12"/>
        <v>#DIV/0!</v>
      </c>
      <c r="J296" s="87" t="e">
        <f t="shared" si="12"/>
        <v>#DIV/0!</v>
      </c>
      <c r="K296" s="87" t="e">
        <f t="shared" si="12"/>
        <v>#DIV/0!</v>
      </c>
      <c r="L296" s="87" t="e">
        <f t="shared" si="12"/>
        <v>#DIV/0!</v>
      </c>
      <c r="M296" s="88" t="e">
        <f t="shared" si="12"/>
        <v>#DIV/0!</v>
      </c>
      <c r="O296" s="121" t="str">
        <f t="shared" si="11"/>
        <v>חיפה מפרץ</v>
      </c>
      <c r="P296" s="121" t="str">
        <f t="shared" si="11"/>
        <v>קרית ים</v>
      </c>
    </row>
    <row r="297" spans="1:16" x14ac:dyDescent="0.3">
      <c r="A297" s="60">
        <v>12</v>
      </c>
      <c r="B297" s="121">
        <v>6</v>
      </c>
      <c r="C297" s="79"/>
      <c r="D297" s="79"/>
      <c r="E297" s="79"/>
      <c r="F297" s="79"/>
      <c r="G297" s="94"/>
      <c r="I297" s="86" t="e">
        <f t="shared" si="12"/>
        <v>#DIV/0!</v>
      </c>
      <c r="J297" s="87" t="e">
        <f t="shared" si="12"/>
        <v>#DIV/0!</v>
      </c>
      <c r="K297" s="87" t="e">
        <f t="shared" si="12"/>
        <v>#DIV/0!</v>
      </c>
      <c r="L297" s="87" t="e">
        <f t="shared" si="12"/>
        <v>#DIV/0!</v>
      </c>
      <c r="M297" s="88" t="e">
        <f t="shared" si="12"/>
        <v>#DIV/0!</v>
      </c>
      <c r="O297" s="121" t="str">
        <f t="shared" si="11"/>
        <v>חיפה מפרץ</v>
      </c>
      <c r="P297" s="121" t="str">
        <f t="shared" si="11"/>
        <v>קרית מוצקין</v>
      </c>
    </row>
    <row r="298" spans="1:16" x14ac:dyDescent="0.3">
      <c r="A298" s="60">
        <v>12</v>
      </c>
      <c r="B298" s="121">
        <v>7</v>
      </c>
      <c r="C298" s="79"/>
      <c r="D298" s="79"/>
      <c r="E298" s="79"/>
      <c r="F298" s="79"/>
      <c r="G298" s="94"/>
      <c r="I298" s="86" t="e">
        <f t="shared" si="12"/>
        <v>#DIV/0!</v>
      </c>
      <c r="J298" s="87" t="e">
        <f t="shared" si="12"/>
        <v>#DIV/0!</v>
      </c>
      <c r="K298" s="87" t="e">
        <f t="shared" si="12"/>
        <v>#DIV/0!</v>
      </c>
      <c r="L298" s="87" t="e">
        <f t="shared" si="12"/>
        <v>#DIV/0!</v>
      </c>
      <c r="M298" s="88" t="e">
        <f t="shared" si="12"/>
        <v>#DIV/0!</v>
      </c>
      <c r="O298" s="121" t="str">
        <f t="shared" si="11"/>
        <v>חיפה מפרץ</v>
      </c>
      <c r="P298" s="121" t="str">
        <f t="shared" si="11"/>
        <v>קרית ביאליק</v>
      </c>
    </row>
    <row r="299" spans="1:16" x14ac:dyDescent="0.3">
      <c r="A299" s="60">
        <v>12</v>
      </c>
      <c r="B299" s="121">
        <v>8</v>
      </c>
      <c r="C299" s="79"/>
      <c r="D299" s="79"/>
      <c r="E299" s="79"/>
      <c r="F299" s="79"/>
      <c r="G299" s="94"/>
      <c r="I299" s="86" t="e">
        <f t="shared" si="12"/>
        <v>#DIV/0!</v>
      </c>
      <c r="J299" s="87" t="e">
        <f t="shared" si="12"/>
        <v>#DIV/0!</v>
      </c>
      <c r="K299" s="87" t="e">
        <f t="shared" si="12"/>
        <v>#DIV/0!</v>
      </c>
      <c r="L299" s="87" t="e">
        <f t="shared" si="12"/>
        <v>#DIV/0!</v>
      </c>
      <c r="M299" s="88" t="e">
        <f t="shared" si="12"/>
        <v>#DIV/0!</v>
      </c>
      <c r="O299" s="121" t="str">
        <f t="shared" si="11"/>
        <v>חיפה מפרץ</v>
      </c>
      <c r="P299" s="121" t="str">
        <f t="shared" si="11"/>
        <v>קרית חיים</v>
      </c>
    </row>
    <row r="300" spans="1:16" x14ac:dyDescent="0.3">
      <c r="A300" s="60">
        <v>12</v>
      </c>
      <c r="B300" s="121">
        <v>9</v>
      </c>
      <c r="C300" s="79"/>
      <c r="D300" s="79"/>
      <c r="E300" s="79"/>
      <c r="F300" s="79"/>
      <c r="G300" s="94"/>
      <c r="I300" s="86" t="e">
        <f t="shared" si="12"/>
        <v>#DIV/0!</v>
      </c>
      <c r="J300" s="87" t="e">
        <f t="shared" si="12"/>
        <v>#DIV/0!</v>
      </c>
      <c r="K300" s="87" t="e">
        <f t="shared" si="12"/>
        <v>#DIV/0!</v>
      </c>
      <c r="L300" s="87" t="e">
        <f t="shared" si="12"/>
        <v>#DIV/0!</v>
      </c>
      <c r="M300" s="88" t="e">
        <f t="shared" si="12"/>
        <v>#DIV/0!</v>
      </c>
      <c r="O300" s="121" t="str">
        <f t="shared" si="11"/>
        <v>חיפה מפרץ</v>
      </c>
      <c r="P300" s="121" t="str">
        <f t="shared" si="11"/>
        <v>קרית אתא</v>
      </c>
    </row>
    <row r="301" spans="1:16" x14ac:dyDescent="0.3">
      <c r="A301" s="60">
        <v>12</v>
      </c>
      <c r="B301" s="121">
        <v>10</v>
      </c>
      <c r="C301" s="79"/>
      <c r="D301" s="79"/>
      <c r="E301" s="79"/>
      <c r="F301" s="79"/>
      <c r="G301" s="94"/>
      <c r="I301" s="86" t="e">
        <f t="shared" si="12"/>
        <v>#DIV/0!</v>
      </c>
      <c r="J301" s="87" t="e">
        <f t="shared" si="12"/>
        <v>#DIV/0!</v>
      </c>
      <c r="K301" s="87" t="e">
        <f t="shared" si="12"/>
        <v>#DIV/0!</v>
      </c>
      <c r="L301" s="87" t="e">
        <f t="shared" si="12"/>
        <v>#DIV/0!</v>
      </c>
      <c r="M301" s="88" t="e">
        <f t="shared" si="12"/>
        <v>#DIV/0!</v>
      </c>
      <c r="O301" s="121" t="str">
        <f t="shared" si="11"/>
        <v>חיפה מפרץ</v>
      </c>
      <c r="P301" s="121" t="str">
        <f t="shared" si="11"/>
        <v>כפר מנדא</v>
      </c>
    </row>
    <row r="302" spans="1:16" x14ac:dyDescent="0.3">
      <c r="A302" s="60">
        <v>12</v>
      </c>
      <c r="B302" s="121">
        <v>11</v>
      </c>
      <c r="C302" s="79"/>
      <c r="D302" s="79"/>
      <c r="E302" s="79"/>
      <c r="F302" s="79"/>
      <c r="G302" s="94"/>
      <c r="I302" s="86" t="e">
        <f t="shared" si="12"/>
        <v>#DIV/0!</v>
      </c>
      <c r="J302" s="87" t="e">
        <f t="shared" si="12"/>
        <v>#DIV/0!</v>
      </c>
      <c r="K302" s="87" t="e">
        <f t="shared" si="12"/>
        <v>#DIV/0!</v>
      </c>
      <c r="L302" s="87" t="e">
        <f t="shared" si="12"/>
        <v>#DIV/0!</v>
      </c>
      <c r="M302" s="88" t="e">
        <f t="shared" si="12"/>
        <v>#DIV/0!</v>
      </c>
      <c r="O302" s="121" t="str">
        <f t="shared" si="11"/>
        <v>חיפה מפרץ</v>
      </c>
      <c r="P302" s="121" t="str">
        <f t="shared" si="11"/>
        <v>זבולון</v>
      </c>
    </row>
    <row r="303" spans="1:16" x14ac:dyDescent="0.3">
      <c r="A303" s="60">
        <v>12</v>
      </c>
      <c r="B303" s="121">
        <v>12</v>
      </c>
      <c r="C303" s="79"/>
      <c r="D303" s="79"/>
      <c r="E303" s="79"/>
      <c r="F303" s="79"/>
      <c r="G303" s="94"/>
      <c r="I303" s="86" t="e">
        <f t="shared" si="12"/>
        <v>#DIV/0!</v>
      </c>
      <c r="J303" s="87" t="e">
        <f t="shared" si="12"/>
        <v>#DIV/0!</v>
      </c>
      <c r="K303" s="87" t="e">
        <f t="shared" si="12"/>
        <v>#DIV/0!</v>
      </c>
      <c r="L303" s="87" t="e">
        <f t="shared" si="12"/>
        <v>#DIV/0!</v>
      </c>
      <c r="M303" s="88" t="e">
        <f t="shared" si="12"/>
        <v>#DIV/0!</v>
      </c>
      <c r="O303" s="121" t="str">
        <f t="shared" si="11"/>
        <v>חיפה מפרץ</v>
      </c>
      <c r="P303" s="121" t="str">
        <f t="shared" si="11"/>
        <v>חיפה מפרץ</v>
      </c>
    </row>
    <row r="304" spans="1:16" x14ac:dyDescent="0.3">
      <c r="A304" s="60">
        <v>12</v>
      </c>
      <c r="B304" s="121">
        <v>13</v>
      </c>
      <c r="C304" s="79"/>
      <c r="D304" s="79"/>
      <c r="E304" s="79"/>
      <c r="F304" s="79"/>
      <c r="G304" s="94"/>
      <c r="I304" s="86" t="e">
        <f t="shared" si="12"/>
        <v>#DIV/0!</v>
      </c>
      <c r="J304" s="87" t="e">
        <f t="shared" si="12"/>
        <v>#DIV/0!</v>
      </c>
      <c r="K304" s="87" t="e">
        <f t="shared" si="12"/>
        <v>#DIV/0!</v>
      </c>
      <c r="L304" s="87" t="e">
        <f t="shared" si="12"/>
        <v>#DIV/0!</v>
      </c>
      <c r="M304" s="88" t="e">
        <f t="shared" si="12"/>
        <v>#DIV/0!</v>
      </c>
      <c r="O304" s="121" t="str">
        <f t="shared" si="11"/>
        <v>חיפה מפרץ</v>
      </c>
      <c r="P304" s="121" t="str">
        <f t="shared" si="11"/>
        <v>חיפה עיר תחתית</v>
      </c>
    </row>
    <row r="305" spans="1:16" x14ac:dyDescent="0.3">
      <c r="A305" s="60">
        <v>12</v>
      </c>
      <c r="B305" s="121">
        <v>14</v>
      </c>
      <c r="C305" s="79"/>
      <c r="D305" s="79"/>
      <c r="E305" s="79"/>
      <c r="F305" s="79"/>
      <c r="G305" s="94"/>
      <c r="I305" s="86" t="e">
        <f t="shared" si="12"/>
        <v>#DIV/0!</v>
      </c>
      <c r="J305" s="87" t="e">
        <f t="shared" si="12"/>
        <v>#DIV/0!</v>
      </c>
      <c r="K305" s="87" t="e">
        <f t="shared" si="12"/>
        <v>#DIV/0!</v>
      </c>
      <c r="L305" s="87" t="e">
        <f t="shared" si="12"/>
        <v>#DIV/0!</v>
      </c>
      <c r="M305" s="88" t="e">
        <f t="shared" si="12"/>
        <v>#DIV/0!</v>
      </c>
      <c r="O305" s="121" t="str">
        <f t="shared" si="11"/>
        <v>חיפה מפרץ</v>
      </c>
      <c r="P305" s="121" t="str">
        <f t="shared" si="11"/>
        <v>חיפה הדר-כרמל</v>
      </c>
    </row>
    <row r="306" spans="1:16" x14ac:dyDescent="0.3">
      <c r="A306" s="60">
        <v>12</v>
      </c>
      <c r="B306" s="121">
        <v>15</v>
      </c>
      <c r="C306" s="79"/>
      <c r="D306" s="79"/>
      <c r="E306" s="79"/>
      <c r="F306" s="79"/>
      <c r="G306" s="94"/>
      <c r="I306" s="86" t="e">
        <f t="shared" si="12"/>
        <v>#DIV/0!</v>
      </c>
      <c r="J306" s="87" t="e">
        <f t="shared" si="12"/>
        <v>#DIV/0!</v>
      </c>
      <c r="K306" s="87" t="e">
        <f t="shared" si="12"/>
        <v>#DIV/0!</v>
      </c>
      <c r="L306" s="87" t="e">
        <f t="shared" si="12"/>
        <v>#DIV/0!</v>
      </c>
      <c r="M306" s="88" t="e">
        <f t="shared" si="12"/>
        <v>#DIV/0!</v>
      </c>
      <c r="O306" s="121" t="str">
        <f t="shared" si="11"/>
        <v>חיפה מפרץ</v>
      </c>
      <c r="P306" s="121" t="str">
        <f t="shared" si="11"/>
        <v>חיפה מערב</v>
      </c>
    </row>
    <row r="307" spans="1:16" x14ac:dyDescent="0.3">
      <c r="A307" s="60">
        <v>12</v>
      </c>
      <c r="B307" s="121">
        <v>16</v>
      </c>
      <c r="C307" s="79"/>
      <c r="D307" s="79"/>
      <c r="E307" s="79"/>
      <c r="F307" s="79"/>
      <c r="G307" s="94"/>
      <c r="I307" s="86" t="e">
        <f t="shared" si="12"/>
        <v>#DIV/0!</v>
      </c>
      <c r="J307" s="87" t="e">
        <f t="shared" si="12"/>
        <v>#DIV/0!</v>
      </c>
      <c r="K307" s="87" t="e">
        <f t="shared" si="12"/>
        <v>#DIV/0!</v>
      </c>
      <c r="L307" s="87" t="e">
        <f t="shared" si="12"/>
        <v>#DIV/0!</v>
      </c>
      <c r="M307" s="88" t="e">
        <f t="shared" si="12"/>
        <v>#DIV/0!</v>
      </c>
      <c r="O307" s="121" t="str">
        <f t="shared" si="11"/>
        <v>חיפה מפרץ</v>
      </c>
      <c r="P307" s="121" t="str">
        <f t="shared" si="11"/>
        <v>חיפה כרמל</v>
      </c>
    </row>
    <row r="308" spans="1:16" x14ac:dyDescent="0.3">
      <c r="A308" s="60">
        <v>12</v>
      </c>
      <c r="B308" s="121">
        <v>17</v>
      </c>
      <c r="C308" s="79"/>
      <c r="D308" s="79"/>
      <c r="E308" s="79"/>
      <c r="F308" s="79"/>
      <c r="G308" s="94"/>
      <c r="I308" s="86" t="e">
        <f t="shared" si="12"/>
        <v>#DIV/0!</v>
      </c>
      <c r="J308" s="87" t="e">
        <f t="shared" si="12"/>
        <v>#DIV/0!</v>
      </c>
      <c r="K308" s="87" t="e">
        <f t="shared" si="12"/>
        <v>#DIV/0!</v>
      </c>
      <c r="L308" s="87" t="e">
        <f t="shared" si="12"/>
        <v>#DIV/0!</v>
      </c>
      <c r="M308" s="88" t="e">
        <f t="shared" si="12"/>
        <v>#DIV/0!</v>
      </c>
      <c r="O308" s="121" t="str">
        <f t="shared" si="11"/>
        <v>חיפה מפרץ</v>
      </c>
      <c r="P308" s="121" t="str">
        <f t="shared" si="11"/>
        <v>חיפה נווה שאנן</v>
      </c>
    </row>
    <row r="309" spans="1:16" x14ac:dyDescent="0.3">
      <c r="A309" s="60">
        <v>12</v>
      </c>
      <c r="B309" s="121">
        <v>18</v>
      </c>
      <c r="C309" s="79"/>
      <c r="D309" s="79"/>
      <c r="E309" s="79"/>
      <c r="F309" s="79"/>
      <c r="G309" s="94"/>
      <c r="I309" s="86" t="e">
        <f t="shared" si="12"/>
        <v>#DIV/0!</v>
      </c>
      <c r="J309" s="87" t="e">
        <f t="shared" si="12"/>
        <v>#DIV/0!</v>
      </c>
      <c r="K309" s="87" t="e">
        <f t="shared" si="12"/>
        <v>#DIV/0!</v>
      </c>
      <c r="L309" s="87" t="e">
        <f t="shared" si="12"/>
        <v>#DIV/0!</v>
      </c>
      <c r="M309" s="88" t="e">
        <f t="shared" si="12"/>
        <v>#DIV/0!</v>
      </c>
      <c r="O309" s="121" t="str">
        <f t="shared" si="11"/>
        <v>חיפה מפרץ</v>
      </c>
      <c r="P309" s="121" t="str">
        <f t="shared" si="11"/>
        <v>נשר</v>
      </c>
    </row>
    <row r="310" spans="1:16" x14ac:dyDescent="0.3">
      <c r="A310" s="60">
        <v>12</v>
      </c>
      <c r="B310" s="121">
        <v>19</v>
      </c>
      <c r="C310" s="79"/>
      <c r="D310" s="79"/>
      <c r="E310" s="79"/>
      <c r="F310" s="79"/>
      <c r="G310" s="94"/>
      <c r="I310" s="86" t="e">
        <f t="shared" si="12"/>
        <v>#DIV/0!</v>
      </c>
      <c r="J310" s="87" t="e">
        <f t="shared" si="12"/>
        <v>#DIV/0!</v>
      </c>
      <c r="K310" s="87" t="e">
        <f t="shared" si="12"/>
        <v>#DIV/0!</v>
      </c>
      <c r="L310" s="87" t="e">
        <f t="shared" si="12"/>
        <v>#DIV/0!</v>
      </c>
      <c r="M310" s="88" t="e">
        <f t="shared" si="12"/>
        <v>#DIV/0!</v>
      </c>
      <c r="O310" s="121" t="str">
        <f t="shared" si="11"/>
        <v>חיפה מפרץ</v>
      </c>
      <c r="P310" s="121" t="str">
        <f t="shared" si="11"/>
        <v>נצרת</v>
      </c>
    </row>
    <row r="311" spans="1:16" x14ac:dyDescent="0.3">
      <c r="A311" s="60">
        <v>12</v>
      </c>
      <c r="B311" s="121">
        <v>20</v>
      </c>
      <c r="C311" s="79"/>
      <c r="D311" s="79"/>
      <c r="E311" s="79"/>
      <c r="F311" s="79"/>
      <c r="G311" s="94"/>
      <c r="I311" s="86" t="e">
        <f t="shared" si="12"/>
        <v>#DIV/0!</v>
      </c>
      <c r="J311" s="87" t="e">
        <f t="shared" si="12"/>
        <v>#DIV/0!</v>
      </c>
      <c r="K311" s="87" t="e">
        <f t="shared" si="12"/>
        <v>#DIV/0!</v>
      </c>
      <c r="L311" s="87" t="e">
        <f t="shared" si="12"/>
        <v>#DIV/0!</v>
      </c>
      <c r="M311" s="88" t="e">
        <f t="shared" si="12"/>
        <v>#DIV/0!</v>
      </c>
      <c r="O311" s="121" t="str">
        <f t="shared" si="11"/>
        <v>חיפה מפרץ</v>
      </c>
      <c r="P311" s="121" t="str">
        <f t="shared" si="11"/>
        <v>נצרת-עילית</v>
      </c>
    </row>
    <row r="312" spans="1:16" x14ac:dyDescent="0.3">
      <c r="A312" s="60">
        <v>12</v>
      </c>
      <c r="B312" s="121">
        <v>21</v>
      </c>
      <c r="C312" s="79"/>
      <c r="D312" s="79"/>
      <c r="E312" s="79"/>
      <c r="F312" s="79"/>
      <c r="G312" s="94"/>
      <c r="I312" s="86" t="e">
        <f t="shared" si="12"/>
        <v>#DIV/0!</v>
      </c>
      <c r="J312" s="87" t="e">
        <f t="shared" si="12"/>
        <v>#DIV/0!</v>
      </c>
      <c r="K312" s="87" t="e">
        <f t="shared" si="12"/>
        <v>#DIV/0!</v>
      </c>
      <c r="L312" s="87" t="e">
        <f t="shared" si="12"/>
        <v>#DIV/0!</v>
      </c>
      <c r="M312" s="88" t="e">
        <f t="shared" si="12"/>
        <v>#DIV/0!</v>
      </c>
      <c r="O312" s="121" t="str">
        <f t="shared" si="11"/>
        <v>חיפה מפרץ</v>
      </c>
      <c r="P312" s="121" t="str">
        <f t="shared" si="11"/>
        <v>מגדל העמק</v>
      </c>
    </row>
    <row r="313" spans="1:16" x14ac:dyDescent="0.3">
      <c r="A313" s="60">
        <v>12</v>
      </c>
      <c r="B313" s="121">
        <v>22</v>
      </c>
      <c r="C313" s="79"/>
      <c r="D313" s="79"/>
      <c r="E313" s="79"/>
      <c r="F313" s="79"/>
      <c r="G313" s="94"/>
      <c r="I313" s="86" t="e">
        <f t="shared" si="12"/>
        <v>#DIV/0!</v>
      </c>
      <c r="J313" s="87" t="e">
        <f t="shared" si="12"/>
        <v>#DIV/0!</v>
      </c>
      <c r="K313" s="87" t="e">
        <f t="shared" si="12"/>
        <v>#DIV/0!</v>
      </c>
      <c r="L313" s="87" t="e">
        <f t="shared" si="12"/>
        <v>#DIV/0!</v>
      </c>
      <c r="M313" s="88" t="e">
        <f t="shared" si="12"/>
        <v>#DIV/0!</v>
      </c>
      <c r="O313" s="121" t="str">
        <f t="shared" si="11"/>
        <v>חיפה מפרץ</v>
      </c>
      <c r="P313" s="121" t="str">
        <f t="shared" si="11"/>
        <v>יוקנעם</v>
      </c>
    </row>
    <row r="314" spans="1:16" x14ac:dyDescent="0.3">
      <c r="A314" s="60">
        <v>12</v>
      </c>
      <c r="B314" s="121">
        <v>23</v>
      </c>
      <c r="C314" s="79"/>
      <c r="D314" s="79"/>
      <c r="E314" s="79"/>
      <c r="F314" s="79"/>
      <c r="G314" s="94"/>
      <c r="I314" s="86" t="e">
        <f t="shared" si="12"/>
        <v>#DIV/0!</v>
      </c>
      <c r="J314" s="87" t="e">
        <f t="shared" si="12"/>
        <v>#DIV/0!</v>
      </c>
      <c r="K314" s="87" t="e">
        <f t="shared" si="12"/>
        <v>#DIV/0!</v>
      </c>
      <c r="L314" s="87" t="e">
        <f t="shared" si="12"/>
        <v>#DIV/0!</v>
      </c>
      <c r="M314" s="88" t="e">
        <f t="shared" si="12"/>
        <v>#DIV/0!</v>
      </c>
      <c r="O314" s="121" t="str">
        <f t="shared" si="11"/>
        <v>חיפה מפרץ</v>
      </c>
      <c r="P314" s="121" t="str">
        <f t="shared" si="11"/>
        <v>דלית אל כרמל</v>
      </c>
    </row>
    <row r="315" spans="1:16" x14ac:dyDescent="0.3">
      <c r="A315" s="60">
        <v>12</v>
      </c>
      <c r="B315" s="121">
        <v>24</v>
      </c>
      <c r="C315" s="79"/>
      <c r="D315" s="79"/>
      <c r="E315" s="79"/>
      <c r="F315" s="79"/>
      <c r="G315" s="94"/>
      <c r="I315" s="86" t="e">
        <f t="shared" si="12"/>
        <v>#DIV/0!</v>
      </c>
      <c r="J315" s="87" t="e">
        <f t="shared" si="12"/>
        <v>#DIV/0!</v>
      </c>
      <c r="K315" s="87" t="e">
        <f t="shared" si="12"/>
        <v>#DIV/0!</v>
      </c>
      <c r="L315" s="87" t="e">
        <f t="shared" si="12"/>
        <v>#DIV/0!</v>
      </c>
      <c r="M315" s="88" t="e">
        <f t="shared" si="12"/>
        <v>#DIV/0!</v>
      </c>
      <c r="O315" s="121" t="str">
        <f t="shared" si="11"/>
        <v>חיפה מפרץ</v>
      </c>
      <c r="P315" s="121" t="str">
        <f t="shared" si="11"/>
        <v>חוף הכרמל</v>
      </c>
    </row>
    <row r="316" spans="1:16" x14ac:dyDescent="0.3">
      <c r="A316" s="60">
        <v>12</v>
      </c>
      <c r="B316" s="121">
        <v>25</v>
      </c>
      <c r="C316" s="79"/>
      <c r="D316" s="79"/>
      <c r="E316" s="79"/>
      <c r="F316" s="79"/>
      <c r="G316" s="94"/>
      <c r="I316" s="86" t="e">
        <f t="shared" si="12"/>
        <v>#DIV/0!</v>
      </c>
      <c r="J316" s="87" t="e">
        <f t="shared" si="12"/>
        <v>#DIV/0!</v>
      </c>
      <c r="K316" s="87" t="e">
        <f t="shared" si="12"/>
        <v>#DIV/0!</v>
      </c>
      <c r="L316" s="87" t="e">
        <f t="shared" si="12"/>
        <v>#DIV/0!</v>
      </c>
      <c r="M316" s="88" t="e">
        <f t="shared" si="12"/>
        <v>#DIV/0!</v>
      </c>
      <c r="O316" s="121" t="str">
        <f t="shared" si="11"/>
        <v>חיפה מפרץ</v>
      </c>
      <c r="P316" s="121" t="str">
        <f t="shared" si="11"/>
        <v>זכרון יעקב</v>
      </c>
    </row>
    <row r="317" spans="1:16" x14ac:dyDescent="0.3">
      <c r="A317" s="60">
        <v>12</v>
      </c>
      <c r="B317" s="121">
        <v>30</v>
      </c>
      <c r="C317" s="79"/>
      <c r="D317" s="79"/>
      <c r="E317" s="79"/>
      <c r="F317" s="79"/>
      <c r="G317" s="94"/>
      <c r="I317" s="86" t="e">
        <f t="shared" si="12"/>
        <v>#DIV/0!</v>
      </c>
      <c r="J317" s="87" t="e">
        <f t="shared" si="12"/>
        <v>#DIV/0!</v>
      </c>
      <c r="K317" s="87" t="e">
        <f t="shared" si="12"/>
        <v>#DIV/0!</v>
      </c>
      <c r="L317" s="87" t="e">
        <f t="shared" si="12"/>
        <v>#DIV/0!</v>
      </c>
      <c r="M317" s="88" t="e">
        <f t="shared" si="12"/>
        <v>#DIV/0!</v>
      </c>
      <c r="O317" s="121" t="str">
        <f t="shared" si="11"/>
        <v>חיפה מפרץ</v>
      </c>
      <c r="P317" s="121" t="str">
        <f t="shared" si="11"/>
        <v>סכנין</v>
      </c>
    </row>
    <row r="318" spans="1:16" x14ac:dyDescent="0.3">
      <c r="A318" s="60">
        <v>13</v>
      </c>
      <c r="B318" s="121">
        <v>1</v>
      </c>
      <c r="C318" s="79"/>
      <c r="D318" s="79"/>
      <c r="E318" s="79"/>
      <c r="F318" s="79"/>
      <c r="G318" s="94"/>
      <c r="I318" s="86" t="e">
        <f t="shared" si="12"/>
        <v>#DIV/0!</v>
      </c>
      <c r="J318" s="87" t="e">
        <f t="shared" si="12"/>
        <v>#DIV/0!</v>
      </c>
      <c r="K318" s="87" t="e">
        <f t="shared" si="12"/>
        <v>#DIV/0!</v>
      </c>
      <c r="L318" s="87" t="e">
        <f t="shared" si="12"/>
        <v>#DIV/0!</v>
      </c>
      <c r="M318" s="88" t="e">
        <f t="shared" si="12"/>
        <v>#DIV/0!</v>
      </c>
      <c r="O318" s="121" t="str">
        <f t="shared" si="11"/>
        <v>חיפה עיר תחתית</v>
      </c>
      <c r="P318" s="121" t="str">
        <f t="shared" si="11"/>
        <v>נהריה</v>
      </c>
    </row>
    <row r="319" spans="1:16" x14ac:dyDescent="0.3">
      <c r="A319" s="60">
        <v>13</v>
      </c>
      <c r="B319" s="121">
        <v>2</v>
      </c>
      <c r="C319" s="79"/>
      <c r="D319" s="79"/>
      <c r="E319" s="79"/>
      <c r="F319" s="79"/>
      <c r="G319" s="94"/>
      <c r="I319" s="86" t="e">
        <f t="shared" si="12"/>
        <v>#DIV/0!</v>
      </c>
      <c r="J319" s="87" t="e">
        <f t="shared" si="12"/>
        <v>#DIV/0!</v>
      </c>
      <c r="K319" s="87" t="e">
        <f t="shared" si="12"/>
        <v>#DIV/0!</v>
      </c>
      <c r="L319" s="87" t="e">
        <f t="shared" si="12"/>
        <v>#DIV/0!</v>
      </c>
      <c r="M319" s="88" t="e">
        <f t="shared" si="12"/>
        <v>#DIV/0!</v>
      </c>
      <c r="O319" s="121" t="str">
        <f t="shared" si="11"/>
        <v>חיפה עיר תחתית</v>
      </c>
      <c r="P319" s="121" t="str">
        <f t="shared" si="11"/>
        <v>עכו</v>
      </c>
    </row>
    <row r="320" spans="1:16" x14ac:dyDescent="0.3">
      <c r="A320" s="60">
        <v>13</v>
      </c>
      <c r="B320" s="121">
        <v>3</v>
      </c>
      <c r="C320" s="79"/>
      <c r="D320" s="79"/>
      <c r="E320" s="79"/>
      <c r="F320" s="79"/>
      <c r="G320" s="94"/>
      <c r="I320" s="86" t="e">
        <f t="shared" si="12"/>
        <v>#DIV/0!</v>
      </c>
      <c r="J320" s="87" t="e">
        <f t="shared" si="12"/>
        <v>#DIV/0!</v>
      </c>
      <c r="K320" s="87" t="e">
        <f t="shared" si="12"/>
        <v>#DIV/0!</v>
      </c>
      <c r="L320" s="87" t="e">
        <f t="shared" si="12"/>
        <v>#DIV/0!</v>
      </c>
      <c r="M320" s="88" t="e">
        <f t="shared" si="12"/>
        <v>#DIV/0!</v>
      </c>
      <c r="O320" s="121" t="str">
        <f t="shared" si="11"/>
        <v>חיפה עיר תחתית</v>
      </c>
      <c r="P320" s="121" t="str">
        <f t="shared" si="11"/>
        <v>כרמיאל</v>
      </c>
    </row>
    <row r="321" spans="1:16" x14ac:dyDescent="0.3">
      <c r="A321" s="60">
        <v>13</v>
      </c>
      <c r="B321" s="121">
        <v>4</v>
      </c>
      <c r="C321" s="79"/>
      <c r="D321" s="79"/>
      <c r="E321" s="79"/>
      <c r="F321" s="79"/>
      <c r="G321" s="94"/>
      <c r="I321" s="86" t="e">
        <f t="shared" si="12"/>
        <v>#DIV/0!</v>
      </c>
      <c r="J321" s="87" t="e">
        <f t="shared" si="12"/>
        <v>#DIV/0!</v>
      </c>
      <c r="K321" s="87" t="e">
        <f t="shared" si="12"/>
        <v>#DIV/0!</v>
      </c>
      <c r="L321" s="87" t="e">
        <f t="shared" si="12"/>
        <v>#DIV/0!</v>
      </c>
      <c r="M321" s="88" t="e">
        <f t="shared" si="12"/>
        <v>#DIV/0!</v>
      </c>
      <c r="O321" s="121" t="str">
        <f t="shared" si="11"/>
        <v>חיפה עיר תחתית</v>
      </c>
      <c r="P321" s="121" t="str">
        <f t="shared" si="11"/>
        <v>שפרעם</v>
      </c>
    </row>
    <row r="322" spans="1:16" x14ac:dyDescent="0.3">
      <c r="A322" s="60">
        <v>13</v>
      </c>
      <c r="B322" s="121">
        <v>5</v>
      </c>
      <c r="C322" s="79"/>
      <c r="D322" s="79"/>
      <c r="E322" s="79"/>
      <c r="F322" s="79"/>
      <c r="G322" s="94"/>
      <c r="I322" s="86" t="e">
        <f t="shared" si="12"/>
        <v>#DIV/0!</v>
      </c>
      <c r="J322" s="87" t="e">
        <f t="shared" si="12"/>
        <v>#DIV/0!</v>
      </c>
      <c r="K322" s="87" t="e">
        <f t="shared" si="12"/>
        <v>#DIV/0!</v>
      </c>
      <c r="L322" s="87" t="e">
        <f t="shared" si="12"/>
        <v>#DIV/0!</v>
      </c>
      <c r="M322" s="88" t="e">
        <f t="shared" si="12"/>
        <v>#DIV/0!</v>
      </c>
      <c r="O322" s="121" t="str">
        <f t="shared" si="11"/>
        <v>חיפה עיר תחתית</v>
      </c>
      <c r="P322" s="121" t="str">
        <f t="shared" si="11"/>
        <v>קרית ים</v>
      </c>
    </row>
    <row r="323" spans="1:16" x14ac:dyDescent="0.3">
      <c r="A323" s="60">
        <v>13</v>
      </c>
      <c r="B323" s="121">
        <v>6</v>
      </c>
      <c r="C323" s="79"/>
      <c r="D323" s="79"/>
      <c r="E323" s="79"/>
      <c r="F323" s="79"/>
      <c r="G323" s="94"/>
      <c r="I323" s="86" t="e">
        <f t="shared" si="12"/>
        <v>#DIV/0!</v>
      </c>
      <c r="J323" s="87" t="e">
        <f t="shared" si="12"/>
        <v>#DIV/0!</v>
      </c>
      <c r="K323" s="87" t="e">
        <f t="shared" si="12"/>
        <v>#DIV/0!</v>
      </c>
      <c r="L323" s="87" t="e">
        <f t="shared" si="12"/>
        <v>#DIV/0!</v>
      </c>
      <c r="M323" s="88" t="e">
        <f t="shared" si="12"/>
        <v>#DIV/0!</v>
      </c>
      <c r="O323" s="121" t="str">
        <f t="shared" si="11"/>
        <v>חיפה עיר תחתית</v>
      </c>
      <c r="P323" s="121" t="str">
        <f t="shared" si="11"/>
        <v>קרית מוצקין</v>
      </c>
    </row>
    <row r="324" spans="1:16" x14ac:dyDescent="0.3">
      <c r="A324" s="60">
        <v>13</v>
      </c>
      <c r="B324" s="121">
        <v>7</v>
      </c>
      <c r="C324" s="79"/>
      <c r="D324" s="79"/>
      <c r="E324" s="79"/>
      <c r="F324" s="79"/>
      <c r="G324" s="94"/>
      <c r="I324" s="86" t="e">
        <f t="shared" si="12"/>
        <v>#DIV/0!</v>
      </c>
      <c r="J324" s="87" t="e">
        <f t="shared" si="12"/>
        <v>#DIV/0!</v>
      </c>
      <c r="K324" s="87" t="e">
        <f t="shared" si="12"/>
        <v>#DIV/0!</v>
      </c>
      <c r="L324" s="87" t="e">
        <f t="shared" si="12"/>
        <v>#DIV/0!</v>
      </c>
      <c r="M324" s="88" t="e">
        <f t="shared" si="12"/>
        <v>#DIV/0!</v>
      </c>
      <c r="O324" s="121" t="str">
        <f t="shared" si="11"/>
        <v>חיפה עיר תחתית</v>
      </c>
      <c r="P324" s="121" t="str">
        <f t="shared" si="11"/>
        <v>קרית ביאליק</v>
      </c>
    </row>
    <row r="325" spans="1:16" x14ac:dyDescent="0.3">
      <c r="A325" s="60">
        <v>13</v>
      </c>
      <c r="B325" s="121">
        <v>8</v>
      </c>
      <c r="C325" s="79"/>
      <c r="D325" s="79"/>
      <c r="E325" s="79"/>
      <c r="F325" s="79"/>
      <c r="G325" s="94"/>
      <c r="I325" s="86" t="e">
        <f t="shared" ref="I325:M375" si="13">C325/SUM($C325:$G325)</f>
        <v>#DIV/0!</v>
      </c>
      <c r="J325" s="87" t="e">
        <f t="shared" si="13"/>
        <v>#DIV/0!</v>
      </c>
      <c r="K325" s="87" t="e">
        <f t="shared" si="13"/>
        <v>#DIV/0!</v>
      </c>
      <c r="L325" s="87" t="e">
        <f t="shared" si="13"/>
        <v>#DIV/0!</v>
      </c>
      <c r="M325" s="88" t="e">
        <f t="shared" si="13"/>
        <v>#DIV/0!</v>
      </c>
      <c r="O325" s="121" t="str">
        <f t="shared" si="11"/>
        <v>חיפה עיר תחתית</v>
      </c>
      <c r="P325" s="121" t="str">
        <f t="shared" si="11"/>
        <v>קרית חיים</v>
      </c>
    </row>
    <row r="326" spans="1:16" x14ac:dyDescent="0.3">
      <c r="A326" s="60">
        <v>13</v>
      </c>
      <c r="B326" s="121">
        <v>9</v>
      </c>
      <c r="C326" s="79"/>
      <c r="D326" s="79"/>
      <c r="E326" s="79"/>
      <c r="F326" s="79"/>
      <c r="G326" s="94"/>
      <c r="I326" s="86" t="e">
        <f t="shared" si="13"/>
        <v>#DIV/0!</v>
      </c>
      <c r="J326" s="87" t="e">
        <f t="shared" si="13"/>
        <v>#DIV/0!</v>
      </c>
      <c r="K326" s="87" t="e">
        <f t="shared" si="13"/>
        <v>#DIV/0!</v>
      </c>
      <c r="L326" s="87" t="e">
        <f t="shared" si="13"/>
        <v>#DIV/0!</v>
      </c>
      <c r="M326" s="88" t="e">
        <f t="shared" si="13"/>
        <v>#DIV/0!</v>
      </c>
      <c r="O326" s="121" t="str">
        <f t="shared" si="11"/>
        <v>חיפה עיר תחתית</v>
      </c>
      <c r="P326" s="121" t="str">
        <f t="shared" si="11"/>
        <v>קרית אתא</v>
      </c>
    </row>
    <row r="327" spans="1:16" x14ac:dyDescent="0.3">
      <c r="A327" s="60">
        <v>13</v>
      </c>
      <c r="B327" s="121">
        <v>10</v>
      </c>
      <c r="C327" s="79"/>
      <c r="D327" s="79"/>
      <c r="E327" s="79"/>
      <c r="F327" s="79"/>
      <c r="G327" s="94"/>
      <c r="I327" s="86" t="e">
        <f t="shared" si="13"/>
        <v>#DIV/0!</v>
      </c>
      <c r="J327" s="87" t="e">
        <f t="shared" si="13"/>
        <v>#DIV/0!</v>
      </c>
      <c r="K327" s="87" t="e">
        <f t="shared" si="13"/>
        <v>#DIV/0!</v>
      </c>
      <c r="L327" s="87" t="e">
        <f t="shared" si="13"/>
        <v>#DIV/0!</v>
      </c>
      <c r="M327" s="88" t="e">
        <f t="shared" si="13"/>
        <v>#DIV/0!</v>
      </c>
      <c r="O327" s="121" t="str">
        <f t="shared" si="11"/>
        <v>חיפה עיר תחתית</v>
      </c>
      <c r="P327" s="121" t="str">
        <f t="shared" si="11"/>
        <v>כפר מנדא</v>
      </c>
    </row>
    <row r="328" spans="1:16" x14ac:dyDescent="0.3">
      <c r="A328" s="60">
        <v>13</v>
      </c>
      <c r="B328" s="121">
        <v>11</v>
      </c>
      <c r="C328" s="79"/>
      <c r="D328" s="79"/>
      <c r="E328" s="79"/>
      <c r="F328" s="79"/>
      <c r="G328" s="94"/>
      <c r="I328" s="86" t="e">
        <f t="shared" si="13"/>
        <v>#DIV/0!</v>
      </c>
      <c r="J328" s="87" t="e">
        <f t="shared" si="13"/>
        <v>#DIV/0!</v>
      </c>
      <c r="K328" s="87" t="e">
        <f t="shared" si="13"/>
        <v>#DIV/0!</v>
      </c>
      <c r="L328" s="87" t="e">
        <f t="shared" si="13"/>
        <v>#DIV/0!</v>
      </c>
      <c r="M328" s="88" t="e">
        <f t="shared" si="13"/>
        <v>#DIV/0!</v>
      </c>
      <c r="O328" s="121" t="str">
        <f t="shared" ref="O328:P391" si="14">VLOOKUP(A328,$S$6:$T$31,2,0)</f>
        <v>חיפה עיר תחתית</v>
      </c>
      <c r="P328" s="121" t="str">
        <f t="shared" si="14"/>
        <v>זבולון</v>
      </c>
    </row>
    <row r="329" spans="1:16" x14ac:dyDescent="0.3">
      <c r="A329" s="60">
        <v>13</v>
      </c>
      <c r="B329" s="121">
        <v>12</v>
      </c>
      <c r="C329" s="79"/>
      <c r="D329" s="79"/>
      <c r="E329" s="79"/>
      <c r="F329" s="79"/>
      <c r="G329" s="94"/>
      <c r="I329" s="86" t="e">
        <f t="shared" si="13"/>
        <v>#DIV/0!</v>
      </c>
      <c r="J329" s="87" t="e">
        <f t="shared" si="13"/>
        <v>#DIV/0!</v>
      </c>
      <c r="K329" s="87" t="e">
        <f t="shared" si="13"/>
        <v>#DIV/0!</v>
      </c>
      <c r="L329" s="87" t="e">
        <f t="shared" si="13"/>
        <v>#DIV/0!</v>
      </c>
      <c r="M329" s="88" t="e">
        <f t="shared" si="13"/>
        <v>#DIV/0!</v>
      </c>
      <c r="O329" s="121" t="str">
        <f t="shared" si="14"/>
        <v>חיפה עיר תחתית</v>
      </c>
      <c r="P329" s="121" t="str">
        <f t="shared" si="14"/>
        <v>חיפה מפרץ</v>
      </c>
    </row>
    <row r="330" spans="1:16" x14ac:dyDescent="0.3">
      <c r="A330" s="60">
        <v>13</v>
      </c>
      <c r="B330" s="121">
        <v>13</v>
      </c>
      <c r="C330" s="79"/>
      <c r="D330" s="79"/>
      <c r="E330" s="79"/>
      <c r="F330" s="79"/>
      <c r="G330" s="94"/>
      <c r="I330" s="86" t="e">
        <f t="shared" si="13"/>
        <v>#DIV/0!</v>
      </c>
      <c r="J330" s="87" t="e">
        <f t="shared" si="13"/>
        <v>#DIV/0!</v>
      </c>
      <c r="K330" s="87" t="e">
        <f t="shared" si="13"/>
        <v>#DIV/0!</v>
      </c>
      <c r="L330" s="87" t="e">
        <f t="shared" si="13"/>
        <v>#DIV/0!</v>
      </c>
      <c r="M330" s="88" t="e">
        <f t="shared" si="13"/>
        <v>#DIV/0!</v>
      </c>
      <c r="O330" s="121" t="str">
        <f t="shared" si="14"/>
        <v>חיפה עיר תחתית</v>
      </c>
      <c r="P330" s="121" t="str">
        <f t="shared" si="14"/>
        <v>חיפה עיר תחתית</v>
      </c>
    </row>
    <row r="331" spans="1:16" x14ac:dyDescent="0.3">
      <c r="A331" s="60">
        <v>13</v>
      </c>
      <c r="B331" s="121">
        <v>14</v>
      </c>
      <c r="C331" s="79"/>
      <c r="D331" s="79"/>
      <c r="E331" s="79"/>
      <c r="F331" s="79"/>
      <c r="G331" s="94"/>
      <c r="I331" s="86" t="e">
        <f t="shared" si="13"/>
        <v>#DIV/0!</v>
      </c>
      <c r="J331" s="87" t="e">
        <f t="shared" si="13"/>
        <v>#DIV/0!</v>
      </c>
      <c r="K331" s="87" t="e">
        <f t="shared" si="13"/>
        <v>#DIV/0!</v>
      </c>
      <c r="L331" s="87" t="e">
        <f t="shared" si="13"/>
        <v>#DIV/0!</v>
      </c>
      <c r="M331" s="88" t="e">
        <f t="shared" si="13"/>
        <v>#DIV/0!</v>
      </c>
      <c r="O331" s="121" t="str">
        <f t="shared" si="14"/>
        <v>חיפה עיר תחתית</v>
      </c>
      <c r="P331" s="121" t="str">
        <f t="shared" si="14"/>
        <v>חיפה הדר-כרמל</v>
      </c>
    </row>
    <row r="332" spans="1:16" x14ac:dyDescent="0.3">
      <c r="A332" s="60">
        <v>13</v>
      </c>
      <c r="B332" s="121">
        <v>15</v>
      </c>
      <c r="C332" s="79"/>
      <c r="D332" s="79"/>
      <c r="E332" s="79"/>
      <c r="F332" s="79"/>
      <c r="G332" s="94"/>
      <c r="I332" s="86" t="e">
        <f t="shared" si="13"/>
        <v>#DIV/0!</v>
      </c>
      <c r="J332" s="87" t="e">
        <f t="shared" si="13"/>
        <v>#DIV/0!</v>
      </c>
      <c r="K332" s="87" t="e">
        <f t="shared" si="13"/>
        <v>#DIV/0!</v>
      </c>
      <c r="L332" s="87" t="e">
        <f t="shared" si="13"/>
        <v>#DIV/0!</v>
      </c>
      <c r="M332" s="88" t="e">
        <f t="shared" si="13"/>
        <v>#DIV/0!</v>
      </c>
      <c r="O332" s="121" t="str">
        <f t="shared" si="14"/>
        <v>חיפה עיר תחתית</v>
      </c>
      <c r="P332" s="121" t="str">
        <f t="shared" si="14"/>
        <v>חיפה מערב</v>
      </c>
    </row>
    <row r="333" spans="1:16" x14ac:dyDescent="0.3">
      <c r="A333" s="60">
        <v>13</v>
      </c>
      <c r="B333" s="121">
        <v>16</v>
      </c>
      <c r="C333" s="79"/>
      <c r="D333" s="79"/>
      <c r="E333" s="79"/>
      <c r="F333" s="79"/>
      <c r="G333" s="94"/>
      <c r="I333" s="86" t="e">
        <f t="shared" si="13"/>
        <v>#DIV/0!</v>
      </c>
      <c r="J333" s="87" t="e">
        <f t="shared" si="13"/>
        <v>#DIV/0!</v>
      </c>
      <c r="K333" s="87" t="e">
        <f t="shared" si="13"/>
        <v>#DIV/0!</v>
      </c>
      <c r="L333" s="87" t="e">
        <f t="shared" si="13"/>
        <v>#DIV/0!</v>
      </c>
      <c r="M333" s="88" t="e">
        <f t="shared" si="13"/>
        <v>#DIV/0!</v>
      </c>
      <c r="O333" s="121" t="str">
        <f t="shared" si="14"/>
        <v>חיפה עיר תחתית</v>
      </c>
      <c r="P333" s="121" t="str">
        <f t="shared" si="14"/>
        <v>חיפה כרמל</v>
      </c>
    </row>
    <row r="334" spans="1:16" x14ac:dyDescent="0.3">
      <c r="A334" s="60">
        <v>13</v>
      </c>
      <c r="B334" s="121">
        <v>17</v>
      </c>
      <c r="C334" s="79"/>
      <c r="D334" s="79"/>
      <c r="E334" s="79"/>
      <c r="F334" s="79"/>
      <c r="G334" s="94"/>
      <c r="I334" s="86" t="e">
        <f t="shared" si="13"/>
        <v>#DIV/0!</v>
      </c>
      <c r="J334" s="87" t="e">
        <f t="shared" si="13"/>
        <v>#DIV/0!</v>
      </c>
      <c r="K334" s="87" t="e">
        <f t="shared" si="13"/>
        <v>#DIV/0!</v>
      </c>
      <c r="L334" s="87" t="e">
        <f t="shared" si="13"/>
        <v>#DIV/0!</v>
      </c>
      <c r="M334" s="88" t="e">
        <f t="shared" si="13"/>
        <v>#DIV/0!</v>
      </c>
      <c r="O334" s="121" t="str">
        <f t="shared" si="14"/>
        <v>חיפה עיר תחתית</v>
      </c>
      <c r="P334" s="121" t="str">
        <f t="shared" si="14"/>
        <v>חיפה נווה שאנן</v>
      </c>
    </row>
    <row r="335" spans="1:16" x14ac:dyDescent="0.3">
      <c r="A335" s="60">
        <v>13</v>
      </c>
      <c r="B335" s="121">
        <v>18</v>
      </c>
      <c r="C335" s="79"/>
      <c r="D335" s="79"/>
      <c r="E335" s="79"/>
      <c r="F335" s="79"/>
      <c r="G335" s="94"/>
      <c r="I335" s="86" t="e">
        <f t="shared" si="13"/>
        <v>#DIV/0!</v>
      </c>
      <c r="J335" s="87" t="e">
        <f t="shared" si="13"/>
        <v>#DIV/0!</v>
      </c>
      <c r="K335" s="87" t="e">
        <f t="shared" si="13"/>
        <v>#DIV/0!</v>
      </c>
      <c r="L335" s="87" t="e">
        <f t="shared" si="13"/>
        <v>#DIV/0!</v>
      </c>
      <c r="M335" s="88" t="e">
        <f t="shared" si="13"/>
        <v>#DIV/0!</v>
      </c>
      <c r="O335" s="121" t="str">
        <f t="shared" si="14"/>
        <v>חיפה עיר תחתית</v>
      </c>
      <c r="P335" s="121" t="str">
        <f t="shared" si="14"/>
        <v>נשר</v>
      </c>
    </row>
    <row r="336" spans="1:16" x14ac:dyDescent="0.3">
      <c r="A336" s="60">
        <v>13</v>
      </c>
      <c r="B336" s="121">
        <v>19</v>
      </c>
      <c r="C336" s="79"/>
      <c r="D336" s="79"/>
      <c r="E336" s="79"/>
      <c r="F336" s="79"/>
      <c r="G336" s="94"/>
      <c r="I336" s="86" t="e">
        <f t="shared" si="13"/>
        <v>#DIV/0!</v>
      </c>
      <c r="J336" s="87" t="e">
        <f t="shared" si="13"/>
        <v>#DIV/0!</v>
      </c>
      <c r="K336" s="87" t="e">
        <f t="shared" si="13"/>
        <v>#DIV/0!</v>
      </c>
      <c r="L336" s="87" t="e">
        <f t="shared" si="13"/>
        <v>#DIV/0!</v>
      </c>
      <c r="M336" s="88" t="e">
        <f t="shared" si="13"/>
        <v>#DIV/0!</v>
      </c>
      <c r="O336" s="121" t="str">
        <f t="shared" si="14"/>
        <v>חיפה עיר תחתית</v>
      </c>
      <c r="P336" s="121" t="str">
        <f t="shared" si="14"/>
        <v>נצרת</v>
      </c>
    </row>
    <row r="337" spans="1:16" x14ac:dyDescent="0.3">
      <c r="A337" s="60">
        <v>13</v>
      </c>
      <c r="B337" s="121">
        <v>20</v>
      </c>
      <c r="C337" s="79"/>
      <c r="D337" s="79"/>
      <c r="E337" s="79"/>
      <c r="F337" s="79"/>
      <c r="G337" s="94"/>
      <c r="I337" s="86" t="e">
        <f t="shared" si="13"/>
        <v>#DIV/0!</v>
      </c>
      <c r="J337" s="87" t="e">
        <f t="shared" si="13"/>
        <v>#DIV/0!</v>
      </c>
      <c r="K337" s="87" t="e">
        <f t="shared" si="13"/>
        <v>#DIV/0!</v>
      </c>
      <c r="L337" s="87" t="e">
        <f t="shared" si="13"/>
        <v>#DIV/0!</v>
      </c>
      <c r="M337" s="88" t="e">
        <f t="shared" si="13"/>
        <v>#DIV/0!</v>
      </c>
      <c r="O337" s="121" t="str">
        <f t="shared" si="14"/>
        <v>חיפה עיר תחתית</v>
      </c>
      <c r="P337" s="121" t="str">
        <f t="shared" si="14"/>
        <v>נצרת-עילית</v>
      </c>
    </row>
    <row r="338" spans="1:16" x14ac:dyDescent="0.3">
      <c r="A338" s="60">
        <v>13</v>
      </c>
      <c r="B338" s="121">
        <v>21</v>
      </c>
      <c r="C338" s="79"/>
      <c r="D338" s="79"/>
      <c r="E338" s="79"/>
      <c r="F338" s="79"/>
      <c r="G338" s="94"/>
      <c r="I338" s="86" t="e">
        <f t="shared" si="13"/>
        <v>#DIV/0!</v>
      </c>
      <c r="J338" s="87" t="e">
        <f t="shared" si="13"/>
        <v>#DIV/0!</v>
      </c>
      <c r="K338" s="87" t="e">
        <f t="shared" si="13"/>
        <v>#DIV/0!</v>
      </c>
      <c r="L338" s="87" t="e">
        <f t="shared" si="13"/>
        <v>#DIV/0!</v>
      </c>
      <c r="M338" s="88" t="e">
        <f t="shared" si="13"/>
        <v>#DIV/0!</v>
      </c>
      <c r="O338" s="121" t="str">
        <f t="shared" si="14"/>
        <v>חיפה עיר תחתית</v>
      </c>
      <c r="P338" s="121" t="str">
        <f t="shared" si="14"/>
        <v>מגדל העמק</v>
      </c>
    </row>
    <row r="339" spans="1:16" x14ac:dyDescent="0.3">
      <c r="A339" s="60">
        <v>13</v>
      </c>
      <c r="B339" s="121">
        <v>22</v>
      </c>
      <c r="C339" s="79"/>
      <c r="D339" s="79"/>
      <c r="E339" s="79"/>
      <c r="F339" s="79"/>
      <c r="G339" s="94"/>
      <c r="I339" s="86" t="e">
        <f t="shared" si="13"/>
        <v>#DIV/0!</v>
      </c>
      <c r="J339" s="87" t="e">
        <f t="shared" si="13"/>
        <v>#DIV/0!</v>
      </c>
      <c r="K339" s="87" t="e">
        <f t="shared" si="13"/>
        <v>#DIV/0!</v>
      </c>
      <c r="L339" s="87" t="e">
        <f t="shared" si="13"/>
        <v>#DIV/0!</v>
      </c>
      <c r="M339" s="88" t="e">
        <f t="shared" si="13"/>
        <v>#DIV/0!</v>
      </c>
      <c r="O339" s="121" t="str">
        <f t="shared" si="14"/>
        <v>חיפה עיר תחתית</v>
      </c>
      <c r="P339" s="121" t="str">
        <f t="shared" si="14"/>
        <v>יוקנעם</v>
      </c>
    </row>
    <row r="340" spans="1:16" x14ac:dyDescent="0.3">
      <c r="A340" s="60">
        <v>13</v>
      </c>
      <c r="B340" s="121">
        <v>23</v>
      </c>
      <c r="C340" s="79"/>
      <c r="D340" s="79"/>
      <c r="E340" s="79"/>
      <c r="F340" s="79"/>
      <c r="G340" s="94"/>
      <c r="I340" s="86" t="e">
        <f t="shared" si="13"/>
        <v>#DIV/0!</v>
      </c>
      <c r="J340" s="87" t="e">
        <f t="shared" si="13"/>
        <v>#DIV/0!</v>
      </c>
      <c r="K340" s="87" t="e">
        <f t="shared" si="13"/>
        <v>#DIV/0!</v>
      </c>
      <c r="L340" s="87" t="e">
        <f t="shared" si="13"/>
        <v>#DIV/0!</v>
      </c>
      <c r="M340" s="88" t="e">
        <f t="shared" si="13"/>
        <v>#DIV/0!</v>
      </c>
      <c r="O340" s="121" t="str">
        <f t="shared" si="14"/>
        <v>חיפה עיר תחתית</v>
      </c>
      <c r="P340" s="121" t="str">
        <f t="shared" si="14"/>
        <v>דלית אל כרמל</v>
      </c>
    </row>
    <row r="341" spans="1:16" x14ac:dyDescent="0.3">
      <c r="A341" s="60">
        <v>13</v>
      </c>
      <c r="B341" s="121">
        <v>24</v>
      </c>
      <c r="C341" s="79"/>
      <c r="D341" s="79"/>
      <c r="E341" s="79"/>
      <c r="F341" s="79"/>
      <c r="G341" s="94"/>
      <c r="I341" s="86" t="e">
        <f t="shared" si="13"/>
        <v>#DIV/0!</v>
      </c>
      <c r="J341" s="87" t="e">
        <f t="shared" si="13"/>
        <v>#DIV/0!</v>
      </c>
      <c r="K341" s="87" t="e">
        <f t="shared" si="13"/>
        <v>#DIV/0!</v>
      </c>
      <c r="L341" s="87" t="e">
        <f t="shared" si="13"/>
        <v>#DIV/0!</v>
      </c>
      <c r="M341" s="88" t="e">
        <f t="shared" si="13"/>
        <v>#DIV/0!</v>
      </c>
      <c r="O341" s="121" t="str">
        <f t="shared" si="14"/>
        <v>חיפה עיר תחתית</v>
      </c>
      <c r="P341" s="121" t="str">
        <f t="shared" si="14"/>
        <v>חוף הכרמל</v>
      </c>
    </row>
    <row r="342" spans="1:16" x14ac:dyDescent="0.3">
      <c r="A342" s="60">
        <v>13</v>
      </c>
      <c r="B342" s="121">
        <v>25</v>
      </c>
      <c r="C342" s="79"/>
      <c r="D342" s="79"/>
      <c r="E342" s="79"/>
      <c r="F342" s="79"/>
      <c r="G342" s="94"/>
      <c r="I342" s="86" t="e">
        <f t="shared" si="13"/>
        <v>#DIV/0!</v>
      </c>
      <c r="J342" s="87" t="e">
        <f t="shared" si="13"/>
        <v>#DIV/0!</v>
      </c>
      <c r="K342" s="87" t="e">
        <f t="shared" si="13"/>
        <v>#DIV/0!</v>
      </c>
      <c r="L342" s="87" t="e">
        <f t="shared" si="13"/>
        <v>#DIV/0!</v>
      </c>
      <c r="M342" s="88" t="e">
        <f t="shared" si="13"/>
        <v>#DIV/0!</v>
      </c>
      <c r="O342" s="121" t="str">
        <f t="shared" si="14"/>
        <v>חיפה עיר תחתית</v>
      </c>
      <c r="P342" s="121" t="str">
        <f t="shared" si="14"/>
        <v>זכרון יעקב</v>
      </c>
    </row>
    <row r="343" spans="1:16" x14ac:dyDescent="0.3">
      <c r="A343" s="60">
        <v>13</v>
      </c>
      <c r="B343" s="121">
        <v>30</v>
      </c>
      <c r="C343" s="79"/>
      <c r="D343" s="79"/>
      <c r="E343" s="79"/>
      <c r="F343" s="79"/>
      <c r="G343" s="94"/>
      <c r="I343" s="86" t="e">
        <f t="shared" si="13"/>
        <v>#DIV/0!</v>
      </c>
      <c r="J343" s="87" t="e">
        <f t="shared" si="13"/>
        <v>#DIV/0!</v>
      </c>
      <c r="K343" s="87" t="e">
        <f t="shared" si="13"/>
        <v>#DIV/0!</v>
      </c>
      <c r="L343" s="87" t="e">
        <f t="shared" si="13"/>
        <v>#DIV/0!</v>
      </c>
      <c r="M343" s="88" t="e">
        <f t="shared" si="13"/>
        <v>#DIV/0!</v>
      </c>
      <c r="O343" s="121" t="str">
        <f t="shared" si="14"/>
        <v>חיפה עיר תחתית</v>
      </c>
      <c r="P343" s="121" t="str">
        <f t="shared" si="14"/>
        <v>סכנין</v>
      </c>
    </row>
    <row r="344" spans="1:16" x14ac:dyDescent="0.3">
      <c r="A344" s="60">
        <v>14</v>
      </c>
      <c r="B344" s="121">
        <v>1</v>
      </c>
      <c r="C344" s="79"/>
      <c r="D344" s="79"/>
      <c r="E344" s="79"/>
      <c r="F344" s="79"/>
      <c r="G344" s="94"/>
      <c r="I344" s="86" t="e">
        <f t="shared" si="13"/>
        <v>#DIV/0!</v>
      </c>
      <c r="J344" s="87" t="e">
        <f t="shared" si="13"/>
        <v>#DIV/0!</v>
      </c>
      <c r="K344" s="87" t="e">
        <f t="shared" si="13"/>
        <v>#DIV/0!</v>
      </c>
      <c r="L344" s="87" t="e">
        <f t="shared" si="13"/>
        <v>#DIV/0!</v>
      </c>
      <c r="M344" s="88" t="e">
        <f t="shared" si="13"/>
        <v>#DIV/0!</v>
      </c>
      <c r="O344" s="121" t="str">
        <f t="shared" si="14"/>
        <v>חיפה הדר-כרמל</v>
      </c>
      <c r="P344" s="121" t="str">
        <f t="shared" si="14"/>
        <v>נהריה</v>
      </c>
    </row>
    <row r="345" spans="1:16" x14ac:dyDescent="0.3">
      <c r="A345" s="60">
        <v>14</v>
      </c>
      <c r="B345" s="121">
        <v>2</v>
      </c>
      <c r="C345" s="79"/>
      <c r="D345" s="79"/>
      <c r="E345" s="79"/>
      <c r="F345" s="79"/>
      <c r="G345" s="94"/>
      <c r="I345" s="86" t="e">
        <f t="shared" si="13"/>
        <v>#DIV/0!</v>
      </c>
      <c r="J345" s="87" t="e">
        <f t="shared" si="13"/>
        <v>#DIV/0!</v>
      </c>
      <c r="K345" s="87" t="e">
        <f t="shared" si="13"/>
        <v>#DIV/0!</v>
      </c>
      <c r="L345" s="87" t="e">
        <f t="shared" si="13"/>
        <v>#DIV/0!</v>
      </c>
      <c r="M345" s="88" t="e">
        <f t="shared" si="13"/>
        <v>#DIV/0!</v>
      </c>
      <c r="O345" s="121" t="str">
        <f t="shared" si="14"/>
        <v>חיפה הדר-כרמל</v>
      </c>
      <c r="P345" s="121" t="str">
        <f t="shared" si="14"/>
        <v>עכו</v>
      </c>
    </row>
    <row r="346" spans="1:16" x14ac:dyDescent="0.3">
      <c r="A346" s="60">
        <v>14</v>
      </c>
      <c r="B346" s="121">
        <v>3</v>
      </c>
      <c r="C346" s="79"/>
      <c r="D346" s="79"/>
      <c r="E346" s="79"/>
      <c r="F346" s="79"/>
      <c r="G346" s="94"/>
      <c r="I346" s="86" t="e">
        <f t="shared" si="13"/>
        <v>#DIV/0!</v>
      </c>
      <c r="J346" s="87" t="e">
        <f t="shared" si="13"/>
        <v>#DIV/0!</v>
      </c>
      <c r="K346" s="87" t="e">
        <f t="shared" si="13"/>
        <v>#DIV/0!</v>
      </c>
      <c r="L346" s="87" t="e">
        <f t="shared" si="13"/>
        <v>#DIV/0!</v>
      </c>
      <c r="M346" s="88" t="e">
        <f t="shared" si="13"/>
        <v>#DIV/0!</v>
      </c>
      <c r="O346" s="121" t="str">
        <f t="shared" si="14"/>
        <v>חיפה הדר-כרמל</v>
      </c>
      <c r="P346" s="121" t="str">
        <f t="shared" si="14"/>
        <v>כרמיאל</v>
      </c>
    </row>
    <row r="347" spans="1:16" x14ac:dyDescent="0.3">
      <c r="A347" s="60">
        <v>14</v>
      </c>
      <c r="B347" s="121">
        <v>4</v>
      </c>
      <c r="C347" s="79"/>
      <c r="D347" s="79"/>
      <c r="E347" s="79"/>
      <c r="F347" s="79"/>
      <c r="G347" s="94"/>
      <c r="I347" s="86" t="e">
        <f t="shared" si="13"/>
        <v>#DIV/0!</v>
      </c>
      <c r="J347" s="87" t="e">
        <f t="shared" si="13"/>
        <v>#DIV/0!</v>
      </c>
      <c r="K347" s="87" t="e">
        <f t="shared" si="13"/>
        <v>#DIV/0!</v>
      </c>
      <c r="L347" s="87" t="e">
        <f t="shared" si="13"/>
        <v>#DIV/0!</v>
      </c>
      <c r="M347" s="88" t="e">
        <f t="shared" si="13"/>
        <v>#DIV/0!</v>
      </c>
      <c r="O347" s="121" t="str">
        <f t="shared" si="14"/>
        <v>חיפה הדר-כרמל</v>
      </c>
      <c r="P347" s="121" t="str">
        <f t="shared" si="14"/>
        <v>שפרעם</v>
      </c>
    </row>
    <row r="348" spans="1:16" x14ac:dyDescent="0.3">
      <c r="A348" s="60">
        <v>14</v>
      </c>
      <c r="B348" s="121">
        <v>5</v>
      </c>
      <c r="C348" s="79"/>
      <c r="D348" s="79"/>
      <c r="E348" s="79"/>
      <c r="F348" s="79"/>
      <c r="G348" s="94"/>
      <c r="I348" s="86" t="e">
        <f t="shared" si="13"/>
        <v>#DIV/0!</v>
      </c>
      <c r="J348" s="87" t="e">
        <f t="shared" si="13"/>
        <v>#DIV/0!</v>
      </c>
      <c r="K348" s="87" t="e">
        <f t="shared" si="13"/>
        <v>#DIV/0!</v>
      </c>
      <c r="L348" s="87" t="e">
        <f t="shared" si="13"/>
        <v>#DIV/0!</v>
      </c>
      <c r="M348" s="88" t="e">
        <f t="shared" si="13"/>
        <v>#DIV/0!</v>
      </c>
      <c r="O348" s="121" t="str">
        <f t="shared" si="14"/>
        <v>חיפה הדר-כרמל</v>
      </c>
      <c r="P348" s="121" t="str">
        <f t="shared" si="14"/>
        <v>קרית ים</v>
      </c>
    </row>
    <row r="349" spans="1:16" x14ac:dyDescent="0.3">
      <c r="A349" s="60">
        <v>14</v>
      </c>
      <c r="B349" s="121">
        <v>6</v>
      </c>
      <c r="C349" s="79"/>
      <c r="D349" s="79"/>
      <c r="E349" s="79"/>
      <c r="F349" s="79"/>
      <c r="G349" s="94"/>
      <c r="I349" s="86" t="e">
        <f t="shared" si="13"/>
        <v>#DIV/0!</v>
      </c>
      <c r="J349" s="87" t="e">
        <f t="shared" si="13"/>
        <v>#DIV/0!</v>
      </c>
      <c r="K349" s="87" t="e">
        <f t="shared" si="13"/>
        <v>#DIV/0!</v>
      </c>
      <c r="L349" s="87" t="e">
        <f t="shared" si="13"/>
        <v>#DIV/0!</v>
      </c>
      <c r="M349" s="88" t="e">
        <f t="shared" si="13"/>
        <v>#DIV/0!</v>
      </c>
      <c r="O349" s="121" t="str">
        <f t="shared" si="14"/>
        <v>חיפה הדר-כרמל</v>
      </c>
      <c r="P349" s="121" t="str">
        <f t="shared" si="14"/>
        <v>קרית מוצקין</v>
      </c>
    </row>
    <row r="350" spans="1:16" x14ac:dyDescent="0.3">
      <c r="A350" s="60">
        <v>14</v>
      </c>
      <c r="B350" s="121">
        <v>7</v>
      </c>
      <c r="C350" s="79"/>
      <c r="D350" s="79"/>
      <c r="E350" s="79"/>
      <c r="F350" s="79"/>
      <c r="G350" s="94"/>
      <c r="I350" s="86" t="e">
        <f t="shared" si="13"/>
        <v>#DIV/0!</v>
      </c>
      <c r="J350" s="87" t="e">
        <f t="shared" si="13"/>
        <v>#DIV/0!</v>
      </c>
      <c r="K350" s="87" t="e">
        <f t="shared" si="13"/>
        <v>#DIV/0!</v>
      </c>
      <c r="L350" s="87" t="e">
        <f t="shared" si="13"/>
        <v>#DIV/0!</v>
      </c>
      <c r="M350" s="88" t="e">
        <f t="shared" si="13"/>
        <v>#DIV/0!</v>
      </c>
      <c r="O350" s="121" t="str">
        <f t="shared" si="14"/>
        <v>חיפה הדר-כרמל</v>
      </c>
      <c r="P350" s="121" t="str">
        <f t="shared" si="14"/>
        <v>קרית ביאליק</v>
      </c>
    </row>
    <row r="351" spans="1:16" x14ac:dyDescent="0.3">
      <c r="A351" s="60">
        <v>14</v>
      </c>
      <c r="B351" s="121">
        <v>8</v>
      </c>
      <c r="C351" s="79"/>
      <c r="D351" s="79"/>
      <c r="E351" s="79"/>
      <c r="F351" s="79"/>
      <c r="G351" s="94"/>
      <c r="I351" s="86" t="e">
        <f t="shared" si="13"/>
        <v>#DIV/0!</v>
      </c>
      <c r="J351" s="87" t="e">
        <f t="shared" si="13"/>
        <v>#DIV/0!</v>
      </c>
      <c r="K351" s="87" t="e">
        <f t="shared" si="13"/>
        <v>#DIV/0!</v>
      </c>
      <c r="L351" s="87" t="e">
        <f t="shared" si="13"/>
        <v>#DIV/0!</v>
      </c>
      <c r="M351" s="88" t="e">
        <f t="shared" si="13"/>
        <v>#DIV/0!</v>
      </c>
      <c r="O351" s="121" t="str">
        <f t="shared" si="14"/>
        <v>חיפה הדר-כרמל</v>
      </c>
      <c r="P351" s="121" t="str">
        <f t="shared" si="14"/>
        <v>קרית חיים</v>
      </c>
    </row>
    <row r="352" spans="1:16" x14ac:dyDescent="0.3">
      <c r="A352" s="60">
        <v>14</v>
      </c>
      <c r="B352" s="121">
        <v>9</v>
      </c>
      <c r="C352" s="79"/>
      <c r="D352" s="79"/>
      <c r="E352" s="79"/>
      <c r="F352" s="79"/>
      <c r="G352" s="94"/>
      <c r="I352" s="86" t="e">
        <f t="shared" si="13"/>
        <v>#DIV/0!</v>
      </c>
      <c r="J352" s="87" t="e">
        <f t="shared" si="13"/>
        <v>#DIV/0!</v>
      </c>
      <c r="K352" s="87" t="e">
        <f t="shared" si="13"/>
        <v>#DIV/0!</v>
      </c>
      <c r="L352" s="87" t="e">
        <f t="shared" si="13"/>
        <v>#DIV/0!</v>
      </c>
      <c r="M352" s="88" t="e">
        <f t="shared" si="13"/>
        <v>#DIV/0!</v>
      </c>
      <c r="O352" s="121" t="str">
        <f t="shared" si="14"/>
        <v>חיפה הדר-כרמל</v>
      </c>
      <c r="P352" s="121" t="str">
        <f t="shared" si="14"/>
        <v>קרית אתא</v>
      </c>
    </row>
    <row r="353" spans="1:16" x14ac:dyDescent="0.3">
      <c r="A353" s="60">
        <v>14</v>
      </c>
      <c r="B353" s="121">
        <v>10</v>
      </c>
      <c r="C353" s="79"/>
      <c r="D353" s="79"/>
      <c r="E353" s="79"/>
      <c r="F353" s="79"/>
      <c r="G353" s="94"/>
      <c r="I353" s="86" t="e">
        <f t="shared" si="13"/>
        <v>#DIV/0!</v>
      </c>
      <c r="J353" s="87" t="e">
        <f t="shared" si="13"/>
        <v>#DIV/0!</v>
      </c>
      <c r="K353" s="87" t="e">
        <f t="shared" si="13"/>
        <v>#DIV/0!</v>
      </c>
      <c r="L353" s="87" t="e">
        <f t="shared" si="13"/>
        <v>#DIV/0!</v>
      </c>
      <c r="M353" s="88" t="e">
        <f t="shared" si="13"/>
        <v>#DIV/0!</v>
      </c>
      <c r="O353" s="121" t="str">
        <f t="shared" si="14"/>
        <v>חיפה הדר-כרמל</v>
      </c>
      <c r="P353" s="121" t="str">
        <f t="shared" si="14"/>
        <v>כפר מנדא</v>
      </c>
    </row>
    <row r="354" spans="1:16" x14ac:dyDescent="0.3">
      <c r="A354" s="60">
        <v>14</v>
      </c>
      <c r="B354" s="121">
        <v>11</v>
      </c>
      <c r="C354" s="79"/>
      <c r="D354" s="79"/>
      <c r="E354" s="79"/>
      <c r="F354" s="79"/>
      <c r="G354" s="94"/>
      <c r="I354" s="86" t="e">
        <f t="shared" si="13"/>
        <v>#DIV/0!</v>
      </c>
      <c r="J354" s="87" t="e">
        <f t="shared" si="13"/>
        <v>#DIV/0!</v>
      </c>
      <c r="K354" s="87" t="e">
        <f t="shared" si="13"/>
        <v>#DIV/0!</v>
      </c>
      <c r="L354" s="87" t="e">
        <f t="shared" si="13"/>
        <v>#DIV/0!</v>
      </c>
      <c r="M354" s="88" t="e">
        <f t="shared" si="13"/>
        <v>#DIV/0!</v>
      </c>
      <c r="O354" s="121" t="str">
        <f t="shared" si="14"/>
        <v>חיפה הדר-כרמל</v>
      </c>
      <c r="P354" s="121" t="str">
        <f t="shared" si="14"/>
        <v>זבולון</v>
      </c>
    </row>
    <row r="355" spans="1:16" x14ac:dyDescent="0.3">
      <c r="A355" s="60">
        <v>14</v>
      </c>
      <c r="B355" s="121">
        <v>12</v>
      </c>
      <c r="C355" s="79"/>
      <c r="D355" s="79"/>
      <c r="E355" s="79"/>
      <c r="F355" s="79"/>
      <c r="G355" s="94"/>
      <c r="I355" s="86" t="e">
        <f t="shared" si="13"/>
        <v>#DIV/0!</v>
      </c>
      <c r="J355" s="87" t="e">
        <f t="shared" si="13"/>
        <v>#DIV/0!</v>
      </c>
      <c r="K355" s="87" t="e">
        <f t="shared" si="13"/>
        <v>#DIV/0!</v>
      </c>
      <c r="L355" s="87" t="e">
        <f t="shared" si="13"/>
        <v>#DIV/0!</v>
      </c>
      <c r="M355" s="88" t="e">
        <f t="shared" si="13"/>
        <v>#DIV/0!</v>
      </c>
      <c r="O355" s="121" t="str">
        <f t="shared" si="14"/>
        <v>חיפה הדר-כרמל</v>
      </c>
      <c r="P355" s="121" t="str">
        <f t="shared" si="14"/>
        <v>חיפה מפרץ</v>
      </c>
    </row>
    <row r="356" spans="1:16" x14ac:dyDescent="0.3">
      <c r="A356" s="60">
        <v>14</v>
      </c>
      <c r="B356" s="121">
        <v>13</v>
      </c>
      <c r="C356" s="79"/>
      <c r="D356" s="79"/>
      <c r="E356" s="79"/>
      <c r="F356" s="79"/>
      <c r="G356" s="94"/>
      <c r="I356" s="86" t="e">
        <f t="shared" si="13"/>
        <v>#DIV/0!</v>
      </c>
      <c r="J356" s="87" t="e">
        <f t="shared" si="13"/>
        <v>#DIV/0!</v>
      </c>
      <c r="K356" s="87" t="e">
        <f t="shared" si="13"/>
        <v>#DIV/0!</v>
      </c>
      <c r="L356" s="87" t="e">
        <f t="shared" si="13"/>
        <v>#DIV/0!</v>
      </c>
      <c r="M356" s="88" t="e">
        <f t="shared" si="13"/>
        <v>#DIV/0!</v>
      </c>
      <c r="O356" s="121" t="str">
        <f t="shared" si="14"/>
        <v>חיפה הדר-כרמל</v>
      </c>
      <c r="P356" s="121" t="str">
        <f t="shared" si="14"/>
        <v>חיפה עיר תחתית</v>
      </c>
    </row>
    <row r="357" spans="1:16" x14ac:dyDescent="0.3">
      <c r="A357" s="60">
        <v>14</v>
      </c>
      <c r="B357" s="121">
        <v>14</v>
      </c>
      <c r="C357" s="79"/>
      <c r="D357" s="79"/>
      <c r="E357" s="79"/>
      <c r="F357" s="79"/>
      <c r="G357" s="94"/>
      <c r="I357" s="86" t="e">
        <f t="shared" si="13"/>
        <v>#DIV/0!</v>
      </c>
      <c r="J357" s="87" t="e">
        <f t="shared" si="13"/>
        <v>#DIV/0!</v>
      </c>
      <c r="K357" s="87" t="e">
        <f t="shared" si="13"/>
        <v>#DIV/0!</v>
      </c>
      <c r="L357" s="87" t="e">
        <f t="shared" si="13"/>
        <v>#DIV/0!</v>
      </c>
      <c r="M357" s="88" t="e">
        <f t="shared" si="13"/>
        <v>#DIV/0!</v>
      </c>
      <c r="O357" s="121" t="str">
        <f t="shared" si="14"/>
        <v>חיפה הדר-כרמל</v>
      </c>
      <c r="P357" s="121" t="str">
        <f t="shared" si="14"/>
        <v>חיפה הדר-כרמל</v>
      </c>
    </row>
    <row r="358" spans="1:16" x14ac:dyDescent="0.3">
      <c r="A358" s="60">
        <v>14</v>
      </c>
      <c r="B358" s="121">
        <v>15</v>
      </c>
      <c r="C358" s="79"/>
      <c r="D358" s="79"/>
      <c r="E358" s="79"/>
      <c r="F358" s="79"/>
      <c r="G358" s="94"/>
      <c r="I358" s="86" t="e">
        <f t="shared" si="13"/>
        <v>#DIV/0!</v>
      </c>
      <c r="J358" s="87" t="e">
        <f t="shared" si="13"/>
        <v>#DIV/0!</v>
      </c>
      <c r="K358" s="87" t="e">
        <f t="shared" si="13"/>
        <v>#DIV/0!</v>
      </c>
      <c r="L358" s="87" t="e">
        <f t="shared" si="13"/>
        <v>#DIV/0!</v>
      </c>
      <c r="M358" s="88" t="e">
        <f t="shared" si="13"/>
        <v>#DIV/0!</v>
      </c>
      <c r="O358" s="121" t="str">
        <f t="shared" si="14"/>
        <v>חיפה הדר-כרמל</v>
      </c>
      <c r="P358" s="121" t="str">
        <f t="shared" si="14"/>
        <v>חיפה מערב</v>
      </c>
    </row>
    <row r="359" spans="1:16" x14ac:dyDescent="0.3">
      <c r="A359" s="60">
        <v>14</v>
      </c>
      <c r="B359" s="121">
        <v>16</v>
      </c>
      <c r="C359" s="79"/>
      <c r="D359" s="79"/>
      <c r="E359" s="79"/>
      <c r="F359" s="79"/>
      <c r="G359" s="94"/>
      <c r="I359" s="86" t="e">
        <f t="shared" si="13"/>
        <v>#DIV/0!</v>
      </c>
      <c r="J359" s="87" t="e">
        <f t="shared" si="13"/>
        <v>#DIV/0!</v>
      </c>
      <c r="K359" s="87" t="e">
        <f t="shared" si="13"/>
        <v>#DIV/0!</v>
      </c>
      <c r="L359" s="87" t="e">
        <f t="shared" si="13"/>
        <v>#DIV/0!</v>
      </c>
      <c r="M359" s="88" t="e">
        <f t="shared" si="13"/>
        <v>#DIV/0!</v>
      </c>
      <c r="O359" s="121" t="str">
        <f t="shared" si="14"/>
        <v>חיפה הדר-כרמל</v>
      </c>
      <c r="P359" s="121" t="str">
        <f t="shared" si="14"/>
        <v>חיפה כרמל</v>
      </c>
    </row>
    <row r="360" spans="1:16" x14ac:dyDescent="0.3">
      <c r="A360" s="60">
        <v>14</v>
      </c>
      <c r="B360" s="121">
        <v>17</v>
      </c>
      <c r="C360" s="79"/>
      <c r="D360" s="79"/>
      <c r="E360" s="79"/>
      <c r="F360" s="79"/>
      <c r="G360" s="94"/>
      <c r="I360" s="86" t="e">
        <f t="shared" si="13"/>
        <v>#DIV/0!</v>
      </c>
      <c r="J360" s="87" t="e">
        <f t="shared" si="13"/>
        <v>#DIV/0!</v>
      </c>
      <c r="K360" s="87" t="e">
        <f t="shared" si="13"/>
        <v>#DIV/0!</v>
      </c>
      <c r="L360" s="87" t="e">
        <f t="shared" si="13"/>
        <v>#DIV/0!</v>
      </c>
      <c r="M360" s="88" t="e">
        <f t="shared" si="13"/>
        <v>#DIV/0!</v>
      </c>
      <c r="O360" s="121" t="str">
        <f t="shared" si="14"/>
        <v>חיפה הדר-כרמל</v>
      </c>
      <c r="P360" s="121" t="str">
        <f t="shared" si="14"/>
        <v>חיפה נווה שאנן</v>
      </c>
    </row>
    <row r="361" spans="1:16" x14ac:dyDescent="0.3">
      <c r="A361" s="60">
        <v>14</v>
      </c>
      <c r="B361" s="121">
        <v>18</v>
      </c>
      <c r="C361" s="79"/>
      <c r="D361" s="79"/>
      <c r="E361" s="79"/>
      <c r="F361" s="79"/>
      <c r="G361" s="94"/>
      <c r="I361" s="86" t="e">
        <f t="shared" si="13"/>
        <v>#DIV/0!</v>
      </c>
      <c r="J361" s="87" t="e">
        <f t="shared" si="13"/>
        <v>#DIV/0!</v>
      </c>
      <c r="K361" s="87" t="e">
        <f t="shared" si="13"/>
        <v>#DIV/0!</v>
      </c>
      <c r="L361" s="87" t="e">
        <f t="shared" si="13"/>
        <v>#DIV/0!</v>
      </c>
      <c r="M361" s="88" t="e">
        <f t="shared" si="13"/>
        <v>#DIV/0!</v>
      </c>
      <c r="O361" s="121" t="str">
        <f t="shared" si="14"/>
        <v>חיפה הדר-כרמל</v>
      </c>
      <c r="P361" s="121" t="str">
        <f t="shared" si="14"/>
        <v>נשר</v>
      </c>
    </row>
    <row r="362" spans="1:16" x14ac:dyDescent="0.3">
      <c r="A362" s="60">
        <v>14</v>
      </c>
      <c r="B362" s="121">
        <v>19</v>
      </c>
      <c r="C362" s="79"/>
      <c r="D362" s="79"/>
      <c r="E362" s="79"/>
      <c r="F362" s="79"/>
      <c r="G362" s="94"/>
      <c r="I362" s="86" t="e">
        <f t="shared" si="13"/>
        <v>#DIV/0!</v>
      </c>
      <c r="J362" s="87" t="e">
        <f t="shared" si="13"/>
        <v>#DIV/0!</v>
      </c>
      <c r="K362" s="87" t="e">
        <f t="shared" si="13"/>
        <v>#DIV/0!</v>
      </c>
      <c r="L362" s="87" t="e">
        <f t="shared" si="13"/>
        <v>#DIV/0!</v>
      </c>
      <c r="M362" s="88" t="e">
        <f t="shared" si="13"/>
        <v>#DIV/0!</v>
      </c>
      <c r="O362" s="121" t="str">
        <f t="shared" si="14"/>
        <v>חיפה הדר-כרמל</v>
      </c>
      <c r="P362" s="121" t="str">
        <f t="shared" si="14"/>
        <v>נצרת</v>
      </c>
    </row>
    <row r="363" spans="1:16" x14ac:dyDescent="0.3">
      <c r="A363" s="60">
        <v>14</v>
      </c>
      <c r="B363" s="121">
        <v>20</v>
      </c>
      <c r="C363" s="79"/>
      <c r="D363" s="79"/>
      <c r="E363" s="79"/>
      <c r="F363" s="79"/>
      <c r="G363" s="94"/>
      <c r="I363" s="86" t="e">
        <f t="shared" si="13"/>
        <v>#DIV/0!</v>
      </c>
      <c r="J363" s="87" t="e">
        <f t="shared" si="13"/>
        <v>#DIV/0!</v>
      </c>
      <c r="K363" s="87" t="e">
        <f t="shared" si="13"/>
        <v>#DIV/0!</v>
      </c>
      <c r="L363" s="87" t="e">
        <f t="shared" si="13"/>
        <v>#DIV/0!</v>
      </c>
      <c r="M363" s="88" t="e">
        <f t="shared" si="13"/>
        <v>#DIV/0!</v>
      </c>
      <c r="O363" s="121" t="str">
        <f t="shared" si="14"/>
        <v>חיפה הדר-כרמל</v>
      </c>
      <c r="P363" s="121" t="str">
        <f t="shared" si="14"/>
        <v>נצרת-עילית</v>
      </c>
    </row>
    <row r="364" spans="1:16" x14ac:dyDescent="0.3">
      <c r="A364" s="60">
        <v>14</v>
      </c>
      <c r="B364" s="121">
        <v>21</v>
      </c>
      <c r="C364" s="79"/>
      <c r="D364" s="79"/>
      <c r="E364" s="79"/>
      <c r="F364" s="79"/>
      <c r="G364" s="94"/>
      <c r="I364" s="86" t="e">
        <f t="shared" si="13"/>
        <v>#DIV/0!</v>
      </c>
      <c r="J364" s="87" t="e">
        <f t="shared" si="13"/>
        <v>#DIV/0!</v>
      </c>
      <c r="K364" s="87" t="e">
        <f t="shared" si="13"/>
        <v>#DIV/0!</v>
      </c>
      <c r="L364" s="87" t="e">
        <f t="shared" si="13"/>
        <v>#DIV/0!</v>
      </c>
      <c r="M364" s="88" t="e">
        <f t="shared" si="13"/>
        <v>#DIV/0!</v>
      </c>
      <c r="O364" s="121" t="str">
        <f t="shared" si="14"/>
        <v>חיפה הדר-כרמל</v>
      </c>
      <c r="P364" s="121" t="str">
        <f t="shared" si="14"/>
        <v>מגדל העמק</v>
      </c>
    </row>
    <row r="365" spans="1:16" x14ac:dyDescent="0.3">
      <c r="A365" s="60">
        <v>14</v>
      </c>
      <c r="B365" s="121">
        <v>22</v>
      </c>
      <c r="C365" s="79"/>
      <c r="D365" s="79"/>
      <c r="E365" s="79"/>
      <c r="F365" s="79"/>
      <c r="G365" s="94"/>
      <c r="I365" s="86" t="e">
        <f t="shared" si="13"/>
        <v>#DIV/0!</v>
      </c>
      <c r="J365" s="87" t="e">
        <f t="shared" si="13"/>
        <v>#DIV/0!</v>
      </c>
      <c r="K365" s="87" t="e">
        <f t="shared" si="13"/>
        <v>#DIV/0!</v>
      </c>
      <c r="L365" s="87" t="e">
        <f t="shared" si="13"/>
        <v>#DIV/0!</v>
      </c>
      <c r="M365" s="88" t="e">
        <f t="shared" si="13"/>
        <v>#DIV/0!</v>
      </c>
      <c r="O365" s="121" t="str">
        <f t="shared" si="14"/>
        <v>חיפה הדר-כרמל</v>
      </c>
      <c r="P365" s="121" t="str">
        <f t="shared" si="14"/>
        <v>יוקנעם</v>
      </c>
    </row>
    <row r="366" spans="1:16" x14ac:dyDescent="0.3">
      <c r="A366" s="60">
        <v>14</v>
      </c>
      <c r="B366" s="121">
        <v>23</v>
      </c>
      <c r="C366" s="79"/>
      <c r="D366" s="79"/>
      <c r="E366" s="79"/>
      <c r="F366" s="79"/>
      <c r="G366" s="94"/>
      <c r="I366" s="86" t="e">
        <f t="shared" si="13"/>
        <v>#DIV/0!</v>
      </c>
      <c r="J366" s="87" t="e">
        <f t="shared" si="13"/>
        <v>#DIV/0!</v>
      </c>
      <c r="K366" s="87" t="e">
        <f t="shared" si="13"/>
        <v>#DIV/0!</v>
      </c>
      <c r="L366" s="87" t="e">
        <f t="shared" si="13"/>
        <v>#DIV/0!</v>
      </c>
      <c r="M366" s="88" t="e">
        <f t="shared" si="13"/>
        <v>#DIV/0!</v>
      </c>
      <c r="O366" s="121" t="str">
        <f t="shared" si="14"/>
        <v>חיפה הדר-כרמל</v>
      </c>
      <c r="P366" s="121" t="str">
        <f t="shared" si="14"/>
        <v>דלית אל כרמל</v>
      </c>
    </row>
    <row r="367" spans="1:16" x14ac:dyDescent="0.3">
      <c r="A367" s="60">
        <v>14</v>
      </c>
      <c r="B367" s="121">
        <v>24</v>
      </c>
      <c r="C367" s="79"/>
      <c r="D367" s="79"/>
      <c r="E367" s="79"/>
      <c r="F367" s="79"/>
      <c r="G367" s="94"/>
      <c r="I367" s="86" t="e">
        <f t="shared" si="13"/>
        <v>#DIV/0!</v>
      </c>
      <c r="J367" s="87" t="e">
        <f t="shared" si="13"/>
        <v>#DIV/0!</v>
      </c>
      <c r="K367" s="87" t="e">
        <f t="shared" si="13"/>
        <v>#DIV/0!</v>
      </c>
      <c r="L367" s="87" t="e">
        <f t="shared" si="13"/>
        <v>#DIV/0!</v>
      </c>
      <c r="M367" s="88" t="e">
        <f t="shared" si="13"/>
        <v>#DIV/0!</v>
      </c>
      <c r="O367" s="121" t="str">
        <f t="shared" si="14"/>
        <v>חיפה הדר-כרמל</v>
      </c>
      <c r="P367" s="121" t="str">
        <f t="shared" si="14"/>
        <v>חוף הכרמל</v>
      </c>
    </row>
    <row r="368" spans="1:16" x14ac:dyDescent="0.3">
      <c r="A368" s="60">
        <v>14</v>
      </c>
      <c r="B368" s="121">
        <v>25</v>
      </c>
      <c r="C368" s="79"/>
      <c r="D368" s="79"/>
      <c r="E368" s="79"/>
      <c r="F368" s="79"/>
      <c r="G368" s="94"/>
      <c r="I368" s="86" t="e">
        <f t="shared" si="13"/>
        <v>#DIV/0!</v>
      </c>
      <c r="J368" s="87" t="e">
        <f t="shared" si="13"/>
        <v>#DIV/0!</v>
      </c>
      <c r="K368" s="87" t="e">
        <f t="shared" si="13"/>
        <v>#DIV/0!</v>
      </c>
      <c r="L368" s="87" t="e">
        <f t="shared" si="13"/>
        <v>#DIV/0!</v>
      </c>
      <c r="M368" s="88" t="e">
        <f t="shared" si="13"/>
        <v>#DIV/0!</v>
      </c>
      <c r="O368" s="121" t="str">
        <f t="shared" si="14"/>
        <v>חיפה הדר-כרמל</v>
      </c>
      <c r="P368" s="121" t="str">
        <f t="shared" si="14"/>
        <v>זכרון יעקב</v>
      </c>
    </row>
    <row r="369" spans="1:16" x14ac:dyDescent="0.3">
      <c r="A369" s="60">
        <v>14</v>
      </c>
      <c r="B369" s="121">
        <v>30</v>
      </c>
      <c r="C369" s="79"/>
      <c r="D369" s="79"/>
      <c r="E369" s="79"/>
      <c r="F369" s="79"/>
      <c r="G369" s="94"/>
      <c r="I369" s="86" t="e">
        <f t="shared" si="13"/>
        <v>#DIV/0!</v>
      </c>
      <c r="J369" s="87" t="e">
        <f t="shared" si="13"/>
        <v>#DIV/0!</v>
      </c>
      <c r="K369" s="87" t="e">
        <f t="shared" si="13"/>
        <v>#DIV/0!</v>
      </c>
      <c r="L369" s="87" t="e">
        <f t="shared" si="13"/>
        <v>#DIV/0!</v>
      </c>
      <c r="M369" s="88" t="e">
        <f t="shared" si="13"/>
        <v>#DIV/0!</v>
      </c>
      <c r="O369" s="121" t="str">
        <f t="shared" si="14"/>
        <v>חיפה הדר-כרמל</v>
      </c>
      <c r="P369" s="121" t="str">
        <f t="shared" si="14"/>
        <v>סכנין</v>
      </c>
    </row>
    <row r="370" spans="1:16" x14ac:dyDescent="0.3">
      <c r="A370" s="60">
        <v>15</v>
      </c>
      <c r="B370" s="121">
        <v>1</v>
      </c>
      <c r="C370" s="79"/>
      <c r="D370" s="79"/>
      <c r="E370" s="79"/>
      <c r="F370" s="79"/>
      <c r="G370" s="94"/>
      <c r="I370" s="86" t="e">
        <f t="shared" si="13"/>
        <v>#DIV/0!</v>
      </c>
      <c r="J370" s="87" t="e">
        <f t="shared" si="13"/>
        <v>#DIV/0!</v>
      </c>
      <c r="K370" s="87" t="e">
        <f t="shared" si="13"/>
        <v>#DIV/0!</v>
      </c>
      <c r="L370" s="87" t="e">
        <f t="shared" si="13"/>
        <v>#DIV/0!</v>
      </c>
      <c r="M370" s="88" t="e">
        <f t="shared" si="13"/>
        <v>#DIV/0!</v>
      </c>
      <c r="O370" s="121" t="str">
        <f t="shared" si="14"/>
        <v>חיפה מערב</v>
      </c>
      <c r="P370" s="121" t="str">
        <f t="shared" si="14"/>
        <v>נהריה</v>
      </c>
    </row>
    <row r="371" spans="1:16" x14ac:dyDescent="0.3">
      <c r="A371" s="60">
        <v>15</v>
      </c>
      <c r="B371" s="121">
        <v>2</v>
      </c>
      <c r="C371" s="79"/>
      <c r="D371" s="79"/>
      <c r="E371" s="79"/>
      <c r="F371" s="79"/>
      <c r="G371" s="94"/>
      <c r="I371" s="86" t="e">
        <f t="shared" si="13"/>
        <v>#DIV/0!</v>
      </c>
      <c r="J371" s="87" t="e">
        <f t="shared" si="13"/>
        <v>#DIV/0!</v>
      </c>
      <c r="K371" s="87" t="e">
        <f t="shared" si="13"/>
        <v>#DIV/0!</v>
      </c>
      <c r="L371" s="87" t="e">
        <f t="shared" si="13"/>
        <v>#DIV/0!</v>
      </c>
      <c r="M371" s="88" t="e">
        <f t="shared" si="13"/>
        <v>#DIV/0!</v>
      </c>
      <c r="O371" s="121" t="str">
        <f t="shared" si="14"/>
        <v>חיפה מערב</v>
      </c>
      <c r="P371" s="121" t="str">
        <f t="shared" si="14"/>
        <v>עכו</v>
      </c>
    </row>
    <row r="372" spans="1:16" x14ac:dyDescent="0.3">
      <c r="A372" s="60">
        <v>15</v>
      </c>
      <c r="B372" s="121">
        <v>3</v>
      </c>
      <c r="C372" s="79"/>
      <c r="D372" s="79"/>
      <c r="E372" s="79"/>
      <c r="F372" s="79"/>
      <c r="G372" s="94"/>
      <c r="I372" s="86" t="e">
        <f t="shared" si="13"/>
        <v>#DIV/0!</v>
      </c>
      <c r="J372" s="87" t="e">
        <f t="shared" si="13"/>
        <v>#DIV/0!</v>
      </c>
      <c r="K372" s="87" t="e">
        <f t="shared" si="13"/>
        <v>#DIV/0!</v>
      </c>
      <c r="L372" s="87" t="e">
        <f t="shared" si="13"/>
        <v>#DIV/0!</v>
      </c>
      <c r="M372" s="88" t="e">
        <f t="shared" si="13"/>
        <v>#DIV/0!</v>
      </c>
      <c r="O372" s="121" t="str">
        <f t="shared" si="14"/>
        <v>חיפה מערב</v>
      </c>
      <c r="P372" s="121" t="str">
        <f t="shared" si="14"/>
        <v>כרמיאל</v>
      </c>
    </row>
    <row r="373" spans="1:16" x14ac:dyDescent="0.3">
      <c r="A373" s="60">
        <v>15</v>
      </c>
      <c r="B373" s="121">
        <v>4</v>
      </c>
      <c r="C373" s="79"/>
      <c r="D373" s="79"/>
      <c r="E373" s="79"/>
      <c r="F373" s="79"/>
      <c r="G373" s="94"/>
      <c r="I373" s="86" t="e">
        <f t="shared" si="13"/>
        <v>#DIV/0!</v>
      </c>
      <c r="J373" s="87" t="e">
        <f t="shared" si="13"/>
        <v>#DIV/0!</v>
      </c>
      <c r="K373" s="87" t="e">
        <f t="shared" si="13"/>
        <v>#DIV/0!</v>
      </c>
      <c r="L373" s="87" t="e">
        <f t="shared" si="13"/>
        <v>#DIV/0!</v>
      </c>
      <c r="M373" s="88" t="e">
        <f t="shared" si="13"/>
        <v>#DIV/0!</v>
      </c>
      <c r="O373" s="121" t="str">
        <f t="shared" si="14"/>
        <v>חיפה מערב</v>
      </c>
      <c r="P373" s="121" t="str">
        <f t="shared" si="14"/>
        <v>שפרעם</v>
      </c>
    </row>
    <row r="374" spans="1:16" x14ac:dyDescent="0.3">
      <c r="A374" s="60">
        <v>15</v>
      </c>
      <c r="B374" s="121">
        <v>5</v>
      </c>
      <c r="C374" s="79"/>
      <c r="D374" s="79"/>
      <c r="E374" s="79"/>
      <c r="F374" s="79"/>
      <c r="G374" s="94"/>
      <c r="I374" s="86" t="e">
        <f t="shared" si="13"/>
        <v>#DIV/0!</v>
      </c>
      <c r="J374" s="87" t="e">
        <f t="shared" si="13"/>
        <v>#DIV/0!</v>
      </c>
      <c r="K374" s="87" t="e">
        <f t="shared" si="13"/>
        <v>#DIV/0!</v>
      </c>
      <c r="L374" s="87" t="e">
        <f t="shared" si="13"/>
        <v>#DIV/0!</v>
      </c>
      <c r="M374" s="88" t="e">
        <f t="shared" si="13"/>
        <v>#DIV/0!</v>
      </c>
      <c r="O374" s="121" t="str">
        <f t="shared" si="14"/>
        <v>חיפה מערב</v>
      </c>
      <c r="P374" s="121" t="str">
        <f t="shared" si="14"/>
        <v>קרית ים</v>
      </c>
    </row>
    <row r="375" spans="1:16" x14ac:dyDescent="0.3">
      <c r="A375" s="60">
        <v>15</v>
      </c>
      <c r="B375" s="121">
        <v>6</v>
      </c>
      <c r="C375" s="79"/>
      <c r="D375" s="79"/>
      <c r="E375" s="79"/>
      <c r="F375" s="79"/>
      <c r="G375" s="94"/>
      <c r="I375" s="86" t="e">
        <f t="shared" si="13"/>
        <v>#DIV/0!</v>
      </c>
      <c r="J375" s="87" t="e">
        <f t="shared" si="13"/>
        <v>#DIV/0!</v>
      </c>
      <c r="K375" s="87" t="e">
        <f t="shared" si="13"/>
        <v>#DIV/0!</v>
      </c>
      <c r="L375" s="87" t="e">
        <f t="shared" si="13"/>
        <v>#DIV/0!</v>
      </c>
      <c r="M375" s="88" t="e">
        <f t="shared" si="13"/>
        <v>#DIV/0!</v>
      </c>
      <c r="O375" s="121" t="str">
        <f t="shared" si="14"/>
        <v>חיפה מערב</v>
      </c>
      <c r="P375" s="121" t="str">
        <f t="shared" si="14"/>
        <v>קרית מוצקין</v>
      </c>
    </row>
    <row r="376" spans="1:16" x14ac:dyDescent="0.3">
      <c r="A376" s="60">
        <v>15</v>
      </c>
      <c r="B376" s="121">
        <v>7</v>
      </c>
      <c r="C376" s="79"/>
      <c r="D376" s="79"/>
      <c r="E376" s="79"/>
      <c r="F376" s="79"/>
      <c r="G376" s="94"/>
      <c r="I376" s="86" t="e">
        <f t="shared" ref="I376:M426" si="15">C376/SUM($C376:$G376)</f>
        <v>#DIV/0!</v>
      </c>
      <c r="J376" s="87" t="e">
        <f t="shared" si="15"/>
        <v>#DIV/0!</v>
      </c>
      <c r="K376" s="87" t="e">
        <f t="shared" si="15"/>
        <v>#DIV/0!</v>
      </c>
      <c r="L376" s="87" t="e">
        <f t="shared" si="15"/>
        <v>#DIV/0!</v>
      </c>
      <c r="M376" s="88" t="e">
        <f t="shared" si="15"/>
        <v>#DIV/0!</v>
      </c>
      <c r="O376" s="121" t="str">
        <f t="shared" si="14"/>
        <v>חיפה מערב</v>
      </c>
      <c r="P376" s="121" t="str">
        <f t="shared" si="14"/>
        <v>קרית ביאליק</v>
      </c>
    </row>
    <row r="377" spans="1:16" x14ac:dyDescent="0.3">
      <c r="A377" s="60">
        <v>15</v>
      </c>
      <c r="B377" s="121">
        <v>8</v>
      </c>
      <c r="C377" s="79"/>
      <c r="D377" s="79"/>
      <c r="E377" s="79"/>
      <c r="F377" s="79"/>
      <c r="G377" s="94"/>
      <c r="I377" s="86" t="e">
        <f t="shared" si="15"/>
        <v>#DIV/0!</v>
      </c>
      <c r="J377" s="87" t="e">
        <f t="shared" si="15"/>
        <v>#DIV/0!</v>
      </c>
      <c r="K377" s="87" t="e">
        <f t="shared" si="15"/>
        <v>#DIV/0!</v>
      </c>
      <c r="L377" s="87" t="e">
        <f t="shared" si="15"/>
        <v>#DIV/0!</v>
      </c>
      <c r="M377" s="88" t="e">
        <f t="shared" si="15"/>
        <v>#DIV/0!</v>
      </c>
      <c r="O377" s="121" t="str">
        <f t="shared" si="14"/>
        <v>חיפה מערב</v>
      </c>
      <c r="P377" s="121" t="str">
        <f t="shared" si="14"/>
        <v>קרית חיים</v>
      </c>
    </row>
    <row r="378" spans="1:16" x14ac:dyDescent="0.3">
      <c r="A378" s="60">
        <v>15</v>
      </c>
      <c r="B378" s="121">
        <v>9</v>
      </c>
      <c r="C378" s="79"/>
      <c r="D378" s="79"/>
      <c r="E378" s="79"/>
      <c r="F378" s="79"/>
      <c r="G378" s="94"/>
      <c r="I378" s="86" t="e">
        <f t="shared" si="15"/>
        <v>#DIV/0!</v>
      </c>
      <c r="J378" s="87" t="e">
        <f t="shared" si="15"/>
        <v>#DIV/0!</v>
      </c>
      <c r="K378" s="87" t="e">
        <f t="shared" si="15"/>
        <v>#DIV/0!</v>
      </c>
      <c r="L378" s="87" t="e">
        <f t="shared" si="15"/>
        <v>#DIV/0!</v>
      </c>
      <c r="M378" s="88" t="e">
        <f t="shared" si="15"/>
        <v>#DIV/0!</v>
      </c>
      <c r="O378" s="121" t="str">
        <f t="shared" si="14"/>
        <v>חיפה מערב</v>
      </c>
      <c r="P378" s="121" t="str">
        <f t="shared" si="14"/>
        <v>קרית אתא</v>
      </c>
    </row>
    <row r="379" spans="1:16" x14ac:dyDescent="0.3">
      <c r="A379" s="60">
        <v>15</v>
      </c>
      <c r="B379" s="121">
        <v>10</v>
      </c>
      <c r="C379" s="79"/>
      <c r="D379" s="79"/>
      <c r="E379" s="79"/>
      <c r="F379" s="79"/>
      <c r="G379" s="94"/>
      <c r="I379" s="86" t="e">
        <f t="shared" si="15"/>
        <v>#DIV/0!</v>
      </c>
      <c r="J379" s="87" t="e">
        <f t="shared" si="15"/>
        <v>#DIV/0!</v>
      </c>
      <c r="K379" s="87" t="e">
        <f t="shared" si="15"/>
        <v>#DIV/0!</v>
      </c>
      <c r="L379" s="87" t="e">
        <f t="shared" si="15"/>
        <v>#DIV/0!</v>
      </c>
      <c r="M379" s="88" t="e">
        <f t="shared" si="15"/>
        <v>#DIV/0!</v>
      </c>
      <c r="O379" s="121" t="str">
        <f t="shared" si="14"/>
        <v>חיפה מערב</v>
      </c>
      <c r="P379" s="121" t="str">
        <f t="shared" si="14"/>
        <v>כפר מנדא</v>
      </c>
    </row>
    <row r="380" spans="1:16" x14ac:dyDescent="0.3">
      <c r="A380" s="60">
        <v>15</v>
      </c>
      <c r="B380" s="121">
        <v>11</v>
      </c>
      <c r="C380" s="79"/>
      <c r="D380" s="79"/>
      <c r="E380" s="79"/>
      <c r="F380" s="79"/>
      <c r="G380" s="94"/>
      <c r="I380" s="86" t="e">
        <f t="shared" si="15"/>
        <v>#DIV/0!</v>
      </c>
      <c r="J380" s="87" t="e">
        <f t="shared" si="15"/>
        <v>#DIV/0!</v>
      </c>
      <c r="K380" s="87" t="e">
        <f t="shared" si="15"/>
        <v>#DIV/0!</v>
      </c>
      <c r="L380" s="87" t="e">
        <f t="shared" si="15"/>
        <v>#DIV/0!</v>
      </c>
      <c r="M380" s="88" t="e">
        <f t="shared" si="15"/>
        <v>#DIV/0!</v>
      </c>
      <c r="O380" s="121" t="str">
        <f t="shared" si="14"/>
        <v>חיפה מערב</v>
      </c>
      <c r="P380" s="121" t="str">
        <f t="shared" si="14"/>
        <v>זבולון</v>
      </c>
    </row>
    <row r="381" spans="1:16" x14ac:dyDescent="0.3">
      <c r="A381" s="60">
        <v>15</v>
      </c>
      <c r="B381" s="121">
        <v>12</v>
      </c>
      <c r="C381" s="79"/>
      <c r="D381" s="79"/>
      <c r="E381" s="79"/>
      <c r="F381" s="79"/>
      <c r="G381" s="94"/>
      <c r="I381" s="86" t="e">
        <f t="shared" si="15"/>
        <v>#DIV/0!</v>
      </c>
      <c r="J381" s="87" t="e">
        <f t="shared" si="15"/>
        <v>#DIV/0!</v>
      </c>
      <c r="K381" s="87" t="e">
        <f t="shared" si="15"/>
        <v>#DIV/0!</v>
      </c>
      <c r="L381" s="87" t="e">
        <f t="shared" si="15"/>
        <v>#DIV/0!</v>
      </c>
      <c r="M381" s="88" t="e">
        <f t="shared" si="15"/>
        <v>#DIV/0!</v>
      </c>
      <c r="O381" s="121" t="str">
        <f t="shared" si="14"/>
        <v>חיפה מערב</v>
      </c>
      <c r="P381" s="121" t="str">
        <f t="shared" si="14"/>
        <v>חיפה מפרץ</v>
      </c>
    </row>
    <row r="382" spans="1:16" x14ac:dyDescent="0.3">
      <c r="A382" s="60">
        <v>15</v>
      </c>
      <c r="B382" s="121">
        <v>13</v>
      </c>
      <c r="C382" s="79"/>
      <c r="D382" s="79"/>
      <c r="E382" s="79"/>
      <c r="F382" s="79"/>
      <c r="G382" s="94"/>
      <c r="I382" s="86" t="e">
        <f t="shared" si="15"/>
        <v>#DIV/0!</v>
      </c>
      <c r="J382" s="87" t="e">
        <f t="shared" si="15"/>
        <v>#DIV/0!</v>
      </c>
      <c r="K382" s="87" t="e">
        <f t="shared" si="15"/>
        <v>#DIV/0!</v>
      </c>
      <c r="L382" s="87" t="e">
        <f t="shared" si="15"/>
        <v>#DIV/0!</v>
      </c>
      <c r="M382" s="88" t="e">
        <f t="shared" si="15"/>
        <v>#DIV/0!</v>
      </c>
      <c r="O382" s="121" t="str">
        <f t="shared" si="14"/>
        <v>חיפה מערב</v>
      </c>
      <c r="P382" s="121" t="str">
        <f t="shared" si="14"/>
        <v>חיפה עיר תחתית</v>
      </c>
    </row>
    <row r="383" spans="1:16" x14ac:dyDescent="0.3">
      <c r="A383" s="60">
        <v>15</v>
      </c>
      <c r="B383" s="121">
        <v>14</v>
      </c>
      <c r="C383" s="79"/>
      <c r="D383" s="79"/>
      <c r="E383" s="79"/>
      <c r="F383" s="79"/>
      <c r="G383" s="94"/>
      <c r="I383" s="86" t="e">
        <f t="shared" si="15"/>
        <v>#DIV/0!</v>
      </c>
      <c r="J383" s="87" t="e">
        <f t="shared" si="15"/>
        <v>#DIV/0!</v>
      </c>
      <c r="K383" s="87" t="e">
        <f t="shared" si="15"/>
        <v>#DIV/0!</v>
      </c>
      <c r="L383" s="87" t="e">
        <f t="shared" si="15"/>
        <v>#DIV/0!</v>
      </c>
      <c r="M383" s="88" t="e">
        <f t="shared" si="15"/>
        <v>#DIV/0!</v>
      </c>
      <c r="O383" s="121" t="str">
        <f t="shared" si="14"/>
        <v>חיפה מערב</v>
      </c>
      <c r="P383" s="121" t="str">
        <f t="shared" si="14"/>
        <v>חיפה הדר-כרמל</v>
      </c>
    </row>
    <row r="384" spans="1:16" x14ac:dyDescent="0.3">
      <c r="A384" s="60">
        <v>15</v>
      </c>
      <c r="B384" s="121">
        <v>15</v>
      </c>
      <c r="C384" s="79"/>
      <c r="D384" s="79"/>
      <c r="E384" s="79"/>
      <c r="F384" s="79"/>
      <c r="G384" s="94"/>
      <c r="I384" s="86" t="e">
        <f t="shared" si="15"/>
        <v>#DIV/0!</v>
      </c>
      <c r="J384" s="87" t="e">
        <f t="shared" si="15"/>
        <v>#DIV/0!</v>
      </c>
      <c r="K384" s="87" t="e">
        <f t="shared" si="15"/>
        <v>#DIV/0!</v>
      </c>
      <c r="L384" s="87" t="e">
        <f t="shared" si="15"/>
        <v>#DIV/0!</v>
      </c>
      <c r="M384" s="88" t="e">
        <f t="shared" si="15"/>
        <v>#DIV/0!</v>
      </c>
      <c r="O384" s="121" t="str">
        <f t="shared" si="14"/>
        <v>חיפה מערב</v>
      </c>
      <c r="P384" s="121" t="str">
        <f t="shared" si="14"/>
        <v>חיפה מערב</v>
      </c>
    </row>
    <row r="385" spans="1:16" x14ac:dyDescent="0.3">
      <c r="A385" s="60">
        <v>15</v>
      </c>
      <c r="B385" s="121">
        <v>16</v>
      </c>
      <c r="C385" s="79"/>
      <c r="D385" s="79"/>
      <c r="E385" s="79"/>
      <c r="F385" s="79"/>
      <c r="G385" s="94"/>
      <c r="I385" s="86" t="e">
        <f t="shared" si="15"/>
        <v>#DIV/0!</v>
      </c>
      <c r="J385" s="87" t="e">
        <f t="shared" si="15"/>
        <v>#DIV/0!</v>
      </c>
      <c r="K385" s="87" t="e">
        <f t="shared" si="15"/>
        <v>#DIV/0!</v>
      </c>
      <c r="L385" s="87" t="e">
        <f t="shared" si="15"/>
        <v>#DIV/0!</v>
      </c>
      <c r="M385" s="88" t="e">
        <f t="shared" si="15"/>
        <v>#DIV/0!</v>
      </c>
      <c r="O385" s="121" t="str">
        <f t="shared" si="14"/>
        <v>חיפה מערב</v>
      </c>
      <c r="P385" s="121" t="str">
        <f t="shared" si="14"/>
        <v>חיפה כרמל</v>
      </c>
    </row>
    <row r="386" spans="1:16" x14ac:dyDescent="0.3">
      <c r="A386" s="60">
        <v>15</v>
      </c>
      <c r="B386" s="121">
        <v>17</v>
      </c>
      <c r="C386" s="79"/>
      <c r="D386" s="79"/>
      <c r="E386" s="79"/>
      <c r="F386" s="79"/>
      <c r="G386" s="94"/>
      <c r="I386" s="86" t="e">
        <f t="shared" si="15"/>
        <v>#DIV/0!</v>
      </c>
      <c r="J386" s="87" t="e">
        <f t="shared" si="15"/>
        <v>#DIV/0!</v>
      </c>
      <c r="K386" s="87" t="e">
        <f t="shared" si="15"/>
        <v>#DIV/0!</v>
      </c>
      <c r="L386" s="87" t="e">
        <f t="shared" si="15"/>
        <v>#DIV/0!</v>
      </c>
      <c r="M386" s="88" t="e">
        <f t="shared" si="15"/>
        <v>#DIV/0!</v>
      </c>
      <c r="O386" s="121" t="str">
        <f t="shared" si="14"/>
        <v>חיפה מערב</v>
      </c>
      <c r="P386" s="121" t="str">
        <f t="shared" si="14"/>
        <v>חיפה נווה שאנן</v>
      </c>
    </row>
    <row r="387" spans="1:16" x14ac:dyDescent="0.3">
      <c r="A387" s="60">
        <v>15</v>
      </c>
      <c r="B387" s="121">
        <v>18</v>
      </c>
      <c r="C387" s="79"/>
      <c r="D387" s="79"/>
      <c r="E387" s="79"/>
      <c r="F387" s="79"/>
      <c r="G387" s="94"/>
      <c r="I387" s="86" t="e">
        <f t="shared" si="15"/>
        <v>#DIV/0!</v>
      </c>
      <c r="J387" s="87" t="e">
        <f t="shared" si="15"/>
        <v>#DIV/0!</v>
      </c>
      <c r="K387" s="87" t="e">
        <f t="shared" si="15"/>
        <v>#DIV/0!</v>
      </c>
      <c r="L387" s="87" t="e">
        <f t="shared" si="15"/>
        <v>#DIV/0!</v>
      </c>
      <c r="M387" s="88" t="e">
        <f t="shared" si="15"/>
        <v>#DIV/0!</v>
      </c>
      <c r="O387" s="121" t="str">
        <f t="shared" si="14"/>
        <v>חיפה מערב</v>
      </c>
      <c r="P387" s="121" t="str">
        <f t="shared" si="14"/>
        <v>נשר</v>
      </c>
    </row>
    <row r="388" spans="1:16" x14ac:dyDescent="0.3">
      <c r="A388" s="60">
        <v>15</v>
      </c>
      <c r="B388" s="121">
        <v>19</v>
      </c>
      <c r="C388" s="79"/>
      <c r="D388" s="79"/>
      <c r="E388" s="79"/>
      <c r="F388" s="79"/>
      <c r="G388" s="94"/>
      <c r="I388" s="86" t="e">
        <f t="shared" si="15"/>
        <v>#DIV/0!</v>
      </c>
      <c r="J388" s="87" t="e">
        <f t="shared" si="15"/>
        <v>#DIV/0!</v>
      </c>
      <c r="K388" s="87" t="e">
        <f t="shared" si="15"/>
        <v>#DIV/0!</v>
      </c>
      <c r="L388" s="87" t="e">
        <f t="shared" si="15"/>
        <v>#DIV/0!</v>
      </c>
      <c r="M388" s="88" t="e">
        <f t="shared" si="15"/>
        <v>#DIV/0!</v>
      </c>
      <c r="O388" s="121" t="str">
        <f t="shared" si="14"/>
        <v>חיפה מערב</v>
      </c>
      <c r="P388" s="121" t="str">
        <f t="shared" si="14"/>
        <v>נצרת</v>
      </c>
    </row>
    <row r="389" spans="1:16" x14ac:dyDescent="0.3">
      <c r="A389" s="60">
        <v>15</v>
      </c>
      <c r="B389" s="121">
        <v>20</v>
      </c>
      <c r="C389" s="79"/>
      <c r="D389" s="79"/>
      <c r="E389" s="79"/>
      <c r="F389" s="79"/>
      <c r="G389" s="94"/>
      <c r="I389" s="86" t="e">
        <f t="shared" si="15"/>
        <v>#DIV/0!</v>
      </c>
      <c r="J389" s="87" t="e">
        <f t="shared" si="15"/>
        <v>#DIV/0!</v>
      </c>
      <c r="K389" s="87" t="e">
        <f t="shared" si="15"/>
        <v>#DIV/0!</v>
      </c>
      <c r="L389" s="87" t="e">
        <f t="shared" si="15"/>
        <v>#DIV/0!</v>
      </c>
      <c r="M389" s="88" t="e">
        <f t="shared" si="15"/>
        <v>#DIV/0!</v>
      </c>
      <c r="O389" s="121" t="str">
        <f t="shared" si="14"/>
        <v>חיפה מערב</v>
      </c>
      <c r="P389" s="121" t="str">
        <f t="shared" si="14"/>
        <v>נצרת-עילית</v>
      </c>
    </row>
    <row r="390" spans="1:16" x14ac:dyDescent="0.3">
      <c r="A390" s="60">
        <v>15</v>
      </c>
      <c r="B390" s="121">
        <v>21</v>
      </c>
      <c r="C390" s="79"/>
      <c r="D390" s="79"/>
      <c r="E390" s="79"/>
      <c r="F390" s="79"/>
      <c r="G390" s="94"/>
      <c r="I390" s="86" t="e">
        <f t="shared" si="15"/>
        <v>#DIV/0!</v>
      </c>
      <c r="J390" s="87" t="e">
        <f t="shared" si="15"/>
        <v>#DIV/0!</v>
      </c>
      <c r="K390" s="87" t="e">
        <f t="shared" si="15"/>
        <v>#DIV/0!</v>
      </c>
      <c r="L390" s="87" t="e">
        <f t="shared" si="15"/>
        <v>#DIV/0!</v>
      </c>
      <c r="M390" s="88" t="e">
        <f t="shared" si="15"/>
        <v>#DIV/0!</v>
      </c>
      <c r="O390" s="121" t="str">
        <f t="shared" si="14"/>
        <v>חיפה מערב</v>
      </c>
      <c r="P390" s="121" t="str">
        <f t="shared" si="14"/>
        <v>מגדל העמק</v>
      </c>
    </row>
    <row r="391" spans="1:16" x14ac:dyDescent="0.3">
      <c r="A391" s="60">
        <v>15</v>
      </c>
      <c r="B391" s="121">
        <v>22</v>
      </c>
      <c r="C391" s="79"/>
      <c r="D391" s="79"/>
      <c r="E391" s="79"/>
      <c r="F391" s="79"/>
      <c r="G391" s="94"/>
      <c r="I391" s="86" t="e">
        <f t="shared" si="15"/>
        <v>#DIV/0!</v>
      </c>
      <c r="J391" s="87" t="e">
        <f t="shared" si="15"/>
        <v>#DIV/0!</v>
      </c>
      <c r="K391" s="87" t="e">
        <f t="shared" si="15"/>
        <v>#DIV/0!</v>
      </c>
      <c r="L391" s="87" t="e">
        <f t="shared" si="15"/>
        <v>#DIV/0!</v>
      </c>
      <c r="M391" s="88" t="e">
        <f t="shared" si="15"/>
        <v>#DIV/0!</v>
      </c>
      <c r="O391" s="121" t="str">
        <f t="shared" si="14"/>
        <v>חיפה מערב</v>
      </c>
      <c r="P391" s="121" t="str">
        <f t="shared" si="14"/>
        <v>יוקנעם</v>
      </c>
    </row>
    <row r="392" spans="1:16" x14ac:dyDescent="0.3">
      <c r="A392" s="60">
        <v>15</v>
      </c>
      <c r="B392" s="121">
        <v>23</v>
      </c>
      <c r="C392" s="79"/>
      <c r="D392" s="79"/>
      <c r="E392" s="79"/>
      <c r="F392" s="79"/>
      <c r="G392" s="94"/>
      <c r="I392" s="86" t="e">
        <f t="shared" si="15"/>
        <v>#DIV/0!</v>
      </c>
      <c r="J392" s="87" t="e">
        <f t="shared" si="15"/>
        <v>#DIV/0!</v>
      </c>
      <c r="K392" s="87" t="e">
        <f t="shared" si="15"/>
        <v>#DIV/0!</v>
      </c>
      <c r="L392" s="87" t="e">
        <f t="shared" si="15"/>
        <v>#DIV/0!</v>
      </c>
      <c r="M392" s="88" t="e">
        <f t="shared" si="15"/>
        <v>#DIV/0!</v>
      </c>
      <c r="O392" s="121" t="str">
        <f t="shared" ref="O392:P455" si="16">VLOOKUP(A392,$S$6:$T$31,2,0)</f>
        <v>חיפה מערב</v>
      </c>
      <c r="P392" s="121" t="str">
        <f t="shared" si="16"/>
        <v>דלית אל כרמל</v>
      </c>
    </row>
    <row r="393" spans="1:16" x14ac:dyDescent="0.3">
      <c r="A393" s="60">
        <v>15</v>
      </c>
      <c r="B393" s="121">
        <v>24</v>
      </c>
      <c r="C393" s="79"/>
      <c r="D393" s="79"/>
      <c r="E393" s="79"/>
      <c r="F393" s="79"/>
      <c r="G393" s="94"/>
      <c r="I393" s="86" t="e">
        <f t="shared" si="15"/>
        <v>#DIV/0!</v>
      </c>
      <c r="J393" s="87" t="e">
        <f t="shared" si="15"/>
        <v>#DIV/0!</v>
      </c>
      <c r="K393" s="87" t="e">
        <f t="shared" si="15"/>
        <v>#DIV/0!</v>
      </c>
      <c r="L393" s="87" t="e">
        <f t="shared" si="15"/>
        <v>#DIV/0!</v>
      </c>
      <c r="M393" s="88" t="e">
        <f t="shared" si="15"/>
        <v>#DIV/0!</v>
      </c>
      <c r="O393" s="121" t="str">
        <f t="shared" si="16"/>
        <v>חיפה מערב</v>
      </c>
      <c r="P393" s="121" t="str">
        <f t="shared" si="16"/>
        <v>חוף הכרמל</v>
      </c>
    </row>
    <row r="394" spans="1:16" x14ac:dyDescent="0.3">
      <c r="A394" s="60">
        <v>15</v>
      </c>
      <c r="B394" s="121">
        <v>25</v>
      </c>
      <c r="C394" s="79"/>
      <c r="D394" s="79"/>
      <c r="E394" s="79"/>
      <c r="F394" s="79"/>
      <c r="G394" s="94"/>
      <c r="I394" s="86" t="e">
        <f t="shared" si="15"/>
        <v>#DIV/0!</v>
      </c>
      <c r="J394" s="87" t="e">
        <f t="shared" si="15"/>
        <v>#DIV/0!</v>
      </c>
      <c r="K394" s="87" t="e">
        <f t="shared" si="15"/>
        <v>#DIV/0!</v>
      </c>
      <c r="L394" s="87" t="e">
        <f t="shared" si="15"/>
        <v>#DIV/0!</v>
      </c>
      <c r="M394" s="88" t="e">
        <f t="shared" si="15"/>
        <v>#DIV/0!</v>
      </c>
      <c r="O394" s="121" t="str">
        <f t="shared" si="16"/>
        <v>חיפה מערב</v>
      </c>
      <c r="P394" s="121" t="str">
        <f t="shared" si="16"/>
        <v>זכרון יעקב</v>
      </c>
    </row>
    <row r="395" spans="1:16" x14ac:dyDescent="0.3">
      <c r="A395" s="60">
        <v>15</v>
      </c>
      <c r="B395" s="121">
        <v>30</v>
      </c>
      <c r="C395" s="79"/>
      <c r="D395" s="79"/>
      <c r="E395" s="79"/>
      <c r="F395" s="79"/>
      <c r="G395" s="94"/>
      <c r="I395" s="86" t="e">
        <f t="shared" si="15"/>
        <v>#DIV/0!</v>
      </c>
      <c r="J395" s="87" t="e">
        <f t="shared" si="15"/>
        <v>#DIV/0!</v>
      </c>
      <c r="K395" s="87" t="e">
        <f t="shared" si="15"/>
        <v>#DIV/0!</v>
      </c>
      <c r="L395" s="87" t="e">
        <f t="shared" si="15"/>
        <v>#DIV/0!</v>
      </c>
      <c r="M395" s="88" t="e">
        <f t="shared" si="15"/>
        <v>#DIV/0!</v>
      </c>
      <c r="O395" s="121" t="str">
        <f t="shared" si="16"/>
        <v>חיפה מערב</v>
      </c>
      <c r="P395" s="121" t="str">
        <f t="shared" si="16"/>
        <v>סכנין</v>
      </c>
    </row>
    <row r="396" spans="1:16" x14ac:dyDescent="0.3">
      <c r="A396" s="60">
        <v>16</v>
      </c>
      <c r="B396" s="121">
        <v>1</v>
      </c>
      <c r="C396" s="79"/>
      <c r="D396" s="79"/>
      <c r="E396" s="79"/>
      <c r="F396" s="79"/>
      <c r="G396" s="94"/>
      <c r="I396" s="86" t="e">
        <f t="shared" si="15"/>
        <v>#DIV/0!</v>
      </c>
      <c r="J396" s="87" t="e">
        <f t="shared" si="15"/>
        <v>#DIV/0!</v>
      </c>
      <c r="K396" s="87" t="e">
        <f t="shared" si="15"/>
        <v>#DIV/0!</v>
      </c>
      <c r="L396" s="87" t="e">
        <f t="shared" si="15"/>
        <v>#DIV/0!</v>
      </c>
      <c r="M396" s="88" t="e">
        <f t="shared" si="15"/>
        <v>#DIV/0!</v>
      </c>
      <c r="O396" s="121" t="str">
        <f t="shared" si="16"/>
        <v>חיפה כרמל</v>
      </c>
      <c r="P396" s="121" t="str">
        <f t="shared" si="16"/>
        <v>נהריה</v>
      </c>
    </row>
    <row r="397" spans="1:16" x14ac:dyDescent="0.3">
      <c r="A397" s="60">
        <v>16</v>
      </c>
      <c r="B397" s="121">
        <v>2</v>
      </c>
      <c r="C397" s="79"/>
      <c r="D397" s="79"/>
      <c r="E397" s="79"/>
      <c r="F397" s="79"/>
      <c r="G397" s="94"/>
      <c r="I397" s="86" t="e">
        <f t="shared" si="15"/>
        <v>#DIV/0!</v>
      </c>
      <c r="J397" s="87" t="e">
        <f t="shared" si="15"/>
        <v>#DIV/0!</v>
      </c>
      <c r="K397" s="87" t="e">
        <f t="shared" si="15"/>
        <v>#DIV/0!</v>
      </c>
      <c r="L397" s="87" t="e">
        <f t="shared" si="15"/>
        <v>#DIV/0!</v>
      </c>
      <c r="M397" s="88" t="e">
        <f t="shared" si="15"/>
        <v>#DIV/0!</v>
      </c>
      <c r="O397" s="121" t="str">
        <f t="shared" si="16"/>
        <v>חיפה כרמל</v>
      </c>
      <c r="P397" s="121" t="str">
        <f t="shared" si="16"/>
        <v>עכו</v>
      </c>
    </row>
    <row r="398" spans="1:16" x14ac:dyDescent="0.3">
      <c r="A398" s="60">
        <v>16</v>
      </c>
      <c r="B398" s="121">
        <v>3</v>
      </c>
      <c r="C398" s="79"/>
      <c r="D398" s="79"/>
      <c r="E398" s="79"/>
      <c r="F398" s="79"/>
      <c r="G398" s="94"/>
      <c r="I398" s="86" t="e">
        <f t="shared" si="15"/>
        <v>#DIV/0!</v>
      </c>
      <c r="J398" s="87" t="e">
        <f t="shared" si="15"/>
        <v>#DIV/0!</v>
      </c>
      <c r="K398" s="87" t="e">
        <f t="shared" si="15"/>
        <v>#DIV/0!</v>
      </c>
      <c r="L398" s="87" t="e">
        <f t="shared" si="15"/>
        <v>#DIV/0!</v>
      </c>
      <c r="M398" s="88" t="e">
        <f t="shared" si="15"/>
        <v>#DIV/0!</v>
      </c>
      <c r="O398" s="121" t="str">
        <f t="shared" si="16"/>
        <v>חיפה כרמל</v>
      </c>
      <c r="P398" s="121" t="str">
        <f t="shared" si="16"/>
        <v>כרמיאל</v>
      </c>
    </row>
    <row r="399" spans="1:16" x14ac:dyDescent="0.3">
      <c r="A399" s="60">
        <v>16</v>
      </c>
      <c r="B399" s="121">
        <v>4</v>
      </c>
      <c r="C399" s="79"/>
      <c r="D399" s="79"/>
      <c r="E399" s="79"/>
      <c r="F399" s="79"/>
      <c r="G399" s="94"/>
      <c r="I399" s="86" t="e">
        <f t="shared" si="15"/>
        <v>#DIV/0!</v>
      </c>
      <c r="J399" s="87" t="e">
        <f t="shared" si="15"/>
        <v>#DIV/0!</v>
      </c>
      <c r="K399" s="87" t="e">
        <f t="shared" si="15"/>
        <v>#DIV/0!</v>
      </c>
      <c r="L399" s="87" t="e">
        <f t="shared" si="15"/>
        <v>#DIV/0!</v>
      </c>
      <c r="M399" s="88" t="e">
        <f t="shared" si="15"/>
        <v>#DIV/0!</v>
      </c>
      <c r="O399" s="121" t="str">
        <f t="shared" si="16"/>
        <v>חיפה כרמל</v>
      </c>
      <c r="P399" s="121" t="str">
        <f t="shared" si="16"/>
        <v>שפרעם</v>
      </c>
    </row>
    <row r="400" spans="1:16" x14ac:dyDescent="0.3">
      <c r="A400" s="60">
        <v>16</v>
      </c>
      <c r="B400" s="121">
        <v>5</v>
      </c>
      <c r="C400" s="79"/>
      <c r="D400" s="79"/>
      <c r="E400" s="79"/>
      <c r="F400" s="79"/>
      <c r="G400" s="94"/>
      <c r="I400" s="86" t="e">
        <f t="shared" si="15"/>
        <v>#DIV/0!</v>
      </c>
      <c r="J400" s="87" t="e">
        <f t="shared" si="15"/>
        <v>#DIV/0!</v>
      </c>
      <c r="K400" s="87" t="e">
        <f t="shared" si="15"/>
        <v>#DIV/0!</v>
      </c>
      <c r="L400" s="87" t="e">
        <f t="shared" si="15"/>
        <v>#DIV/0!</v>
      </c>
      <c r="M400" s="88" t="e">
        <f t="shared" si="15"/>
        <v>#DIV/0!</v>
      </c>
      <c r="O400" s="121" t="str">
        <f t="shared" si="16"/>
        <v>חיפה כרמל</v>
      </c>
      <c r="P400" s="121" t="str">
        <f t="shared" si="16"/>
        <v>קרית ים</v>
      </c>
    </row>
    <row r="401" spans="1:16" x14ac:dyDescent="0.3">
      <c r="A401" s="60">
        <v>16</v>
      </c>
      <c r="B401" s="121">
        <v>6</v>
      </c>
      <c r="C401" s="79"/>
      <c r="D401" s="79"/>
      <c r="E401" s="79"/>
      <c r="F401" s="79"/>
      <c r="G401" s="94"/>
      <c r="I401" s="86" t="e">
        <f t="shared" si="15"/>
        <v>#DIV/0!</v>
      </c>
      <c r="J401" s="87" t="e">
        <f t="shared" si="15"/>
        <v>#DIV/0!</v>
      </c>
      <c r="K401" s="87" t="e">
        <f t="shared" si="15"/>
        <v>#DIV/0!</v>
      </c>
      <c r="L401" s="87" t="e">
        <f t="shared" si="15"/>
        <v>#DIV/0!</v>
      </c>
      <c r="M401" s="88" t="e">
        <f t="shared" si="15"/>
        <v>#DIV/0!</v>
      </c>
      <c r="O401" s="121" t="str">
        <f t="shared" si="16"/>
        <v>חיפה כרמל</v>
      </c>
      <c r="P401" s="121" t="str">
        <f t="shared" si="16"/>
        <v>קרית מוצקין</v>
      </c>
    </row>
    <row r="402" spans="1:16" x14ac:dyDescent="0.3">
      <c r="A402" s="60">
        <v>16</v>
      </c>
      <c r="B402" s="121">
        <v>7</v>
      </c>
      <c r="C402" s="79"/>
      <c r="D402" s="79"/>
      <c r="E402" s="79"/>
      <c r="F402" s="79"/>
      <c r="G402" s="94"/>
      <c r="I402" s="86" t="e">
        <f t="shared" si="15"/>
        <v>#DIV/0!</v>
      </c>
      <c r="J402" s="87" t="e">
        <f t="shared" si="15"/>
        <v>#DIV/0!</v>
      </c>
      <c r="K402" s="87" t="e">
        <f t="shared" si="15"/>
        <v>#DIV/0!</v>
      </c>
      <c r="L402" s="87" t="e">
        <f t="shared" si="15"/>
        <v>#DIV/0!</v>
      </c>
      <c r="M402" s="88" t="e">
        <f t="shared" si="15"/>
        <v>#DIV/0!</v>
      </c>
      <c r="O402" s="121" t="str">
        <f t="shared" si="16"/>
        <v>חיפה כרמל</v>
      </c>
      <c r="P402" s="121" t="str">
        <f t="shared" si="16"/>
        <v>קרית ביאליק</v>
      </c>
    </row>
    <row r="403" spans="1:16" x14ac:dyDescent="0.3">
      <c r="A403" s="60">
        <v>16</v>
      </c>
      <c r="B403" s="121">
        <v>8</v>
      </c>
      <c r="C403" s="79"/>
      <c r="D403" s="79"/>
      <c r="E403" s="79"/>
      <c r="F403" s="79"/>
      <c r="G403" s="94"/>
      <c r="I403" s="86" t="e">
        <f t="shared" si="15"/>
        <v>#DIV/0!</v>
      </c>
      <c r="J403" s="87" t="e">
        <f t="shared" si="15"/>
        <v>#DIV/0!</v>
      </c>
      <c r="K403" s="87" t="e">
        <f t="shared" si="15"/>
        <v>#DIV/0!</v>
      </c>
      <c r="L403" s="87" t="e">
        <f t="shared" si="15"/>
        <v>#DIV/0!</v>
      </c>
      <c r="M403" s="88" t="e">
        <f t="shared" si="15"/>
        <v>#DIV/0!</v>
      </c>
      <c r="O403" s="121" t="str">
        <f t="shared" si="16"/>
        <v>חיפה כרמל</v>
      </c>
      <c r="P403" s="121" t="str">
        <f t="shared" si="16"/>
        <v>קרית חיים</v>
      </c>
    </row>
    <row r="404" spans="1:16" x14ac:dyDescent="0.3">
      <c r="A404" s="60">
        <v>16</v>
      </c>
      <c r="B404" s="121">
        <v>9</v>
      </c>
      <c r="C404" s="79"/>
      <c r="D404" s="79"/>
      <c r="E404" s="79"/>
      <c r="F404" s="79"/>
      <c r="G404" s="94"/>
      <c r="I404" s="86" t="e">
        <f t="shared" si="15"/>
        <v>#DIV/0!</v>
      </c>
      <c r="J404" s="87" t="e">
        <f t="shared" si="15"/>
        <v>#DIV/0!</v>
      </c>
      <c r="K404" s="87" t="e">
        <f t="shared" si="15"/>
        <v>#DIV/0!</v>
      </c>
      <c r="L404" s="87" t="e">
        <f t="shared" si="15"/>
        <v>#DIV/0!</v>
      </c>
      <c r="M404" s="88" t="e">
        <f t="shared" si="15"/>
        <v>#DIV/0!</v>
      </c>
      <c r="O404" s="121" t="str">
        <f t="shared" si="16"/>
        <v>חיפה כרמל</v>
      </c>
      <c r="P404" s="121" t="str">
        <f t="shared" si="16"/>
        <v>קרית אתא</v>
      </c>
    </row>
    <row r="405" spans="1:16" x14ac:dyDescent="0.3">
      <c r="A405" s="60">
        <v>16</v>
      </c>
      <c r="B405" s="121">
        <v>10</v>
      </c>
      <c r="C405" s="79"/>
      <c r="D405" s="79"/>
      <c r="E405" s="79"/>
      <c r="F405" s="79"/>
      <c r="G405" s="94"/>
      <c r="I405" s="86" t="e">
        <f t="shared" si="15"/>
        <v>#DIV/0!</v>
      </c>
      <c r="J405" s="87" t="e">
        <f t="shared" si="15"/>
        <v>#DIV/0!</v>
      </c>
      <c r="K405" s="87" t="e">
        <f t="shared" si="15"/>
        <v>#DIV/0!</v>
      </c>
      <c r="L405" s="87" t="e">
        <f t="shared" si="15"/>
        <v>#DIV/0!</v>
      </c>
      <c r="M405" s="88" t="e">
        <f t="shared" si="15"/>
        <v>#DIV/0!</v>
      </c>
      <c r="O405" s="121" t="str">
        <f t="shared" si="16"/>
        <v>חיפה כרמל</v>
      </c>
      <c r="P405" s="121" t="str">
        <f t="shared" si="16"/>
        <v>כפר מנדא</v>
      </c>
    </row>
    <row r="406" spans="1:16" x14ac:dyDescent="0.3">
      <c r="A406" s="60">
        <v>16</v>
      </c>
      <c r="B406" s="121">
        <v>11</v>
      </c>
      <c r="C406" s="79"/>
      <c r="D406" s="79"/>
      <c r="E406" s="79"/>
      <c r="F406" s="79"/>
      <c r="G406" s="94"/>
      <c r="I406" s="86" t="e">
        <f t="shared" si="15"/>
        <v>#DIV/0!</v>
      </c>
      <c r="J406" s="87" t="e">
        <f t="shared" si="15"/>
        <v>#DIV/0!</v>
      </c>
      <c r="K406" s="87" t="e">
        <f t="shared" si="15"/>
        <v>#DIV/0!</v>
      </c>
      <c r="L406" s="87" t="e">
        <f t="shared" si="15"/>
        <v>#DIV/0!</v>
      </c>
      <c r="M406" s="88" t="e">
        <f t="shared" si="15"/>
        <v>#DIV/0!</v>
      </c>
      <c r="O406" s="121" t="str">
        <f t="shared" si="16"/>
        <v>חיפה כרמל</v>
      </c>
      <c r="P406" s="121" t="str">
        <f t="shared" si="16"/>
        <v>זבולון</v>
      </c>
    </row>
    <row r="407" spans="1:16" x14ac:dyDescent="0.3">
      <c r="A407" s="60">
        <v>16</v>
      </c>
      <c r="B407" s="121">
        <v>12</v>
      </c>
      <c r="C407" s="79"/>
      <c r="D407" s="79"/>
      <c r="E407" s="79"/>
      <c r="F407" s="79"/>
      <c r="G407" s="94"/>
      <c r="I407" s="86" t="e">
        <f t="shared" si="15"/>
        <v>#DIV/0!</v>
      </c>
      <c r="J407" s="87" t="e">
        <f t="shared" si="15"/>
        <v>#DIV/0!</v>
      </c>
      <c r="K407" s="87" t="e">
        <f t="shared" si="15"/>
        <v>#DIV/0!</v>
      </c>
      <c r="L407" s="87" t="e">
        <f t="shared" si="15"/>
        <v>#DIV/0!</v>
      </c>
      <c r="M407" s="88" t="e">
        <f t="shared" si="15"/>
        <v>#DIV/0!</v>
      </c>
      <c r="O407" s="121" t="str">
        <f t="shared" si="16"/>
        <v>חיפה כרמל</v>
      </c>
      <c r="P407" s="121" t="str">
        <f t="shared" si="16"/>
        <v>חיפה מפרץ</v>
      </c>
    </row>
    <row r="408" spans="1:16" x14ac:dyDescent="0.3">
      <c r="A408" s="60">
        <v>16</v>
      </c>
      <c r="B408" s="121">
        <v>13</v>
      </c>
      <c r="C408" s="79"/>
      <c r="D408" s="79"/>
      <c r="E408" s="79"/>
      <c r="F408" s="79"/>
      <c r="G408" s="94"/>
      <c r="I408" s="86" t="e">
        <f t="shared" si="15"/>
        <v>#DIV/0!</v>
      </c>
      <c r="J408" s="87" t="e">
        <f t="shared" si="15"/>
        <v>#DIV/0!</v>
      </c>
      <c r="K408" s="87" t="e">
        <f t="shared" si="15"/>
        <v>#DIV/0!</v>
      </c>
      <c r="L408" s="87" t="e">
        <f t="shared" si="15"/>
        <v>#DIV/0!</v>
      </c>
      <c r="M408" s="88" t="e">
        <f t="shared" si="15"/>
        <v>#DIV/0!</v>
      </c>
      <c r="O408" s="121" t="str">
        <f t="shared" si="16"/>
        <v>חיפה כרמל</v>
      </c>
      <c r="P408" s="121" t="str">
        <f t="shared" si="16"/>
        <v>חיפה עיר תחתית</v>
      </c>
    </row>
    <row r="409" spans="1:16" x14ac:dyDescent="0.3">
      <c r="A409" s="60">
        <v>16</v>
      </c>
      <c r="B409" s="121">
        <v>14</v>
      </c>
      <c r="C409" s="79"/>
      <c r="D409" s="79"/>
      <c r="E409" s="79"/>
      <c r="F409" s="79"/>
      <c r="G409" s="94"/>
      <c r="I409" s="86" t="e">
        <f t="shared" si="15"/>
        <v>#DIV/0!</v>
      </c>
      <c r="J409" s="87" t="e">
        <f t="shared" si="15"/>
        <v>#DIV/0!</v>
      </c>
      <c r="K409" s="87" t="e">
        <f t="shared" si="15"/>
        <v>#DIV/0!</v>
      </c>
      <c r="L409" s="87" t="e">
        <f t="shared" si="15"/>
        <v>#DIV/0!</v>
      </c>
      <c r="M409" s="88" t="e">
        <f t="shared" si="15"/>
        <v>#DIV/0!</v>
      </c>
      <c r="O409" s="121" t="str">
        <f t="shared" si="16"/>
        <v>חיפה כרמל</v>
      </c>
      <c r="P409" s="121" t="str">
        <f t="shared" si="16"/>
        <v>חיפה הדר-כרמל</v>
      </c>
    </row>
    <row r="410" spans="1:16" x14ac:dyDescent="0.3">
      <c r="A410" s="60">
        <v>16</v>
      </c>
      <c r="B410" s="121">
        <v>15</v>
      </c>
      <c r="C410" s="79"/>
      <c r="D410" s="79"/>
      <c r="E410" s="79"/>
      <c r="F410" s="79"/>
      <c r="G410" s="94"/>
      <c r="I410" s="86" t="e">
        <f t="shared" si="15"/>
        <v>#DIV/0!</v>
      </c>
      <c r="J410" s="87" t="e">
        <f t="shared" si="15"/>
        <v>#DIV/0!</v>
      </c>
      <c r="K410" s="87" t="e">
        <f t="shared" si="15"/>
        <v>#DIV/0!</v>
      </c>
      <c r="L410" s="87" t="e">
        <f t="shared" si="15"/>
        <v>#DIV/0!</v>
      </c>
      <c r="M410" s="88" t="e">
        <f t="shared" si="15"/>
        <v>#DIV/0!</v>
      </c>
      <c r="O410" s="121" t="str">
        <f t="shared" si="16"/>
        <v>חיפה כרמל</v>
      </c>
      <c r="P410" s="121" t="str">
        <f t="shared" si="16"/>
        <v>חיפה מערב</v>
      </c>
    </row>
    <row r="411" spans="1:16" x14ac:dyDescent="0.3">
      <c r="A411" s="60">
        <v>16</v>
      </c>
      <c r="B411" s="121">
        <v>16</v>
      </c>
      <c r="C411" s="79"/>
      <c r="D411" s="79"/>
      <c r="E411" s="79"/>
      <c r="F411" s="79"/>
      <c r="G411" s="94"/>
      <c r="I411" s="86" t="e">
        <f t="shared" si="15"/>
        <v>#DIV/0!</v>
      </c>
      <c r="J411" s="87" t="e">
        <f t="shared" si="15"/>
        <v>#DIV/0!</v>
      </c>
      <c r="K411" s="87" t="e">
        <f t="shared" si="15"/>
        <v>#DIV/0!</v>
      </c>
      <c r="L411" s="87" t="e">
        <f t="shared" si="15"/>
        <v>#DIV/0!</v>
      </c>
      <c r="M411" s="88" t="e">
        <f t="shared" si="15"/>
        <v>#DIV/0!</v>
      </c>
      <c r="O411" s="121" t="str">
        <f t="shared" si="16"/>
        <v>חיפה כרמל</v>
      </c>
      <c r="P411" s="121" t="str">
        <f t="shared" si="16"/>
        <v>חיפה כרמל</v>
      </c>
    </row>
    <row r="412" spans="1:16" x14ac:dyDescent="0.3">
      <c r="A412" s="60">
        <v>16</v>
      </c>
      <c r="B412" s="121">
        <v>17</v>
      </c>
      <c r="C412" s="79"/>
      <c r="D412" s="79"/>
      <c r="E412" s="79"/>
      <c r="F412" s="79"/>
      <c r="G412" s="94"/>
      <c r="I412" s="86" t="e">
        <f t="shared" si="15"/>
        <v>#DIV/0!</v>
      </c>
      <c r="J412" s="87" t="e">
        <f t="shared" si="15"/>
        <v>#DIV/0!</v>
      </c>
      <c r="K412" s="87" t="e">
        <f t="shared" si="15"/>
        <v>#DIV/0!</v>
      </c>
      <c r="L412" s="87" t="e">
        <f t="shared" si="15"/>
        <v>#DIV/0!</v>
      </c>
      <c r="M412" s="88" t="e">
        <f t="shared" si="15"/>
        <v>#DIV/0!</v>
      </c>
      <c r="O412" s="121" t="str">
        <f t="shared" si="16"/>
        <v>חיפה כרמל</v>
      </c>
      <c r="P412" s="121" t="str">
        <f t="shared" si="16"/>
        <v>חיפה נווה שאנן</v>
      </c>
    </row>
    <row r="413" spans="1:16" x14ac:dyDescent="0.3">
      <c r="A413" s="60">
        <v>16</v>
      </c>
      <c r="B413" s="121">
        <v>18</v>
      </c>
      <c r="C413" s="79"/>
      <c r="D413" s="79"/>
      <c r="E413" s="79"/>
      <c r="F413" s="79"/>
      <c r="G413" s="94"/>
      <c r="I413" s="86" t="e">
        <f t="shared" si="15"/>
        <v>#DIV/0!</v>
      </c>
      <c r="J413" s="87" t="e">
        <f t="shared" si="15"/>
        <v>#DIV/0!</v>
      </c>
      <c r="K413" s="87" t="e">
        <f t="shared" si="15"/>
        <v>#DIV/0!</v>
      </c>
      <c r="L413" s="87" t="e">
        <f t="shared" si="15"/>
        <v>#DIV/0!</v>
      </c>
      <c r="M413" s="88" t="e">
        <f t="shared" si="15"/>
        <v>#DIV/0!</v>
      </c>
      <c r="O413" s="121" t="str">
        <f t="shared" si="16"/>
        <v>חיפה כרמל</v>
      </c>
      <c r="P413" s="121" t="str">
        <f t="shared" si="16"/>
        <v>נשר</v>
      </c>
    </row>
    <row r="414" spans="1:16" x14ac:dyDescent="0.3">
      <c r="A414" s="60">
        <v>16</v>
      </c>
      <c r="B414" s="121">
        <v>19</v>
      </c>
      <c r="C414" s="79"/>
      <c r="D414" s="79"/>
      <c r="E414" s="79"/>
      <c r="F414" s="79"/>
      <c r="G414" s="94"/>
      <c r="I414" s="86" t="e">
        <f t="shared" si="15"/>
        <v>#DIV/0!</v>
      </c>
      <c r="J414" s="87" t="e">
        <f t="shared" si="15"/>
        <v>#DIV/0!</v>
      </c>
      <c r="K414" s="87" t="e">
        <f t="shared" si="15"/>
        <v>#DIV/0!</v>
      </c>
      <c r="L414" s="87" t="e">
        <f t="shared" si="15"/>
        <v>#DIV/0!</v>
      </c>
      <c r="M414" s="88" t="e">
        <f t="shared" si="15"/>
        <v>#DIV/0!</v>
      </c>
      <c r="O414" s="121" t="str">
        <f t="shared" si="16"/>
        <v>חיפה כרמל</v>
      </c>
      <c r="P414" s="121" t="str">
        <f t="shared" si="16"/>
        <v>נצרת</v>
      </c>
    </row>
    <row r="415" spans="1:16" x14ac:dyDescent="0.3">
      <c r="A415" s="60">
        <v>16</v>
      </c>
      <c r="B415" s="121">
        <v>20</v>
      </c>
      <c r="C415" s="79"/>
      <c r="D415" s="79"/>
      <c r="E415" s="79"/>
      <c r="F415" s="79"/>
      <c r="G415" s="94"/>
      <c r="I415" s="86" t="e">
        <f t="shared" si="15"/>
        <v>#DIV/0!</v>
      </c>
      <c r="J415" s="87" t="e">
        <f t="shared" si="15"/>
        <v>#DIV/0!</v>
      </c>
      <c r="K415" s="87" t="e">
        <f t="shared" si="15"/>
        <v>#DIV/0!</v>
      </c>
      <c r="L415" s="87" t="e">
        <f t="shared" si="15"/>
        <v>#DIV/0!</v>
      </c>
      <c r="M415" s="88" t="e">
        <f t="shared" si="15"/>
        <v>#DIV/0!</v>
      </c>
      <c r="O415" s="121" t="str">
        <f t="shared" si="16"/>
        <v>חיפה כרמל</v>
      </c>
      <c r="P415" s="121" t="str">
        <f t="shared" si="16"/>
        <v>נצרת-עילית</v>
      </c>
    </row>
    <row r="416" spans="1:16" x14ac:dyDescent="0.3">
      <c r="A416" s="60">
        <v>16</v>
      </c>
      <c r="B416" s="121">
        <v>21</v>
      </c>
      <c r="C416" s="79"/>
      <c r="D416" s="79"/>
      <c r="E416" s="79"/>
      <c r="F416" s="79"/>
      <c r="G416" s="94"/>
      <c r="I416" s="86" t="e">
        <f t="shared" si="15"/>
        <v>#DIV/0!</v>
      </c>
      <c r="J416" s="87" t="e">
        <f t="shared" si="15"/>
        <v>#DIV/0!</v>
      </c>
      <c r="K416" s="87" t="e">
        <f t="shared" si="15"/>
        <v>#DIV/0!</v>
      </c>
      <c r="L416" s="87" t="e">
        <f t="shared" si="15"/>
        <v>#DIV/0!</v>
      </c>
      <c r="M416" s="88" t="e">
        <f t="shared" si="15"/>
        <v>#DIV/0!</v>
      </c>
      <c r="O416" s="121" t="str">
        <f t="shared" si="16"/>
        <v>חיפה כרמל</v>
      </c>
      <c r="P416" s="121" t="str">
        <f t="shared" si="16"/>
        <v>מגדל העמק</v>
      </c>
    </row>
    <row r="417" spans="1:16" x14ac:dyDescent="0.3">
      <c r="A417" s="60">
        <v>16</v>
      </c>
      <c r="B417" s="121">
        <v>22</v>
      </c>
      <c r="C417" s="79"/>
      <c r="D417" s="79"/>
      <c r="E417" s="79"/>
      <c r="F417" s="79"/>
      <c r="G417" s="94"/>
      <c r="I417" s="86" t="e">
        <f t="shared" si="15"/>
        <v>#DIV/0!</v>
      </c>
      <c r="J417" s="87" t="e">
        <f t="shared" si="15"/>
        <v>#DIV/0!</v>
      </c>
      <c r="K417" s="87" t="e">
        <f t="shared" si="15"/>
        <v>#DIV/0!</v>
      </c>
      <c r="L417" s="87" t="e">
        <f t="shared" si="15"/>
        <v>#DIV/0!</v>
      </c>
      <c r="M417" s="88" t="e">
        <f t="shared" si="15"/>
        <v>#DIV/0!</v>
      </c>
      <c r="O417" s="121" t="str">
        <f t="shared" si="16"/>
        <v>חיפה כרמל</v>
      </c>
      <c r="P417" s="121" t="str">
        <f t="shared" si="16"/>
        <v>יוקנעם</v>
      </c>
    </row>
    <row r="418" spans="1:16" x14ac:dyDescent="0.3">
      <c r="A418" s="60">
        <v>16</v>
      </c>
      <c r="B418" s="121">
        <v>23</v>
      </c>
      <c r="C418" s="79"/>
      <c r="D418" s="79"/>
      <c r="E418" s="79"/>
      <c r="F418" s="79"/>
      <c r="G418" s="94"/>
      <c r="I418" s="86" t="e">
        <f t="shared" si="15"/>
        <v>#DIV/0!</v>
      </c>
      <c r="J418" s="87" t="e">
        <f t="shared" si="15"/>
        <v>#DIV/0!</v>
      </c>
      <c r="K418" s="87" t="e">
        <f t="shared" si="15"/>
        <v>#DIV/0!</v>
      </c>
      <c r="L418" s="87" t="e">
        <f t="shared" si="15"/>
        <v>#DIV/0!</v>
      </c>
      <c r="M418" s="88" t="e">
        <f t="shared" si="15"/>
        <v>#DIV/0!</v>
      </c>
      <c r="O418" s="121" t="str">
        <f t="shared" si="16"/>
        <v>חיפה כרמל</v>
      </c>
      <c r="P418" s="121" t="str">
        <f t="shared" si="16"/>
        <v>דלית אל כרמל</v>
      </c>
    </row>
    <row r="419" spans="1:16" x14ac:dyDescent="0.3">
      <c r="A419" s="60">
        <v>16</v>
      </c>
      <c r="B419" s="121">
        <v>24</v>
      </c>
      <c r="C419" s="79"/>
      <c r="D419" s="79"/>
      <c r="E419" s="79"/>
      <c r="F419" s="79"/>
      <c r="G419" s="94"/>
      <c r="I419" s="86" t="e">
        <f t="shared" si="15"/>
        <v>#DIV/0!</v>
      </c>
      <c r="J419" s="87" t="e">
        <f t="shared" si="15"/>
        <v>#DIV/0!</v>
      </c>
      <c r="K419" s="87" t="e">
        <f t="shared" si="15"/>
        <v>#DIV/0!</v>
      </c>
      <c r="L419" s="87" t="e">
        <f t="shared" si="15"/>
        <v>#DIV/0!</v>
      </c>
      <c r="M419" s="88" t="e">
        <f t="shared" si="15"/>
        <v>#DIV/0!</v>
      </c>
      <c r="O419" s="121" t="str">
        <f t="shared" si="16"/>
        <v>חיפה כרמל</v>
      </c>
      <c r="P419" s="121" t="str">
        <f t="shared" si="16"/>
        <v>חוף הכרמל</v>
      </c>
    </row>
    <row r="420" spans="1:16" x14ac:dyDescent="0.3">
      <c r="A420" s="60">
        <v>16</v>
      </c>
      <c r="B420" s="121">
        <v>25</v>
      </c>
      <c r="C420" s="79"/>
      <c r="D420" s="79"/>
      <c r="E420" s="79"/>
      <c r="F420" s="79"/>
      <c r="G420" s="94"/>
      <c r="I420" s="86" t="e">
        <f t="shared" si="15"/>
        <v>#DIV/0!</v>
      </c>
      <c r="J420" s="87" t="e">
        <f t="shared" si="15"/>
        <v>#DIV/0!</v>
      </c>
      <c r="K420" s="87" t="e">
        <f t="shared" si="15"/>
        <v>#DIV/0!</v>
      </c>
      <c r="L420" s="87" t="e">
        <f t="shared" si="15"/>
        <v>#DIV/0!</v>
      </c>
      <c r="M420" s="88" t="e">
        <f t="shared" si="15"/>
        <v>#DIV/0!</v>
      </c>
      <c r="O420" s="121" t="str">
        <f t="shared" si="16"/>
        <v>חיפה כרמל</v>
      </c>
      <c r="P420" s="121" t="str">
        <f t="shared" si="16"/>
        <v>זכרון יעקב</v>
      </c>
    </row>
    <row r="421" spans="1:16" x14ac:dyDescent="0.3">
      <c r="A421" s="60">
        <v>16</v>
      </c>
      <c r="B421" s="121">
        <v>30</v>
      </c>
      <c r="C421" s="79"/>
      <c r="D421" s="79"/>
      <c r="E421" s="79"/>
      <c r="F421" s="79"/>
      <c r="G421" s="94"/>
      <c r="I421" s="86" t="e">
        <f t="shared" si="15"/>
        <v>#DIV/0!</v>
      </c>
      <c r="J421" s="87" t="e">
        <f t="shared" si="15"/>
        <v>#DIV/0!</v>
      </c>
      <c r="K421" s="87" t="e">
        <f t="shared" si="15"/>
        <v>#DIV/0!</v>
      </c>
      <c r="L421" s="87" t="e">
        <f t="shared" si="15"/>
        <v>#DIV/0!</v>
      </c>
      <c r="M421" s="88" t="e">
        <f t="shared" si="15"/>
        <v>#DIV/0!</v>
      </c>
      <c r="O421" s="121" t="str">
        <f t="shared" si="16"/>
        <v>חיפה כרמל</v>
      </c>
      <c r="P421" s="121" t="str">
        <f t="shared" si="16"/>
        <v>סכנין</v>
      </c>
    </row>
    <row r="422" spans="1:16" x14ac:dyDescent="0.3">
      <c r="A422" s="60">
        <v>17</v>
      </c>
      <c r="B422" s="121">
        <v>1</v>
      </c>
      <c r="C422" s="79"/>
      <c r="D422" s="79"/>
      <c r="E422" s="79"/>
      <c r="F422" s="79"/>
      <c r="G422" s="94"/>
      <c r="I422" s="86" t="e">
        <f t="shared" si="15"/>
        <v>#DIV/0!</v>
      </c>
      <c r="J422" s="87" t="e">
        <f t="shared" si="15"/>
        <v>#DIV/0!</v>
      </c>
      <c r="K422" s="87" t="e">
        <f t="shared" si="15"/>
        <v>#DIV/0!</v>
      </c>
      <c r="L422" s="87" t="e">
        <f t="shared" si="15"/>
        <v>#DIV/0!</v>
      </c>
      <c r="M422" s="88" t="e">
        <f t="shared" si="15"/>
        <v>#DIV/0!</v>
      </c>
      <c r="O422" s="121" t="str">
        <f t="shared" si="16"/>
        <v>חיפה נווה שאנן</v>
      </c>
      <c r="P422" s="121" t="str">
        <f t="shared" si="16"/>
        <v>נהריה</v>
      </c>
    </row>
    <row r="423" spans="1:16" x14ac:dyDescent="0.3">
      <c r="A423" s="60">
        <v>17</v>
      </c>
      <c r="B423" s="121">
        <v>2</v>
      </c>
      <c r="C423" s="79"/>
      <c r="D423" s="79"/>
      <c r="E423" s="79"/>
      <c r="F423" s="79"/>
      <c r="G423" s="94"/>
      <c r="I423" s="86" t="e">
        <f t="shared" si="15"/>
        <v>#DIV/0!</v>
      </c>
      <c r="J423" s="87" t="e">
        <f t="shared" si="15"/>
        <v>#DIV/0!</v>
      </c>
      <c r="K423" s="87" t="e">
        <f t="shared" si="15"/>
        <v>#DIV/0!</v>
      </c>
      <c r="L423" s="87" t="e">
        <f t="shared" si="15"/>
        <v>#DIV/0!</v>
      </c>
      <c r="M423" s="88" t="e">
        <f t="shared" si="15"/>
        <v>#DIV/0!</v>
      </c>
      <c r="O423" s="121" t="str">
        <f t="shared" si="16"/>
        <v>חיפה נווה שאנן</v>
      </c>
      <c r="P423" s="121" t="str">
        <f t="shared" si="16"/>
        <v>עכו</v>
      </c>
    </row>
    <row r="424" spans="1:16" x14ac:dyDescent="0.3">
      <c r="A424" s="60">
        <v>17</v>
      </c>
      <c r="B424" s="121">
        <v>3</v>
      </c>
      <c r="C424" s="79"/>
      <c r="D424" s="79"/>
      <c r="E424" s="79"/>
      <c r="F424" s="79"/>
      <c r="G424" s="94"/>
      <c r="I424" s="86" t="e">
        <f t="shared" si="15"/>
        <v>#DIV/0!</v>
      </c>
      <c r="J424" s="87" t="e">
        <f t="shared" si="15"/>
        <v>#DIV/0!</v>
      </c>
      <c r="K424" s="87" t="e">
        <f t="shared" si="15"/>
        <v>#DIV/0!</v>
      </c>
      <c r="L424" s="87" t="e">
        <f t="shared" si="15"/>
        <v>#DIV/0!</v>
      </c>
      <c r="M424" s="88" t="e">
        <f t="shared" si="15"/>
        <v>#DIV/0!</v>
      </c>
      <c r="O424" s="121" t="str">
        <f t="shared" si="16"/>
        <v>חיפה נווה שאנן</v>
      </c>
      <c r="P424" s="121" t="str">
        <f t="shared" si="16"/>
        <v>כרמיאל</v>
      </c>
    </row>
    <row r="425" spans="1:16" x14ac:dyDescent="0.3">
      <c r="A425" s="60">
        <v>17</v>
      </c>
      <c r="B425" s="121">
        <v>4</v>
      </c>
      <c r="C425" s="79"/>
      <c r="D425" s="79"/>
      <c r="E425" s="79"/>
      <c r="F425" s="79"/>
      <c r="G425" s="94"/>
      <c r="I425" s="86" t="e">
        <f t="shared" si="15"/>
        <v>#DIV/0!</v>
      </c>
      <c r="J425" s="87" t="e">
        <f t="shared" si="15"/>
        <v>#DIV/0!</v>
      </c>
      <c r="K425" s="87" t="e">
        <f t="shared" si="15"/>
        <v>#DIV/0!</v>
      </c>
      <c r="L425" s="87" t="e">
        <f t="shared" si="15"/>
        <v>#DIV/0!</v>
      </c>
      <c r="M425" s="88" t="e">
        <f t="shared" si="15"/>
        <v>#DIV/0!</v>
      </c>
      <c r="O425" s="121" t="str">
        <f t="shared" si="16"/>
        <v>חיפה נווה שאנן</v>
      </c>
      <c r="P425" s="121" t="str">
        <f t="shared" si="16"/>
        <v>שפרעם</v>
      </c>
    </row>
    <row r="426" spans="1:16" x14ac:dyDescent="0.3">
      <c r="A426" s="60">
        <v>17</v>
      </c>
      <c r="B426" s="121">
        <v>5</v>
      </c>
      <c r="C426" s="79"/>
      <c r="D426" s="79"/>
      <c r="E426" s="79"/>
      <c r="F426" s="79"/>
      <c r="G426" s="94"/>
      <c r="I426" s="86" t="e">
        <f t="shared" si="15"/>
        <v>#DIV/0!</v>
      </c>
      <c r="J426" s="87" t="e">
        <f t="shared" si="15"/>
        <v>#DIV/0!</v>
      </c>
      <c r="K426" s="87" t="e">
        <f t="shared" si="15"/>
        <v>#DIV/0!</v>
      </c>
      <c r="L426" s="87" t="e">
        <f t="shared" si="15"/>
        <v>#DIV/0!</v>
      </c>
      <c r="M426" s="88" t="e">
        <f t="shared" si="15"/>
        <v>#DIV/0!</v>
      </c>
      <c r="O426" s="121" t="str">
        <f t="shared" si="16"/>
        <v>חיפה נווה שאנן</v>
      </c>
      <c r="P426" s="121" t="str">
        <f t="shared" si="16"/>
        <v>קרית ים</v>
      </c>
    </row>
    <row r="427" spans="1:16" x14ac:dyDescent="0.3">
      <c r="A427" s="60">
        <v>17</v>
      </c>
      <c r="B427" s="121">
        <v>6</v>
      </c>
      <c r="C427" s="79"/>
      <c r="D427" s="79"/>
      <c r="E427" s="79"/>
      <c r="F427" s="79"/>
      <c r="G427" s="94"/>
      <c r="I427" s="86" t="e">
        <f t="shared" ref="I427:M477" si="17">C427/SUM($C427:$G427)</f>
        <v>#DIV/0!</v>
      </c>
      <c r="J427" s="87" t="e">
        <f t="shared" si="17"/>
        <v>#DIV/0!</v>
      </c>
      <c r="K427" s="87" t="e">
        <f t="shared" si="17"/>
        <v>#DIV/0!</v>
      </c>
      <c r="L427" s="87" t="e">
        <f t="shared" si="17"/>
        <v>#DIV/0!</v>
      </c>
      <c r="M427" s="88" t="e">
        <f t="shared" si="17"/>
        <v>#DIV/0!</v>
      </c>
      <c r="O427" s="121" t="str">
        <f t="shared" si="16"/>
        <v>חיפה נווה שאנן</v>
      </c>
      <c r="P427" s="121" t="str">
        <f t="shared" si="16"/>
        <v>קרית מוצקין</v>
      </c>
    </row>
    <row r="428" spans="1:16" x14ac:dyDescent="0.3">
      <c r="A428" s="60">
        <v>17</v>
      </c>
      <c r="B428" s="121">
        <v>7</v>
      </c>
      <c r="C428" s="79"/>
      <c r="D428" s="79"/>
      <c r="E428" s="79"/>
      <c r="F428" s="79"/>
      <c r="G428" s="94"/>
      <c r="I428" s="86" t="e">
        <f t="shared" si="17"/>
        <v>#DIV/0!</v>
      </c>
      <c r="J428" s="87" t="e">
        <f t="shared" si="17"/>
        <v>#DIV/0!</v>
      </c>
      <c r="K428" s="87" t="e">
        <f t="shared" si="17"/>
        <v>#DIV/0!</v>
      </c>
      <c r="L428" s="87" t="e">
        <f t="shared" si="17"/>
        <v>#DIV/0!</v>
      </c>
      <c r="M428" s="88" t="e">
        <f t="shared" si="17"/>
        <v>#DIV/0!</v>
      </c>
      <c r="O428" s="121" t="str">
        <f t="shared" si="16"/>
        <v>חיפה נווה שאנן</v>
      </c>
      <c r="P428" s="121" t="str">
        <f t="shared" si="16"/>
        <v>קרית ביאליק</v>
      </c>
    </row>
    <row r="429" spans="1:16" x14ac:dyDescent="0.3">
      <c r="A429" s="60">
        <v>17</v>
      </c>
      <c r="B429" s="121">
        <v>8</v>
      </c>
      <c r="C429" s="79"/>
      <c r="D429" s="79"/>
      <c r="E429" s="79"/>
      <c r="F429" s="79"/>
      <c r="G429" s="94"/>
      <c r="I429" s="86" t="e">
        <f t="shared" si="17"/>
        <v>#DIV/0!</v>
      </c>
      <c r="J429" s="87" t="e">
        <f t="shared" si="17"/>
        <v>#DIV/0!</v>
      </c>
      <c r="K429" s="87" t="e">
        <f t="shared" si="17"/>
        <v>#DIV/0!</v>
      </c>
      <c r="L429" s="87" t="e">
        <f t="shared" si="17"/>
        <v>#DIV/0!</v>
      </c>
      <c r="M429" s="88" t="e">
        <f t="shared" si="17"/>
        <v>#DIV/0!</v>
      </c>
      <c r="O429" s="121" t="str">
        <f t="shared" si="16"/>
        <v>חיפה נווה שאנן</v>
      </c>
      <c r="P429" s="121" t="str">
        <f t="shared" si="16"/>
        <v>קרית חיים</v>
      </c>
    </row>
    <row r="430" spans="1:16" x14ac:dyDescent="0.3">
      <c r="A430" s="60">
        <v>17</v>
      </c>
      <c r="B430" s="121">
        <v>9</v>
      </c>
      <c r="C430" s="79"/>
      <c r="D430" s="79"/>
      <c r="E430" s="79"/>
      <c r="F430" s="79"/>
      <c r="G430" s="94"/>
      <c r="I430" s="86" t="e">
        <f t="shared" si="17"/>
        <v>#DIV/0!</v>
      </c>
      <c r="J430" s="87" t="e">
        <f t="shared" si="17"/>
        <v>#DIV/0!</v>
      </c>
      <c r="K430" s="87" t="e">
        <f t="shared" si="17"/>
        <v>#DIV/0!</v>
      </c>
      <c r="L430" s="87" t="e">
        <f t="shared" si="17"/>
        <v>#DIV/0!</v>
      </c>
      <c r="M430" s="88" t="e">
        <f t="shared" si="17"/>
        <v>#DIV/0!</v>
      </c>
      <c r="O430" s="121" t="str">
        <f t="shared" si="16"/>
        <v>חיפה נווה שאנן</v>
      </c>
      <c r="P430" s="121" t="str">
        <f t="shared" si="16"/>
        <v>קרית אתא</v>
      </c>
    </row>
    <row r="431" spans="1:16" x14ac:dyDescent="0.3">
      <c r="A431" s="60">
        <v>17</v>
      </c>
      <c r="B431" s="121">
        <v>10</v>
      </c>
      <c r="C431" s="79"/>
      <c r="D431" s="79"/>
      <c r="E431" s="79"/>
      <c r="F431" s="79"/>
      <c r="G431" s="94"/>
      <c r="I431" s="86" t="e">
        <f t="shared" si="17"/>
        <v>#DIV/0!</v>
      </c>
      <c r="J431" s="87" t="e">
        <f t="shared" si="17"/>
        <v>#DIV/0!</v>
      </c>
      <c r="K431" s="87" t="e">
        <f t="shared" si="17"/>
        <v>#DIV/0!</v>
      </c>
      <c r="L431" s="87" t="e">
        <f t="shared" si="17"/>
        <v>#DIV/0!</v>
      </c>
      <c r="M431" s="88" t="e">
        <f t="shared" si="17"/>
        <v>#DIV/0!</v>
      </c>
      <c r="O431" s="121" t="str">
        <f t="shared" si="16"/>
        <v>חיפה נווה שאנן</v>
      </c>
      <c r="P431" s="121" t="str">
        <f t="shared" si="16"/>
        <v>כפר מנדא</v>
      </c>
    </row>
    <row r="432" spans="1:16" x14ac:dyDescent="0.3">
      <c r="A432" s="60">
        <v>17</v>
      </c>
      <c r="B432" s="121">
        <v>11</v>
      </c>
      <c r="C432" s="79"/>
      <c r="D432" s="79"/>
      <c r="E432" s="79"/>
      <c r="F432" s="79"/>
      <c r="G432" s="94"/>
      <c r="I432" s="86" t="e">
        <f t="shared" si="17"/>
        <v>#DIV/0!</v>
      </c>
      <c r="J432" s="87" t="e">
        <f t="shared" si="17"/>
        <v>#DIV/0!</v>
      </c>
      <c r="K432" s="87" t="e">
        <f t="shared" si="17"/>
        <v>#DIV/0!</v>
      </c>
      <c r="L432" s="87" t="e">
        <f t="shared" si="17"/>
        <v>#DIV/0!</v>
      </c>
      <c r="M432" s="88" t="e">
        <f t="shared" si="17"/>
        <v>#DIV/0!</v>
      </c>
      <c r="O432" s="121" t="str">
        <f t="shared" si="16"/>
        <v>חיפה נווה שאנן</v>
      </c>
      <c r="P432" s="121" t="str">
        <f t="shared" si="16"/>
        <v>זבולון</v>
      </c>
    </row>
    <row r="433" spans="1:16" x14ac:dyDescent="0.3">
      <c r="A433" s="60">
        <v>17</v>
      </c>
      <c r="B433" s="121">
        <v>12</v>
      </c>
      <c r="C433" s="79"/>
      <c r="D433" s="79"/>
      <c r="E433" s="79"/>
      <c r="F433" s="79"/>
      <c r="G433" s="94"/>
      <c r="I433" s="86" t="e">
        <f t="shared" si="17"/>
        <v>#DIV/0!</v>
      </c>
      <c r="J433" s="87" t="e">
        <f t="shared" si="17"/>
        <v>#DIV/0!</v>
      </c>
      <c r="K433" s="87" t="e">
        <f t="shared" si="17"/>
        <v>#DIV/0!</v>
      </c>
      <c r="L433" s="87" t="e">
        <f t="shared" si="17"/>
        <v>#DIV/0!</v>
      </c>
      <c r="M433" s="88" t="e">
        <f t="shared" si="17"/>
        <v>#DIV/0!</v>
      </c>
      <c r="O433" s="121" t="str">
        <f t="shared" si="16"/>
        <v>חיפה נווה שאנן</v>
      </c>
      <c r="P433" s="121" t="str">
        <f t="shared" si="16"/>
        <v>חיפה מפרץ</v>
      </c>
    </row>
    <row r="434" spans="1:16" x14ac:dyDescent="0.3">
      <c r="A434" s="60">
        <v>17</v>
      </c>
      <c r="B434" s="121">
        <v>13</v>
      </c>
      <c r="C434" s="79"/>
      <c r="D434" s="79"/>
      <c r="E434" s="79"/>
      <c r="F434" s="79"/>
      <c r="G434" s="94"/>
      <c r="I434" s="86" t="e">
        <f t="shared" si="17"/>
        <v>#DIV/0!</v>
      </c>
      <c r="J434" s="87" t="e">
        <f t="shared" si="17"/>
        <v>#DIV/0!</v>
      </c>
      <c r="K434" s="87" t="e">
        <f t="shared" si="17"/>
        <v>#DIV/0!</v>
      </c>
      <c r="L434" s="87" t="e">
        <f t="shared" si="17"/>
        <v>#DIV/0!</v>
      </c>
      <c r="M434" s="88" t="e">
        <f t="shared" si="17"/>
        <v>#DIV/0!</v>
      </c>
      <c r="O434" s="121" t="str">
        <f t="shared" si="16"/>
        <v>חיפה נווה שאנן</v>
      </c>
      <c r="P434" s="121" t="str">
        <f t="shared" si="16"/>
        <v>חיפה עיר תחתית</v>
      </c>
    </row>
    <row r="435" spans="1:16" x14ac:dyDescent="0.3">
      <c r="A435" s="60">
        <v>17</v>
      </c>
      <c r="B435" s="121">
        <v>14</v>
      </c>
      <c r="C435" s="79"/>
      <c r="D435" s="79"/>
      <c r="E435" s="79"/>
      <c r="F435" s="79"/>
      <c r="G435" s="94"/>
      <c r="I435" s="86" t="e">
        <f t="shared" si="17"/>
        <v>#DIV/0!</v>
      </c>
      <c r="J435" s="87" t="e">
        <f t="shared" si="17"/>
        <v>#DIV/0!</v>
      </c>
      <c r="K435" s="87" t="e">
        <f t="shared" si="17"/>
        <v>#DIV/0!</v>
      </c>
      <c r="L435" s="87" t="e">
        <f t="shared" si="17"/>
        <v>#DIV/0!</v>
      </c>
      <c r="M435" s="88" t="e">
        <f t="shared" si="17"/>
        <v>#DIV/0!</v>
      </c>
      <c r="O435" s="121" t="str">
        <f t="shared" si="16"/>
        <v>חיפה נווה שאנן</v>
      </c>
      <c r="P435" s="121" t="str">
        <f t="shared" si="16"/>
        <v>חיפה הדר-כרמל</v>
      </c>
    </row>
    <row r="436" spans="1:16" x14ac:dyDescent="0.3">
      <c r="A436" s="60">
        <v>17</v>
      </c>
      <c r="B436" s="121">
        <v>15</v>
      </c>
      <c r="C436" s="79"/>
      <c r="D436" s="79"/>
      <c r="E436" s="79"/>
      <c r="F436" s="79"/>
      <c r="G436" s="94"/>
      <c r="I436" s="86" t="e">
        <f t="shared" si="17"/>
        <v>#DIV/0!</v>
      </c>
      <c r="J436" s="87" t="e">
        <f t="shared" si="17"/>
        <v>#DIV/0!</v>
      </c>
      <c r="K436" s="87" t="e">
        <f t="shared" si="17"/>
        <v>#DIV/0!</v>
      </c>
      <c r="L436" s="87" t="e">
        <f t="shared" si="17"/>
        <v>#DIV/0!</v>
      </c>
      <c r="M436" s="88" t="e">
        <f t="shared" si="17"/>
        <v>#DIV/0!</v>
      </c>
      <c r="O436" s="121" t="str">
        <f t="shared" si="16"/>
        <v>חיפה נווה שאנן</v>
      </c>
      <c r="P436" s="121" t="str">
        <f t="shared" si="16"/>
        <v>חיפה מערב</v>
      </c>
    </row>
    <row r="437" spans="1:16" x14ac:dyDescent="0.3">
      <c r="A437" s="60">
        <v>17</v>
      </c>
      <c r="B437" s="121">
        <v>16</v>
      </c>
      <c r="C437" s="79"/>
      <c r="D437" s="79"/>
      <c r="E437" s="79"/>
      <c r="F437" s="79"/>
      <c r="G437" s="94"/>
      <c r="I437" s="86" t="e">
        <f t="shared" si="17"/>
        <v>#DIV/0!</v>
      </c>
      <c r="J437" s="87" t="e">
        <f t="shared" si="17"/>
        <v>#DIV/0!</v>
      </c>
      <c r="K437" s="87" t="e">
        <f t="shared" si="17"/>
        <v>#DIV/0!</v>
      </c>
      <c r="L437" s="87" t="e">
        <f t="shared" si="17"/>
        <v>#DIV/0!</v>
      </c>
      <c r="M437" s="88" t="e">
        <f t="shared" si="17"/>
        <v>#DIV/0!</v>
      </c>
      <c r="O437" s="121" t="str">
        <f t="shared" si="16"/>
        <v>חיפה נווה שאנן</v>
      </c>
      <c r="P437" s="121" t="str">
        <f t="shared" si="16"/>
        <v>חיפה כרמל</v>
      </c>
    </row>
    <row r="438" spans="1:16" x14ac:dyDescent="0.3">
      <c r="A438" s="60">
        <v>17</v>
      </c>
      <c r="B438" s="121">
        <v>17</v>
      </c>
      <c r="C438" s="79"/>
      <c r="D438" s="79"/>
      <c r="E438" s="79"/>
      <c r="F438" s="79"/>
      <c r="G438" s="94"/>
      <c r="I438" s="86" t="e">
        <f t="shared" si="17"/>
        <v>#DIV/0!</v>
      </c>
      <c r="J438" s="87" t="e">
        <f t="shared" si="17"/>
        <v>#DIV/0!</v>
      </c>
      <c r="K438" s="87" t="e">
        <f t="shared" si="17"/>
        <v>#DIV/0!</v>
      </c>
      <c r="L438" s="87" t="e">
        <f t="shared" si="17"/>
        <v>#DIV/0!</v>
      </c>
      <c r="M438" s="88" t="e">
        <f t="shared" si="17"/>
        <v>#DIV/0!</v>
      </c>
      <c r="O438" s="121" t="str">
        <f t="shared" si="16"/>
        <v>חיפה נווה שאנן</v>
      </c>
      <c r="P438" s="121" t="str">
        <f t="shared" si="16"/>
        <v>חיפה נווה שאנן</v>
      </c>
    </row>
    <row r="439" spans="1:16" x14ac:dyDescent="0.3">
      <c r="A439" s="60">
        <v>17</v>
      </c>
      <c r="B439" s="121">
        <v>18</v>
      </c>
      <c r="C439" s="79"/>
      <c r="D439" s="79"/>
      <c r="E439" s="79"/>
      <c r="F439" s="79"/>
      <c r="G439" s="94"/>
      <c r="I439" s="86" t="e">
        <f t="shared" si="17"/>
        <v>#DIV/0!</v>
      </c>
      <c r="J439" s="87" t="e">
        <f t="shared" si="17"/>
        <v>#DIV/0!</v>
      </c>
      <c r="K439" s="87" t="e">
        <f t="shared" si="17"/>
        <v>#DIV/0!</v>
      </c>
      <c r="L439" s="87" t="e">
        <f t="shared" si="17"/>
        <v>#DIV/0!</v>
      </c>
      <c r="M439" s="88" t="e">
        <f t="shared" si="17"/>
        <v>#DIV/0!</v>
      </c>
      <c r="O439" s="121" t="str">
        <f t="shared" si="16"/>
        <v>חיפה נווה שאנן</v>
      </c>
      <c r="P439" s="121" t="str">
        <f t="shared" si="16"/>
        <v>נשר</v>
      </c>
    </row>
    <row r="440" spans="1:16" x14ac:dyDescent="0.3">
      <c r="A440" s="60">
        <v>17</v>
      </c>
      <c r="B440" s="121">
        <v>19</v>
      </c>
      <c r="C440" s="79"/>
      <c r="D440" s="79"/>
      <c r="E440" s="79"/>
      <c r="F440" s="79"/>
      <c r="G440" s="94"/>
      <c r="I440" s="86" t="e">
        <f t="shared" si="17"/>
        <v>#DIV/0!</v>
      </c>
      <c r="J440" s="87" t="e">
        <f t="shared" si="17"/>
        <v>#DIV/0!</v>
      </c>
      <c r="K440" s="87" t="e">
        <f t="shared" si="17"/>
        <v>#DIV/0!</v>
      </c>
      <c r="L440" s="87" t="e">
        <f t="shared" si="17"/>
        <v>#DIV/0!</v>
      </c>
      <c r="M440" s="88" t="e">
        <f t="shared" si="17"/>
        <v>#DIV/0!</v>
      </c>
      <c r="O440" s="121" t="str">
        <f t="shared" si="16"/>
        <v>חיפה נווה שאנן</v>
      </c>
      <c r="P440" s="121" t="str">
        <f t="shared" si="16"/>
        <v>נצרת</v>
      </c>
    </row>
    <row r="441" spans="1:16" x14ac:dyDescent="0.3">
      <c r="A441" s="60">
        <v>17</v>
      </c>
      <c r="B441" s="121">
        <v>20</v>
      </c>
      <c r="C441" s="79"/>
      <c r="D441" s="79"/>
      <c r="E441" s="79"/>
      <c r="F441" s="79"/>
      <c r="G441" s="94"/>
      <c r="I441" s="86" t="e">
        <f t="shared" si="17"/>
        <v>#DIV/0!</v>
      </c>
      <c r="J441" s="87" t="e">
        <f t="shared" si="17"/>
        <v>#DIV/0!</v>
      </c>
      <c r="K441" s="87" t="e">
        <f t="shared" si="17"/>
        <v>#DIV/0!</v>
      </c>
      <c r="L441" s="87" t="e">
        <f t="shared" si="17"/>
        <v>#DIV/0!</v>
      </c>
      <c r="M441" s="88" t="e">
        <f t="shared" si="17"/>
        <v>#DIV/0!</v>
      </c>
      <c r="O441" s="121" t="str">
        <f t="shared" si="16"/>
        <v>חיפה נווה שאנן</v>
      </c>
      <c r="P441" s="121" t="str">
        <f t="shared" si="16"/>
        <v>נצרת-עילית</v>
      </c>
    </row>
    <row r="442" spans="1:16" x14ac:dyDescent="0.3">
      <c r="A442" s="60">
        <v>17</v>
      </c>
      <c r="B442" s="121">
        <v>21</v>
      </c>
      <c r="C442" s="79"/>
      <c r="D442" s="79"/>
      <c r="E442" s="79"/>
      <c r="F442" s="79"/>
      <c r="G442" s="94"/>
      <c r="I442" s="86" t="e">
        <f t="shared" si="17"/>
        <v>#DIV/0!</v>
      </c>
      <c r="J442" s="87" t="e">
        <f t="shared" si="17"/>
        <v>#DIV/0!</v>
      </c>
      <c r="K442" s="87" t="e">
        <f t="shared" si="17"/>
        <v>#DIV/0!</v>
      </c>
      <c r="L442" s="87" t="e">
        <f t="shared" si="17"/>
        <v>#DIV/0!</v>
      </c>
      <c r="M442" s="88" t="e">
        <f t="shared" si="17"/>
        <v>#DIV/0!</v>
      </c>
      <c r="O442" s="121" t="str">
        <f t="shared" si="16"/>
        <v>חיפה נווה שאנן</v>
      </c>
      <c r="P442" s="121" t="str">
        <f t="shared" si="16"/>
        <v>מגדל העמק</v>
      </c>
    </row>
    <row r="443" spans="1:16" x14ac:dyDescent="0.3">
      <c r="A443" s="60">
        <v>17</v>
      </c>
      <c r="B443" s="121">
        <v>22</v>
      </c>
      <c r="C443" s="79"/>
      <c r="D443" s="79"/>
      <c r="E443" s="79"/>
      <c r="F443" s="79"/>
      <c r="G443" s="94"/>
      <c r="I443" s="86" t="e">
        <f t="shared" si="17"/>
        <v>#DIV/0!</v>
      </c>
      <c r="J443" s="87" t="e">
        <f t="shared" si="17"/>
        <v>#DIV/0!</v>
      </c>
      <c r="K443" s="87" t="e">
        <f t="shared" si="17"/>
        <v>#DIV/0!</v>
      </c>
      <c r="L443" s="87" t="e">
        <f t="shared" si="17"/>
        <v>#DIV/0!</v>
      </c>
      <c r="M443" s="88" t="e">
        <f t="shared" si="17"/>
        <v>#DIV/0!</v>
      </c>
      <c r="O443" s="121" t="str">
        <f t="shared" si="16"/>
        <v>חיפה נווה שאנן</v>
      </c>
      <c r="P443" s="121" t="str">
        <f t="shared" si="16"/>
        <v>יוקנעם</v>
      </c>
    </row>
    <row r="444" spans="1:16" x14ac:dyDescent="0.3">
      <c r="A444" s="60">
        <v>17</v>
      </c>
      <c r="B444" s="121">
        <v>23</v>
      </c>
      <c r="C444" s="79"/>
      <c r="D444" s="79"/>
      <c r="E444" s="79"/>
      <c r="F444" s="79"/>
      <c r="G444" s="94"/>
      <c r="I444" s="86" t="e">
        <f t="shared" si="17"/>
        <v>#DIV/0!</v>
      </c>
      <c r="J444" s="87" t="e">
        <f t="shared" si="17"/>
        <v>#DIV/0!</v>
      </c>
      <c r="K444" s="87" t="e">
        <f t="shared" si="17"/>
        <v>#DIV/0!</v>
      </c>
      <c r="L444" s="87" t="e">
        <f t="shared" si="17"/>
        <v>#DIV/0!</v>
      </c>
      <c r="M444" s="88" t="e">
        <f t="shared" si="17"/>
        <v>#DIV/0!</v>
      </c>
      <c r="O444" s="121" t="str">
        <f t="shared" si="16"/>
        <v>חיפה נווה שאנן</v>
      </c>
      <c r="P444" s="121" t="str">
        <f t="shared" si="16"/>
        <v>דלית אל כרמל</v>
      </c>
    </row>
    <row r="445" spans="1:16" x14ac:dyDescent="0.3">
      <c r="A445" s="60">
        <v>17</v>
      </c>
      <c r="B445" s="121">
        <v>24</v>
      </c>
      <c r="C445" s="79"/>
      <c r="D445" s="79"/>
      <c r="E445" s="79"/>
      <c r="F445" s="79"/>
      <c r="G445" s="94"/>
      <c r="I445" s="86" t="e">
        <f t="shared" si="17"/>
        <v>#DIV/0!</v>
      </c>
      <c r="J445" s="87" t="e">
        <f t="shared" si="17"/>
        <v>#DIV/0!</v>
      </c>
      <c r="K445" s="87" t="e">
        <f t="shared" si="17"/>
        <v>#DIV/0!</v>
      </c>
      <c r="L445" s="87" t="e">
        <f t="shared" si="17"/>
        <v>#DIV/0!</v>
      </c>
      <c r="M445" s="88" t="e">
        <f t="shared" si="17"/>
        <v>#DIV/0!</v>
      </c>
      <c r="O445" s="121" t="str">
        <f t="shared" si="16"/>
        <v>חיפה נווה שאנן</v>
      </c>
      <c r="P445" s="121" t="str">
        <f t="shared" si="16"/>
        <v>חוף הכרמל</v>
      </c>
    </row>
    <row r="446" spans="1:16" x14ac:dyDescent="0.3">
      <c r="A446" s="60">
        <v>17</v>
      </c>
      <c r="B446" s="121">
        <v>25</v>
      </c>
      <c r="C446" s="79"/>
      <c r="D446" s="79"/>
      <c r="E446" s="79"/>
      <c r="F446" s="79"/>
      <c r="G446" s="94"/>
      <c r="I446" s="86" t="e">
        <f t="shared" si="17"/>
        <v>#DIV/0!</v>
      </c>
      <c r="J446" s="87" t="e">
        <f t="shared" si="17"/>
        <v>#DIV/0!</v>
      </c>
      <c r="K446" s="87" t="e">
        <f t="shared" si="17"/>
        <v>#DIV/0!</v>
      </c>
      <c r="L446" s="87" t="e">
        <f t="shared" si="17"/>
        <v>#DIV/0!</v>
      </c>
      <c r="M446" s="88" t="e">
        <f t="shared" si="17"/>
        <v>#DIV/0!</v>
      </c>
      <c r="O446" s="121" t="str">
        <f t="shared" si="16"/>
        <v>חיפה נווה שאנן</v>
      </c>
      <c r="P446" s="121" t="str">
        <f t="shared" si="16"/>
        <v>זכרון יעקב</v>
      </c>
    </row>
    <row r="447" spans="1:16" x14ac:dyDescent="0.3">
      <c r="A447" s="60">
        <v>17</v>
      </c>
      <c r="B447" s="121">
        <v>30</v>
      </c>
      <c r="C447" s="79"/>
      <c r="D447" s="79"/>
      <c r="E447" s="79"/>
      <c r="F447" s="79"/>
      <c r="G447" s="94"/>
      <c r="I447" s="86" t="e">
        <f t="shared" si="17"/>
        <v>#DIV/0!</v>
      </c>
      <c r="J447" s="87" t="e">
        <f t="shared" si="17"/>
        <v>#DIV/0!</v>
      </c>
      <c r="K447" s="87" t="e">
        <f t="shared" si="17"/>
        <v>#DIV/0!</v>
      </c>
      <c r="L447" s="87" t="e">
        <f t="shared" si="17"/>
        <v>#DIV/0!</v>
      </c>
      <c r="M447" s="88" t="e">
        <f t="shared" si="17"/>
        <v>#DIV/0!</v>
      </c>
      <c r="O447" s="121" t="str">
        <f t="shared" si="16"/>
        <v>חיפה נווה שאנן</v>
      </c>
      <c r="P447" s="121" t="str">
        <f t="shared" si="16"/>
        <v>סכנין</v>
      </c>
    </row>
    <row r="448" spans="1:16" x14ac:dyDescent="0.3">
      <c r="A448" s="60">
        <v>18</v>
      </c>
      <c r="B448" s="121">
        <v>1</v>
      </c>
      <c r="C448" s="79"/>
      <c r="D448" s="79"/>
      <c r="E448" s="79"/>
      <c r="F448" s="79"/>
      <c r="G448" s="94"/>
      <c r="I448" s="86" t="e">
        <f t="shared" si="17"/>
        <v>#DIV/0!</v>
      </c>
      <c r="J448" s="87" t="e">
        <f t="shared" si="17"/>
        <v>#DIV/0!</v>
      </c>
      <c r="K448" s="87" t="e">
        <f t="shared" si="17"/>
        <v>#DIV/0!</v>
      </c>
      <c r="L448" s="87" t="e">
        <f t="shared" si="17"/>
        <v>#DIV/0!</v>
      </c>
      <c r="M448" s="88" t="e">
        <f t="shared" si="17"/>
        <v>#DIV/0!</v>
      </c>
      <c r="O448" s="121" t="str">
        <f t="shared" si="16"/>
        <v>נשר</v>
      </c>
      <c r="P448" s="121" t="str">
        <f t="shared" si="16"/>
        <v>נהריה</v>
      </c>
    </row>
    <row r="449" spans="1:16" x14ac:dyDescent="0.3">
      <c r="A449" s="60">
        <v>18</v>
      </c>
      <c r="B449" s="121">
        <v>2</v>
      </c>
      <c r="C449" s="79"/>
      <c r="D449" s="79"/>
      <c r="E449" s="79"/>
      <c r="F449" s="79"/>
      <c r="G449" s="94"/>
      <c r="I449" s="86" t="e">
        <f t="shared" si="17"/>
        <v>#DIV/0!</v>
      </c>
      <c r="J449" s="87" t="e">
        <f t="shared" si="17"/>
        <v>#DIV/0!</v>
      </c>
      <c r="K449" s="87" t="e">
        <f t="shared" si="17"/>
        <v>#DIV/0!</v>
      </c>
      <c r="L449" s="87" t="e">
        <f t="shared" si="17"/>
        <v>#DIV/0!</v>
      </c>
      <c r="M449" s="88" t="e">
        <f t="shared" si="17"/>
        <v>#DIV/0!</v>
      </c>
      <c r="O449" s="121" t="str">
        <f t="shared" si="16"/>
        <v>נשר</v>
      </c>
      <c r="P449" s="121" t="str">
        <f t="shared" si="16"/>
        <v>עכו</v>
      </c>
    </row>
    <row r="450" spans="1:16" x14ac:dyDescent="0.3">
      <c r="A450" s="60">
        <v>18</v>
      </c>
      <c r="B450" s="121">
        <v>3</v>
      </c>
      <c r="C450" s="79"/>
      <c r="D450" s="79"/>
      <c r="E450" s="79"/>
      <c r="F450" s="79"/>
      <c r="G450" s="94"/>
      <c r="I450" s="86" t="e">
        <f t="shared" si="17"/>
        <v>#DIV/0!</v>
      </c>
      <c r="J450" s="87" t="e">
        <f t="shared" si="17"/>
        <v>#DIV/0!</v>
      </c>
      <c r="K450" s="87" t="e">
        <f t="shared" si="17"/>
        <v>#DIV/0!</v>
      </c>
      <c r="L450" s="87" t="e">
        <f t="shared" si="17"/>
        <v>#DIV/0!</v>
      </c>
      <c r="M450" s="88" t="e">
        <f t="shared" si="17"/>
        <v>#DIV/0!</v>
      </c>
      <c r="O450" s="121" t="str">
        <f t="shared" si="16"/>
        <v>נשר</v>
      </c>
      <c r="P450" s="121" t="str">
        <f t="shared" si="16"/>
        <v>כרמיאל</v>
      </c>
    </row>
    <row r="451" spans="1:16" x14ac:dyDescent="0.3">
      <c r="A451" s="60">
        <v>18</v>
      </c>
      <c r="B451" s="121">
        <v>4</v>
      </c>
      <c r="C451" s="79"/>
      <c r="D451" s="79"/>
      <c r="E451" s="79"/>
      <c r="F451" s="79"/>
      <c r="G451" s="94"/>
      <c r="I451" s="86" t="e">
        <f t="shared" si="17"/>
        <v>#DIV/0!</v>
      </c>
      <c r="J451" s="87" t="e">
        <f t="shared" si="17"/>
        <v>#DIV/0!</v>
      </c>
      <c r="K451" s="87" t="e">
        <f t="shared" si="17"/>
        <v>#DIV/0!</v>
      </c>
      <c r="L451" s="87" t="e">
        <f t="shared" si="17"/>
        <v>#DIV/0!</v>
      </c>
      <c r="M451" s="88" t="e">
        <f t="shared" si="17"/>
        <v>#DIV/0!</v>
      </c>
      <c r="O451" s="121" t="str">
        <f t="shared" si="16"/>
        <v>נשר</v>
      </c>
      <c r="P451" s="121" t="str">
        <f t="shared" si="16"/>
        <v>שפרעם</v>
      </c>
    </row>
    <row r="452" spans="1:16" x14ac:dyDescent="0.3">
      <c r="A452" s="60">
        <v>18</v>
      </c>
      <c r="B452" s="121">
        <v>5</v>
      </c>
      <c r="C452" s="79"/>
      <c r="D452" s="79"/>
      <c r="E452" s="79"/>
      <c r="F452" s="79"/>
      <c r="G452" s="94"/>
      <c r="I452" s="86" t="e">
        <f t="shared" si="17"/>
        <v>#DIV/0!</v>
      </c>
      <c r="J452" s="87" t="e">
        <f t="shared" si="17"/>
        <v>#DIV/0!</v>
      </c>
      <c r="K452" s="87" t="e">
        <f t="shared" si="17"/>
        <v>#DIV/0!</v>
      </c>
      <c r="L452" s="87" t="e">
        <f t="shared" si="17"/>
        <v>#DIV/0!</v>
      </c>
      <c r="M452" s="88" t="e">
        <f t="shared" si="17"/>
        <v>#DIV/0!</v>
      </c>
      <c r="O452" s="121" t="str">
        <f t="shared" si="16"/>
        <v>נשר</v>
      </c>
      <c r="P452" s="121" t="str">
        <f t="shared" si="16"/>
        <v>קרית ים</v>
      </c>
    </row>
    <row r="453" spans="1:16" x14ac:dyDescent="0.3">
      <c r="A453" s="60">
        <v>18</v>
      </c>
      <c r="B453" s="121">
        <v>6</v>
      </c>
      <c r="C453" s="79"/>
      <c r="D453" s="79"/>
      <c r="E453" s="79"/>
      <c r="F453" s="79"/>
      <c r="G453" s="94"/>
      <c r="I453" s="86" t="e">
        <f t="shared" si="17"/>
        <v>#DIV/0!</v>
      </c>
      <c r="J453" s="87" t="e">
        <f t="shared" si="17"/>
        <v>#DIV/0!</v>
      </c>
      <c r="K453" s="87" t="e">
        <f t="shared" si="17"/>
        <v>#DIV/0!</v>
      </c>
      <c r="L453" s="87" t="e">
        <f t="shared" si="17"/>
        <v>#DIV/0!</v>
      </c>
      <c r="M453" s="88" t="e">
        <f t="shared" si="17"/>
        <v>#DIV/0!</v>
      </c>
      <c r="O453" s="121" t="str">
        <f t="shared" si="16"/>
        <v>נשר</v>
      </c>
      <c r="P453" s="121" t="str">
        <f t="shared" si="16"/>
        <v>קרית מוצקין</v>
      </c>
    </row>
    <row r="454" spans="1:16" x14ac:dyDescent="0.3">
      <c r="A454" s="60">
        <v>18</v>
      </c>
      <c r="B454" s="121">
        <v>7</v>
      </c>
      <c r="C454" s="79"/>
      <c r="D454" s="79"/>
      <c r="E454" s="79"/>
      <c r="F454" s="79"/>
      <c r="G454" s="94"/>
      <c r="I454" s="86" t="e">
        <f t="shared" si="17"/>
        <v>#DIV/0!</v>
      </c>
      <c r="J454" s="87" t="e">
        <f t="shared" si="17"/>
        <v>#DIV/0!</v>
      </c>
      <c r="K454" s="87" t="e">
        <f t="shared" si="17"/>
        <v>#DIV/0!</v>
      </c>
      <c r="L454" s="87" t="e">
        <f t="shared" si="17"/>
        <v>#DIV/0!</v>
      </c>
      <c r="M454" s="88" t="e">
        <f t="shared" si="17"/>
        <v>#DIV/0!</v>
      </c>
      <c r="O454" s="121" t="str">
        <f t="shared" si="16"/>
        <v>נשר</v>
      </c>
      <c r="P454" s="121" t="str">
        <f t="shared" si="16"/>
        <v>קרית ביאליק</v>
      </c>
    </row>
    <row r="455" spans="1:16" x14ac:dyDescent="0.3">
      <c r="A455" s="60">
        <v>18</v>
      </c>
      <c r="B455" s="121">
        <v>8</v>
      </c>
      <c r="C455" s="79"/>
      <c r="D455" s="79"/>
      <c r="E455" s="79"/>
      <c r="F455" s="79"/>
      <c r="G455" s="94"/>
      <c r="I455" s="86" t="e">
        <f t="shared" si="17"/>
        <v>#DIV/0!</v>
      </c>
      <c r="J455" s="87" t="e">
        <f t="shared" si="17"/>
        <v>#DIV/0!</v>
      </c>
      <c r="K455" s="87" t="e">
        <f t="shared" si="17"/>
        <v>#DIV/0!</v>
      </c>
      <c r="L455" s="87" t="e">
        <f t="shared" si="17"/>
        <v>#DIV/0!</v>
      </c>
      <c r="M455" s="88" t="e">
        <f t="shared" si="17"/>
        <v>#DIV/0!</v>
      </c>
      <c r="O455" s="121" t="str">
        <f t="shared" si="16"/>
        <v>נשר</v>
      </c>
      <c r="P455" s="121" t="str">
        <f t="shared" si="16"/>
        <v>קרית חיים</v>
      </c>
    </row>
    <row r="456" spans="1:16" x14ac:dyDescent="0.3">
      <c r="A456" s="60">
        <v>18</v>
      </c>
      <c r="B456" s="121">
        <v>9</v>
      </c>
      <c r="C456" s="79"/>
      <c r="D456" s="79"/>
      <c r="E456" s="79"/>
      <c r="F456" s="79"/>
      <c r="G456" s="94"/>
      <c r="I456" s="86" t="e">
        <f t="shared" si="17"/>
        <v>#DIV/0!</v>
      </c>
      <c r="J456" s="87" t="e">
        <f t="shared" si="17"/>
        <v>#DIV/0!</v>
      </c>
      <c r="K456" s="87" t="e">
        <f t="shared" si="17"/>
        <v>#DIV/0!</v>
      </c>
      <c r="L456" s="87" t="e">
        <f t="shared" si="17"/>
        <v>#DIV/0!</v>
      </c>
      <c r="M456" s="88" t="e">
        <f t="shared" si="17"/>
        <v>#DIV/0!</v>
      </c>
      <c r="O456" s="121" t="str">
        <f t="shared" ref="O456:P519" si="18">VLOOKUP(A456,$S$6:$T$31,2,0)</f>
        <v>נשר</v>
      </c>
      <c r="P456" s="121" t="str">
        <f t="shared" si="18"/>
        <v>קרית אתא</v>
      </c>
    </row>
    <row r="457" spans="1:16" x14ac:dyDescent="0.3">
      <c r="A457" s="60">
        <v>18</v>
      </c>
      <c r="B457" s="121">
        <v>10</v>
      </c>
      <c r="C457" s="79"/>
      <c r="D457" s="79"/>
      <c r="E457" s="79"/>
      <c r="F457" s="79"/>
      <c r="G457" s="94"/>
      <c r="I457" s="86" t="e">
        <f t="shared" si="17"/>
        <v>#DIV/0!</v>
      </c>
      <c r="J457" s="87" t="e">
        <f t="shared" si="17"/>
        <v>#DIV/0!</v>
      </c>
      <c r="K457" s="87" t="e">
        <f t="shared" si="17"/>
        <v>#DIV/0!</v>
      </c>
      <c r="L457" s="87" t="e">
        <f t="shared" si="17"/>
        <v>#DIV/0!</v>
      </c>
      <c r="M457" s="88" t="e">
        <f t="shared" si="17"/>
        <v>#DIV/0!</v>
      </c>
      <c r="O457" s="121" t="str">
        <f t="shared" si="18"/>
        <v>נשר</v>
      </c>
      <c r="P457" s="121" t="str">
        <f t="shared" si="18"/>
        <v>כפר מנדא</v>
      </c>
    </row>
    <row r="458" spans="1:16" x14ac:dyDescent="0.3">
      <c r="A458" s="60">
        <v>18</v>
      </c>
      <c r="B458" s="121">
        <v>11</v>
      </c>
      <c r="C458" s="79"/>
      <c r="D458" s="79"/>
      <c r="E458" s="79"/>
      <c r="F458" s="79"/>
      <c r="G458" s="94"/>
      <c r="I458" s="86" t="e">
        <f t="shared" si="17"/>
        <v>#DIV/0!</v>
      </c>
      <c r="J458" s="87" t="e">
        <f t="shared" si="17"/>
        <v>#DIV/0!</v>
      </c>
      <c r="K458" s="87" t="e">
        <f t="shared" si="17"/>
        <v>#DIV/0!</v>
      </c>
      <c r="L458" s="87" t="e">
        <f t="shared" si="17"/>
        <v>#DIV/0!</v>
      </c>
      <c r="M458" s="88" t="e">
        <f t="shared" si="17"/>
        <v>#DIV/0!</v>
      </c>
      <c r="O458" s="121" t="str">
        <f t="shared" si="18"/>
        <v>נשר</v>
      </c>
      <c r="P458" s="121" t="str">
        <f t="shared" si="18"/>
        <v>זבולון</v>
      </c>
    </row>
    <row r="459" spans="1:16" x14ac:dyDescent="0.3">
      <c r="A459" s="60">
        <v>18</v>
      </c>
      <c r="B459" s="121">
        <v>12</v>
      </c>
      <c r="C459" s="79"/>
      <c r="D459" s="79"/>
      <c r="E459" s="79"/>
      <c r="F459" s="79"/>
      <c r="G459" s="94"/>
      <c r="I459" s="86" t="e">
        <f t="shared" si="17"/>
        <v>#DIV/0!</v>
      </c>
      <c r="J459" s="87" t="e">
        <f t="shared" si="17"/>
        <v>#DIV/0!</v>
      </c>
      <c r="K459" s="87" t="e">
        <f t="shared" si="17"/>
        <v>#DIV/0!</v>
      </c>
      <c r="L459" s="87" t="e">
        <f t="shared" si="17"/>
        <v>#DIV/0!</v>
      </c>
      <c r="M459" s="88" t="e">
        <f t="shared" si="17"/>
        <v>#DIV/0!</v>
      </c>
      <c r="O459" s="121" t="str">
        <f t="shared" si="18"/>
        <v>נשר</v>
      </c>
      <c r="P459" s="121" t="str">
        <f t="shared" si="18"/>
        <v>חיפה מפרץ</v>
      </c>
    </row>
    <row r="460" spans="1:16" x14ac:dyDescent="0.3">
      <c r="A460" s="60">
        <v>18</v>
      </c>
      <c r="B460" s="121">
        <v>13</v>
      </c>
      <c r="C460" s="79"/>
      <c r="D460" s="79"/>
      <c r="E460" s="79"/>
      <c r="F460" s="79"/>
      <c r="G460" s="94"/>
      <c r="I460" s="86" t="e">
        <f t="shared" si="17"/>
        <v>#DIV/0!</v>
      </c>
      <c r="J460" s="87" t="e">
        <f t="shared" si="17"/>
        <v>#DIV/0!</v>
      </c>
      <c r="K460" s="87" t="e">
        <f t="shared" si="17"/>
        <v>#DIV/0!</v>
      </c>
      <c r="L460" s="87" t="e">
        <f t="shared" si="17"/>
        <v>#DIV/0!</v>
      </c>
      <c r="M460" s="88" t="e">
        <f t="shared" si="17"/>
        <v>#DIV/0!</v>
      </c>
      <c r="O460" s="121" t="str">
        <f t="shared" si="18"/>
        <v>נשר</v>
      </c>
      <c r="P460" s="121" t="str">
        <f t="shared" si="18"/>
        <v>חיפה עיר תחתית</v>
      </c>
    </row>
    <row r="461" spans="1:16" x14ac:dyDescent="0.3">
      <c r="A461" s="60">
        <v>18</v>
      </c>
      <c r="B461" s="121">
        <v>14</v>
      </c>
      <c r="C461" s="79"/>
      <c r="D461" s="79"/>
      <c r="E461" s="79"/>
      <c r="F461" s="79"/>
      <c r="G461" s="94"/>
      <c r="I461" s="86" t="e">
        <f t="shared" si="17"/>
        <v>#DIV/0!</v>
      </c>
      <c r="J461" s="87" t="e">
        <f t="shared" si="17"/>
        <v>#DIV/0!</v>
      </c>
      <c r="K461" s="87" t="e">
        <f t="shared" si="17"/>
        <v>#DIV/0!</v>
      </c>
      <c r="L461" s="87" t="e">
        <f t="shared" si="17"/>
        <v>#DIV/0!</v>
      </c>
      <c r="M461" s="88" t="e">
        <f t="shared" si="17"/>
        <v>#DIV/0!</v>
      </c>
      <c r="O461" s="121" t="str">
        <f t="shared" si="18"/>
        <v>נשר</v>
      </c>
      <c r="P461" s="121" t="str">
        <f t="shared" si="18"/>
        <v>חיפה הדר-כרמל</v>
      </c>
    </row>
    <row r="462" spans="1:16" x14ac:dyDescent="0.3">
      <c r="A462" s="60">
        <v>18</v>
      </c>
      <c r="B462" s="121">
        <v>15</v>
      </c>
      <c r="C462" s="79"/>
      <c r="D462" s="79"/>
      <c r="E462" s="79"/>
      <c r="F462" s="79"/>
      <c r="G462" s="94"/>
      <c r="I462" s="86" t="e">
        <f t="shared" si="17"/>
        <v>#DIV/0!</v>
      </c>
      <c r="J462" s="87" t="e">
        <f t="shared" si="17"/>
        <v>#DIV/0!</v>
      </c>
      <c r="K462" s="87" t="e">
        <f t="shared" si="17"/>
        <v>#DIV/0!</v>
      </c>
      <c r="L462" s="87" t="e">
        <f t="shared" si="17"/>
        <v>#DIV/0!</v>
      </c>
      <c r="M462" s="88" t="e">
        <f t="shared" si="17"/>
        <v>#DIV/0!</v>
      </c>
      <c r="O462" s="121" t="str">
        <f t="shared" si="18"/>
        <v>נשר</v>
      </c>
      <c r="P462" s="121" t="str">
        <f t="shared" si="18"/>
        <v>חיפה מערב</v>
      </c>
    </row>
    <row r="463" spans="1:16" x14ac:dyDescent="0.3">
      <c r="A463" s="60">
        <v>18</v>
      </c>
      <c r="B463" s="121">
        <v>16</v>
      </c>
      <c r="C463" s="79"/>
      <c r="D463" s="79"/>
      <c r="E463" s="79"/>
      <c r="F463" s="79"/>
      <c r="G463" s="94"/>
      <c r="I463" s="86" t="e">
        <f t="shared" si="17"/>
        <v>#DIV/0!</v>
      </c>
      <c r="J463" s="87" t="e">
        <f t="shared" si="17"/>
        <v>#DIV/0!</v>
      </c>
      <c r="K463" s="87" t="e">
        <f t="shared" si="17"/>
        <v>#DIV/0!</v>
      </c>
      <c r="L463" s="87" t="e">
        <f t="shared" si="17"/>
        <v>#DIV/0!</v>
      </c>
      <c r="M463" s="88" t="e">
        <f t="shared" si="17"/>
        <v>#DIV/0!</v>
      </c>
      <c r="O463" s="121" t="str">
        <f t="shared" si="18"/>
        <v>נשר</v>
      </c>
      <c r="P463" s="121" t="str">
        <f t="shared" si="18"/>
        <v>חיפה כרמל</v>
      </c>
    </row>
    <row r="464" spans="1:16" x14ac:dyDescent="0.3">
      <c r="A464" s="60">
        <v>18</v>
      </c>
      <c r="B464" s="121">
        <v>17</v>
      </c>
      <c r="C464" s="79"/>
      <c r="D464" s="79"/>
      <c r="E464" s="79"/>
      <c r="F464" s="79"/>
      <c r="G464" s="94"/>
      <c r="I464" s="86" t="e">
        <f t="shared" si="17"/>
        <v>#DIV/0!</v>
      </c>
      <c r="J464" s="87" t="e">
        <f t="shared" si="17"/>
        <v>#DIV/0!</v>
      </c>
      <c r="K464" s="87" t="e">
        <f t="shared" si="17"/>
        <v>#DIV/0!</v>
      </c>
      <c r="L464" s="87" t="e">
        <f t="shared" si="17"/>
        <v>#DIV/0!</v>
      </c>
      <c r="M464" s="88" t="e">
        <f t="shared" si="17"/>
        <v>#DIV/0!</v>
      </c>
      <c r="O464" s="121" t="str">
        <f t="shared" si="18"/>
        <v>נשר</v>
      </c>
      <c r="P464" s="121" t="str">
        <f t="shared" si="18"/>
        <v>חיפה נווה שאנן</v>
      </c>
    </row>
    <row r="465" spans="1:16" x14ac:dyDescent="0.3">
      <c r="A465" s="60">
        <v>18</v>
      </c>
      <c r="B465" s="121">
        <v>18</v>
      </c>
      <c r="C465" s="79"/>
      <c r="D465" s="79"/>
      <c r="E465" s="79"/>
      <c r="F465" s="79"/>
      <c r="G465" s="94"/>
      <c r="I465" s="86" t="e">
        <f t="shared" si="17"/>
        <v>#DIV/0!</v>
      </c>
      <c r="J465" s="87" t="e">
        <f t="shared" si="17"/>
        <v>#DIV/0!</v>
      </c>
      <c r="K465" s="87" t="e">
        <f t="shared" si="17"/>
        <v>#DIV/0!</v>
      </c>
      <c r="L465" s="87" t="e">
        <f t="shared" si="17"/>
        <v>#DIV/0!</v>
      </c>
      <c r="M465" s="88" t="e">
        <f t="shared" si="17"/>
        <v>#DIV/0!</v>
      </c>
      <c r="O465" s="121" t="str">
        <f t="shared" si="18"/>
        <v>נשר</v>
      </c>
      <c r="P465" s="121" t="str">
        <f t="shared" si="18"/>
        <v>נשר</v>
      </c>
    </row>
    <row r="466" spans="1:16" x14ac:dyDescent="0.3">
      <c r="A466" s="60">
        <v>18</v>
      </c>
      <c r="B466" s="121">
        <v>19</v>
      </c>
      <c r="C466" s="79"/>
      <c r="D466" s="79"/>
      <c r="E466" s="79"/>
      <c r="F466" s="79"/>
      <c r="G466" s="94"/>
      <c r="I466" s="86" t="e">
        <f t="shared" si="17"/>
        <v>#DIV/0!</v>
      </c>
      <c r="J466" s="87" t="e">
        <f t="shared" si="17"/>
        <v>#DIV/0!</v>
      </c>
      <c r="K466" s="87" t="e">
        <f t="shared" si="17"/>
        <v>#DIV/0!</v>
      </c>
      <c r="L466" s="87" t="e">
        <f t="shared" si="17"/>
        <v>#DIV/0!</v>
      </c>
      <c r="M466" s="88" t="e">
        <f t="shared" si="17"/>
        <v>#DIV/0!</v>
      </c>
      <c r="O466" s="121" t="str">
        <f t="shared" si="18"/>
        <v>נשר</v>
      </c>
      <c r="P466" s="121" t="str">
        <f t="shared" si="18"/>
        <v>נצרת</v>
      </c>
    </row>
    <row r="467" spans="1:16" x14ac:dyDescent="0.3">
      <c r="A467" s="60">
        <v>18</v>
      </c>
      <c r="B467" s="121">
        <v>20</v>
      </c>
      <c r="C467" s="79"/>
      <c r="D467" s="79"/>
      <c r="E467" s="79"/>
      <c r="F467" s="79"/>
      <c r="G467" s="94"/>
      <c r="I467" s="86" t="e">
        <f t="shared" si="17"/>
        <v>#DIV/0!</v>
      </c>
      <c r="J467" s="87" t="e">
        <f t="shared" si="17"/>
        <v>#DIV/0!</v>
      </c>
      <c r="K467" s="87" t="e">
        <f t="shared" si="17"/>
        <v>#DIV/0!</v>
      </c>
      <c r="L467" s="87" t="e">
        <f t="shared" si="17"/>
        <v>#DIV/0!</v>
      </c>
      <c r="M467" s="88" t="e">
        <f t="shared" si="17"/>
        <v>#DIV/0!</v>
      </c>
      <c r="O467" s="121" t="str">
        <f t="shared" si="18"/>
        <v>נשר</v>
      </c>
      <c r="P467" s="121" t="str">
        <f t="shared" si="18"/>
        <v>נצרת-עילית</v>
      </c>
    </row>
    <row r="468" spans="1:16" x14ac:dyDescent="0.3">
      <c r="A468" s="60">
        <v>18</v>
      </c>
      <c r="B468" s="121">
        <v>21</v>
      </c>
      <c r="C468" s="79"/>
      <c r="D468" s="79"/>
      <c r="E468" s="79"/>
      <c r="F468" s="79"/>
      <c r="G468" s="94"/>
      <c r="I468" s="86" t="e">
        <f t="shared" si="17"/>
        <v>#DIV/0!</v>
      </c>
      <c r="J468" s="87" t="e">
        <f t="shared" si="17"/>
        <v>#DIV/0!</v>
      </c>
      <c r="K468" s="87" t="e">
        <f t="shared" si="17"/>
        <v>#DIV/0!</v>
      </c>
      <c r="L468" s="87" t="e">
        <f t="shared" si="17"/>
        <v>#DIV/0!</v>
      </c>
      <c r="M468" s="88" t="e">
        <f t="shared" si="17"/>
        <v>#DIV/0!</v>
      </c>
      <c r="O468" s="121" t="str">
        <f t="shared" si="18"/>
        <v>נשר</v>
      </c>
      <c r="P468" s="121" t="str">
        <f t="shared" si="18"/>
        <v>מגדל העמק</v>
      </c>
    </row>
    <row r="469" spans="1:16" x14ac:dyDescent="0.3">
      <c r="A469" s="60">
        <v>18</v>
      </c>
      <c r="B469" s="121">
        <v>22</v>
      </c>
      <c r="C469" s="79"/>
      <c r="D469" s="79"/>
      <c r="E469" s="79"/>
      <c r="F469" s="79"/>
      <c r="G469" s="94"/>
      <c r="I469" s="86" t="e">
        <f t="shared" si="17"/>
        <v>#DIV/0!</v>
      </c>
      <c r="J469" s="87" t="e">
        <f t="shared" si="17"/>
        <v>#DIV/0!</v>
      </c>
      <c r="K469" s="87" t="e">
        <f t="shared" si="17"/>
        <v>#DIV/0!</v>
      </c>
      <c r="L469" s="87" t="e">
        <f t="shared" si="17"/>
        <v>#DIV/0!</v>
      </c>
      <c r="M469" s="88" t="e">
        <f t="shared" si="17"/>
        <v>#DIV/0!</v>
      </c>
      <c r="O469" s="121" t="str">
        <f t="shared" si="18"/>
        <v>נשר</v>
      </c>
      <c r="P469" s="121" t="str">
        <f t="shared" si="18"/>
        <v>יוקנעם</v>
      </c>
    </row>
    <row r="470" spans="1:16" x14ac:dyDescent="0.3">
      <c r="A470" s="60">
        <v>18</v>
      </c>
      <c r="B470" s="121">
        <v>23</v>
      </c>
      <c r="C470" s="79"/>
      <c r="D470" s="79"/>
      <c r="E470" s="79"/>
      <c r="F470" s="79"/>
      <c r="G470" s="94"/>
      <c r="I470" s="86" t="e">
        <f t="shared" si="17"/>
        <v>#DIV/0!</v>
      </c>
      <c r="J470" s="87" t="e">
        <f t="shared" si="17"/>
        <v>#DIV/0!</v>
      </c>
      <c r="K470" s="87" t="e">
        <f t="shared" si="17"/>
        <v>#DIV/0!</v>
      </c>
      <c r="L470" s="87" t="e">
        <f t="shared" si="17"/>
        <v>#DIV/0!</v>
      </c>
      <c r="M470" s="88" t="e">
        <f t="shared" si="17"/>
        <v>#DIV/0!</v>
      </c>
      <c r="O470" s="121" t="str">
        <f t="shared" si="18"/>
        <v>נשר</v>
      </c>
      <c r="P470" s="121" t="str">
        <f t="shared" si="18"/>
        <v>דלית אל כרמל</v>
      </c>
    </row>
    <row r="471" spans="1:16" x14ac:dyDescent="0.3">
      <c r="A471" s="60">
        <v>18</v>
      </c>
      <c r="B471" s="121">
        <v>24</v>
      </c>
      <c r="C471" s="79"/>
      <c r="D471" s="79"/>
      <c r="E471" s="79"/>
      <c r="F471" s="79"/>
      <c r="G471" s="94"/>
      <c r="I471" s="86" t="e">
        <f t="shared" si="17"/>
        <v>#DIV/0!</v>
      </c>
      <c r="J471" s="87" t="e">
        <f t="shared" si="17"/>
        <v>#DIV/0!</v>
      </c>
      <c r="K471" s="87" t="e">
        <f t="shared" si="17"/>
        <v>#DIV/0!</v>
      </c>
      <c r="L471" s="87" t="e">
        <f t="shared" si="17"/>
        <v>#DIV/0!</v>
      </c>
      <c r="M471" s="88" t="e">
        <f t="shared" si="17"/>
        <v>#DIV/0!</v>
      </c>
      <c r="O471" s="121" t="str">
        <f t="shared" si="18"/>
        <v>נשר</v>
      </c>
      <c r="P471" s="121" t="str">
        <f t="shared" si="18"/>
        <v>חוף הכרמל</v>
      </c>
    </row>
    <row r="472" spans="1:16" x14ac:dyDescent="0.3">
      <c r="A472" s="60">
        <v>18</v>
      </c>
      <c r="B472" s="121">
        <v>25</v>
      </c>
      <c r="C472" s="79"/>
      <c r="D472" s="79"/>
      <c r="E472" s="79"/>
      <c r="F472" s="79"/>
      <c r="G472" s="94"/>
      <c r="I472" s="86" t="e">
        <f t="shared" si="17"/>
        <v>#DIV/0!</v>
      </c>
      <c r="J472" s="87" t="e">
        <f t="shared" si="17"/>
        <v>#DIV/0!</v>
      </c>
      <c r="K472" s="87" t="e">
        <f t="shared" si="17"/>
        <v>#DIV/0!</v>
      </c>
      <c r="L472" s="87" t="e">
        <f t="shared" si="17"/>
        <v>#DIV/0!</v>
      </c>
      <c r="M472" s="88" t="e">
        <f t="shared" si="17"/>
        <v>#DIV/0!</v>
      </c>
      <c r="O472" s="121" t="str">
        <f t="shared" si="18"/>
        <v>נשר</v>
      </c>
      <c r="P472" s="121" t="str">
        <f t="shared" si="18"/>
        <v>זכרון יעקב</v>
      </c>
    </row>
    <row r="473" spans="1:16" x14ac:dyDescent="0.3">
      <c r="A473" s="60">
        <v>18</v>
      </c>
      <c r="B473" s="121">
        <v>30</v>
      </c>
      <c r="C473" s="79"/>
      <c r="D473" s="79"/>
      <c r="E473" s="79"/>
      <c r="F473" s="79"/>
      <c r="G473" s="94"/>
      <c r="I473" s="86" t="e">
        <f t="shared" si="17"/>
        <v>#DIV/0!</v>
      </c>
      <c r="J473" s="87" t="e">
        <f t="shared" si="17"/>
        <v>#DIV/0!</v>
      </c>
      <c r="K473" s="87" t="e">
        <f t="shared" si="17"/>
        <v>#DIV/0!</v>
      </c>
      <c r="L473" s="87" t="e">
        <f t="shared" si="17"/>
        <v>#DIV/0!</v>
      </c>
      <c r="M473" s="88" t="e">
        <f t="shared" si="17"/>
        <v>#DIV/0!</v>
      </c>
      <c r="O473" s="121" t="str">
        <f t="shared" si="18"/>
        <v>נשר</v>
      </c>
      <c r="P473" s="121" t="str">
        <f t="shared" si="18"/>
        <v>סכנין</v>
      </c>
    </row>
    <row r="474" spans="1:16" x14ac:dyDescent="0.3">
      <c r="A474" s="60">
        <v>19</v>
      </c>
      <c r="B474" s="121">
        <v>1</v>
      </c>
      <c r="C474" s="79"/>
      <c r="D474" s="79"/>
      <c r="E474" s="79"/>
      <c r="F474" s="79"/>
      <c r="G474" s="94"/>
      <c r="I474" s="86" t="e">
        <f t="shared" si="17"/>
        <v>#DIV/0!</v>
      </c>
      <c r="J474" s="87" t="e">
        <f t="shared" si="17"/>
        <v>#DIV/0!</v>
      </c>
      <c r="K474" s="87" t="e">
        <f t="shared" si="17"/>
        <v>#DIV/0!</v>
      </c>
      <c r="L474" s="87" t="e">
        <f t="shared" si="17"/>
        <v>#DIV/0!</v>
      </c>
      <c r="M474" s="88" t="e">
        <f t="shared" si="17"/>
        <v>#DIV/0!</v>
      </c>
      <c r="O474" s="121" t="str">
        <f t="shared" si="18"/>
        <v>נצרת</v>
      </c>
      <c r="P474" s="121" t="str">
        <f t="shared" si="18"/>
        <v>נהריה</v>
      </c>
    </row>
    <row r="475" spans="1:16" x14ac:dyDescent="0.3">
      <c r="A475" s="60">
        <v>19</v>
      </c>
      <c r="B475" s="121">
        <v>2</v>
      </c>
      <c r="C475" s="79"/>
      <c r="D475" s="79"/>
      <c r="E475" s="79"/>
      <c r="F475" s="79"/>
      <c r="G475" s="94"/>
      <c r="I475" s="86" t="e">
        <f t="shared" si="17"/>
        <v>#DIV/0!</v>
      </c>
      <c r="J475" s="87" t="e">
        <f t="shared" si="17"/>
        <v>#DIV/0!</v>
      </c>
      <c r="K475" s="87" t="e">
        <f t="shared" si="17"/>
        <v>#DIV/0!</v>
      </c>
      <c r="L475" s="87" t="e">
        <f t="shared" si="17"/>
        <v>#DIV/0!</v>
      </c>
      <c r="M475" s="88" t="e">
        <f t="shared" si="17"/>
        <v>#DIV/0!</v>
      </c>
      <c r="O475" s="121" t="str">
        <f t="shared" si="18"/>
        <v>נצרת</v>
      </c>
      <c r="P475" s="121" t="str">
        <f t="shared" si="18"/>
        <v>עכו</v>
      </c>
    </row>
    <row r="476" spans="1:16" x14ac:dyDescent="0.3">
      <c r="A476" s="60">
        <v>19</v>
      </c>
      <c r="B476" s="121">
        <v>3</v>
      </c>
      <c r="C476" s="79"/>
      <c r="D476" s="79"/>
      <c r="E476" s="79"/>
      <c r="F476" s="79"/>
      <c r="G476" s="94"/>
      <c r="I476" s="86" t="e">
        <f t="shared" si="17"/>
        <v>#DIV/0!</v>
      </c>
      <c r="J476" s="87" t="e">
        <f t="shared" si="17"/>
        <v>#DIV/0!</v>
      </c>
      <c r="K476" s="87" t="e">
        <f t="shared" si="17"/>
        <v>#DIV/0!</v>
      </c>
      <c r="L476" s="87" t="e">
        <f t="shared" si="17"/>
        <v>#DIV/0!</v>
      </c>
      <c r="M476" s="88" t="e">
        <f t="shared" si="17"/>
        <v>#DIV/0!</v>
      </c>
      <c r="O476" s="121" t="str">
        <f t="shared" si="18"/>
        <v>נצרת</v>
      </c>
      <c r="P476" s="121" t="str">
        <f t="shared" si="18"/>
        <v>כרמיאל</v>
      </c>
    </row>
    <row r="477" spans="1:16" x14ac:dyDescent="0.3">
      <c r="A477" s="60">
        <v>19</v>
      </c>
      <c r="B477" s="121">
        <v>4</v>
      </c>
      <c r="C477" s="79"/>
      <c r="D477" s="79"/>
      <c r="E477" s="79"/>
      <c r="F477" s="79"/>
      <c r="G477" s="94"/>
      <c r="I477" s="86" t="e">
        <f t="shared" si="17"/>
        <v>#DIV/0!</v>
      </c>
      <c r="J477" s="87" t="e">
        <f t="shared" si="17"/>
        <v>#DIV/0!</v>
      </c>
      <c r="K477" s="87" t="e">
        <f t="shared" si="17"/>
        <v>#DIV/0!</v>
      </c>
      <c r="L477" s="87" t="e">
        <f t="shared" si="17"/>
        <v>#DIV/0!</v>
      </c>
      <c r="M477" s="88" t="e">
        <f t="shared" si="17"/>
        <v>#DIV/0!</v>
      </c>
      <c r="O477" s="121" t="str">
        <f t="shared" si="18"/>
        <v>נצרת</v>
      </c>
      <c r="P477" s="121" t="str">
        <f t="shared" si="18"/>
        <v>שפרעם</v>
      </c>
    </row>
    <row r="478" spans="1:16" x14ac:dyDescent="0.3">
      <c r="A478" s="60">
        <v>19</v>
      </c>
      <c r="B478" s="121">
        <v>5</v>
      </c>
      <c r="C478" s="79"/>
      <c r="D478" s="79"/>
      <c r="E478" s="79"/>
      <c r="F478" s="79"/>
      <c r="G478" s="94"/>
      <c r="I478" s="86" t="e">
        <f t="shared" ref="I478:M528" si="19">C478/SUM($C478:$G478)</f>
        <v>#DIV/0!</v>
      </c>
      <c r="J478" s="87" t="e">
        <f t="shared" si="19"/>
        <v>#DIV/0!</v>
      </c>
      <c r="K478" s="87" t="e">
        <f t="shared" si="19"/>
        <v>#DIV/0!</v>
      </c>
      <c r="L478" s="87" t="e">
        <f t="shared" si="19"/>
        <v>#DIV/0!</v>
      </c>
      <c r="M478" s="88" t="e">
        <f t="shared" si="19"/>
        <v>#DIV/0!</v>
      </c>
      <c r="O478" s="121" t="str">
        <f t="shared" si="18"/>
        <v>נצרת</v>
      </c>
      <c r="P478" s="121" t="str">
        <f t="shared" si="18"/>
        <v>קרית ים</v>
      </c>
    </row>
    <row r="479" spans="1:16" x14ac:dyDescent="0.3">
      <c r="A479" s="60">
        <v>19</v>
      </c>
      <c r="B479" s="121">
        <v>6</v>
      </c>
      <c r="C479" s="79"/>
      <c r="D479" s="79"/>
      <c r="E479" s="79"/>
      <c r="F479" s="79"/>
      <c r="G479" s="94"/>
      <c r="I479" s="86" t="e">
        <f t="shared" si="19"/>
        <v>#DIV/0!</v>
      </c>
      <c r="J479" s="87" t="e">
        <f t="shared" si="19"/>
        <v>#DIV/0!</v>
      </c>
      <c r="K479" s="87" t="e">
        <f t="shared" si="19"/>
        <v>#DIV/0!</v>
      </c>
      <c r="L479" s="87" t="e">
        <f t="shared" si="19"/>
        <v>#DIV/0!</v>
      </c>
      <c r="M479" s="88" t="e">
        <f t="shared" si="19"/>
        <v>#DIV/0!</v>
      </c>
      <c r="O479" s="121" t="str">
        <f t="shared" si="18"/>
        <v>נצרת</v>
      </c>
      <c r="P479" s="121" t="str">
        <f t="shared" si="18"/>
        <v>קרית מוצקין</v>
      </c>
    </row>
    <row r="480" spans="1:16" x14ac:dyDescent="0.3">
      <c r="A480" s="60">
        <v>19</v>
      </c>
      <c r="B480" s="121">
        <v>7</v>
      </c>
      <c r="C480" s="79"/>
      <c r="D480" s="79"/>
      <c r="E480" s="79"/>
      <c r="F480" s="79"/>
      <c r="G480" s="94"/>
      <c r="I480" s="86" t="e">
        <f t="shared" si="19"/>
        <v>#DIV/0!</v>
      </c>
      <c r="J480" s="87" t="e">
        <f t="shared" si="19"/>
        <v>#DIV/0!</v>
      </c>
      <c r="K480" s="87" t="e">
        <f t="shared" si="19"/>
        <v>#DIV/0!</v>
      </c>
      <c r="L480" s="87" t="e">
        <f t="shared" si="19"/>
        <v>#DIV/0!</v>
      </c>
      <c r="M480" s="88" t="e">
        <f t="shared" si="19"/>
        <v>#DIV/0!</v>
      </c>
      <c r="O480" s="121" t="str">
        <f t="shared" si="18"/>
        <v>נצרת</v>
      </c>
      <c r="P480" s="121" t="str">
        <f t="shared" si="18"/>
        <v>קרית ביאליק</v>
      </c>
    </row>
    <row r="481" spans="1:16" x14ac:dyDescent="0.3">
      <c r="A481" s="60">
        <v>19</v>
      </c>
      <c r="B481" s="121">
        <v>8</v>
      </c>
      <c r="C481" s="79"/>
      <c r="D481" s="79"/>
      <c r="E481" s="79"/>
      <c r="F481" s="79"/>
      <c r="G481" s="94"/>
      <c r="I481" s="86" t="e">
        <f t="shared" si="19"/>
        <v>#DIV/0!</v>
      </c>
      <c r="J481" s="87" t="e">
        <f t="shared" si="19"/>
        <v>#DIV/0!</v>
      </c>
      <c r="K481" s="87" t="e">
        <f t="shared" si="19"/>
        <v>#DIV/0!</v>
      </c>
      <c r="L481" s="87" t="e">
        <f t="shared" si="19"/>
        <v>#DIV/0!</v>
      </c>
      <c r="M481" s="88" t="e">
        <f t="shared" si="19"/>
        <v>#DIV/0!</v>
      </c>
      <c r="O481" s="121" t="str">
        <f t="shared" si="18"/>
        <v>נצרת</v>
      </c>
      <c r="P481" s="121" t="str">
        <f t="shared" si="18"/>
        <v>קרית חיים</v>
      </c>
    </row>
    <row r="482" spans="1:16" x14ac:dyDescent="0.3">
      <c r="A482" s="60">
        <v>19</v>
      </c>
      <c r="B482" s="121">
        <v>9</v>
      </c>
      <c r="C482" s="79"/>
      <c r="D482" s="79"/>
      <c r="E482" s="79"/>
      <c r="F482" s="79"/>
      <c r="G482" s="94"/>
      <c r="I482" s="86" t="e">
        <f t="shared" si="19"/>
        <v>#DIV/0!</v>
      </c>
      <c r="J482" s="87" t="e">
        <f t="shared" si="19"/>
        <v>#DIV/0!</v>
      </c>
      <c r="K482" s="87" t="e">
        <f t="shared" si="19"/>
        <v>#DIV/0!</v>
      </c>
      <c r="L482" s="87" t="e">
        <f t="shared" si="19"/>
        <v>#DIV/0!</v>
      </c>
      <c r="M482" s="88" t="e">
        <f t="shared" si="19"/>
        <v>#DIV/0!</v>
      </c>
      <c r="O482" s="121" t="str">
        <f t="shared" si="18"/>
        <v>נצרת</v>
      </c>
      <c r="P482" s="121" t="str">
        <f t="shared" si="18"/>
        <v>קרית אתא</v>
      </c>
    </row>
    <row r="483" spans="1:16" x14ac:dyDescent="0.3">
      <c r="A483" s="60">
        <v>19</v>
      </c>
      <c r="B483" s="121">
        <v>10</v>
      </c>
      <c r="C483" s="79"/>
      <c r="D483" s="79"/>
      <c r="E483" s="79"/>
      <c r="F483" s="79"/>
      <c r="G483" s="94"/>
      <c r="I483" s="86" t="e">
        <f t="shared" si="19"/>
        <v>#DIV/0!</v>
      </c>
      <c r="J483" s="87" t="e">
        <f t="shared" si="19"/>
        <v>#DIV/0!</v>
      </c>
      <c r="K483" s="87" t="e">
        <f t="shared" si="19"/>
        <v>#DIV/0!</v>
      </c>
      <c r="L483" s="87" t="e">
        <f t="shared" si="19"/>
        <v>#DIV/0!</v>
      </c>
      <c r="M483" s="88" t="e">
        <f t="shared" si="19"/>
        <v>#DIV/0!</v>
      </c>
      <c r="O483" s="121" t="str">
        <f t="shared" si="18"/>
        <v>נצרת</v>
      </c>
      <c r="P483" s="121" t="str">
        <f t="shared" si="18"/>
        <v>כפר מנדא</v>
      </c>
    </row>
    <row r="484" spans="1:16" x14ac:dyDescent="0.3">
      <c r="A484" s="60">
        <v>19</v>
      </c>
      <c r="B484" s="121">
        <v>11</v>
      </c>
      <c r="C484" s="79"/>
      <c r="D484" s="79"/>
      <c r="E484" s="79"/>
      <c r="F484" s="79"/>
      <c r="G484" s="94"/>
      <c r="I484" s="86" t="e">
        <f t="shared" si="19"/>
        <v>#DIV/0!</v>
      </c>
      <c r="J484" s="87" t="e">
        <f t="shared" si="19"/>
        <v>#DIV/0!</v>
      </c>
      <c r="K484" s="87" t="e">
        <f t="shared" si="19"/>
        <v>#DIV/0!</v>
      </c>
      <c r="L484" s="87" t="e">
        <f t="shared" si="19"/>
        <v>#DIV/0!</v>
      </c>
      <c r="M484" s="88" t="e">
        <f t="shared" si="19"/>
        <v>#DIV/0!</v>
      </c>
      <c r="O484" s="121" t="str">
        <f t="shared" si="18"/>
        <v>נצרת</v>
      </c>
      <c r="P484" s="121" t="str">
        <f t="shared" si="18"/>
        <v>זבולון</v>
      </c>
    </row>
    <row r="485" spans="1:16" x14ac:dyDescent="0.3">
      <c r="A485" s="60">
        <v>19</v>
      </c>
      <c r="B485" s="121">
        <v>12</v>
      </c>
      <c r="C485" s="79"/>
      <c r="D485" s="79"/>
      <c r="E485" s="79"/>
      <c r="F485" s="79"/>
      <c r="G485" s="94"/>
      <c r="I485" s="86" t="e">
        <f t="shared" si="19"/>
        <v>#DIV/0!</v>
      </c>
      <c r="J485" s="87" t="e">
        <f t="shared" si="19"/>
        <v>#DIV/0!</v>
      </c>
      <c r="K485" s="87" t="e">
        <f t="shared" si="19"/>
        <v>#DIV/0!</v>
      </c>
      <c r="L485" s="87" t="e">
        <f t="shared" si="19"/>
        <v>#DIV/0!</v>
      </c>
      <c r="M485" s="88" t="e">
        <f t="shared" si="19"/>
        <v>#DIV/0!</v>
      </c>
      <c r="O485" s="121" t="str">
        <f t="shared" si="18"/>
        <v>נצרת</v>
      </c>
      <c r="P485" s="121" t="str">
        <f t="shared" si="18"/>
        <v>חיפה מפרץ</v>
      </c>
    </row>
    <row r="486" spans="1:16" x14ac:dyDescent="0.3">
      <c r="A486" s="60">
        <v>19</v>
      </c>
      <c r="B486" s="121">
        <v>13</v>
      </c>
      <c r="C486" s="79"/>
      <c r="D486" s="79"/>
      <c r="E486" s="79"/>
      <c r="F486" s="79"/>
      <c r="G486" s="94"/>
      <c r="I486" s="86" t="e">
        <f t="shared" si="19"/>
        <v>#DIV/0!</v>
      </c>
      <c r="J486" s="87" t="e">
        <f t="shared" si="19"/>
        <v>#DIV/0!</v>
      </c>
      <c r="K486" s="87" t="e">
        <f t="shared" si="19"/>
        <v>#DIV/0!</v>
      </c>
      <c r="L486" s="87" t="e">
        <f t="shared" si="19"/>
        <v>#DIV/0!</v>
      </c>
      <c r="M486" s="88" t="e">
        <f t="shared" si="19"/>
        <v>#DIV/0!</v>
      </c>
      <c r="O486" s="121" t="str">
        <f t="shared" si="18"/>
        <v>נצרת</v>
      </c>
      <c r="P486" s="121" t="str">
        <f t="shared" si="18"/>
        <v>חיפה עיר תחתית</v>
      </c>
    </row>
    <row r="487" spans="1:16" x14ac:dyDescent="0.3">
      <c r="A487" s="60">
        <v>19</v>
      </c>
      <c r="B487" s="121">
        <v>14</v>
      </c>
      <c r="C487" s="79"/>
      <c r="D487" s="79"/>
      <c r="E487" s="79"/>
      <c r="F487" s="79"/>
      <c r="G487" s="94"/>
      <c r="I487" s="86" t="e">
        <f t="shared" si="19"/>
        <v>#DIV/0!</v>
      </c>
      <c r="J487" s="87" t="e">
        <f t="shared" si="19"/>
        <v>#DIV/0!</v>
      </c>
      <c r="K487" s="87" t="e">
        <f t="shared" si="19"/>
        <v>#DIV/0!</v>
      </c>
      <c r="L487" s="87" t="e">
        <f t="shared" si="19"/>
        <v>#DIV/0!</v>
      </c>
      <c r="M487" s="88" t="e">
        <f t="shared" si="19"/>
        <v>#DIV/0!</v>
      </c>
      <c r="O487" s="121" t="str">
        <f t="shared" si="18"/>
        <v>נצרת</v>
      </c>
      <c r="P487" s="121" t="str">
        <f t="shared" si="18"/>
        <v>חיפה הדר-כרמל</v>
      </c>
    </row>
    <row r="488" spans="1:16" x14ac:dyDescent="0.3">
      <c r="A488" s="60">
        <v>19</v>
      </c>
      <c r="B488" s="121">
        <v>15</v>
      </c>
      <c r="C488" s="79"/>
      <c r="D488" s="79"/>
      <c r="E488" s="79"/>
      <c r="F488" s="79"/>
      <c r="G488" s="94"/>
      <c r="I488" s="86" t="e">
        <f t="shared" si="19"/>
        <v>#DIV/0!</v>
      </c>
      <c r="J488" s="87" t="e">
        <f t="shared" si="19"/>
        <v>#DIV/0!</v>
      </c>
      <c r="K488" s="87" t="e">
        <f t="shared" si="19"/>
        <v>#DIV/0!</v>
      </c>
      <c r="L488" s="87" t="e">
        <f t="shared" si="19"/>
        <v>#DIV/0!</v>
      </c>
      <c r="M488" s="88" t="e">
        <f t="shared" si="19"/>
        <v>#DIV/0!</v>
      </c>
      <c r="O488" s="121" t="str">
        <f t="shared" si="18"/>
        <v>נצרת</v>
      </c>
      <c r="P488" s="121" t="str">
        <f t="shared" si="18"/>
        <v>חיפה מערב</v>
      </c>
    </row>
    <row r="489" spans="1:16" x14ac:dyDescent="0.3">
      <c r="A489" s="60">
        <v>19</v>
      </c>
      <c r="B489" s="121">
        <v>16</v>
      </c>
      <c r="C489" s="79"/>
      <c r="D489" s="79"/>
      <c r="E489" s="79"/>
      <c r="F489" s="79"/>
      <c r="G489" s="94"/>
      <c r="I489" s="86" t="e">
        <f t="shared" si="19"/>
        <v>#DIV/0!</v>
      </c>
      <c r="J489" s="87" t="e">
        <f t="shared" si="19"/>
        <v>#DIV/0!</v>
      </c>
      <c r="K489" s="87" t="e">
        <f t="shared" si="19"/>
        <v>#DIV/0!</v>
      </c>
      <c r="L489" s="87" t="e">
        <f t="shared" si="19"/>
        <v>#DIV/0!</v>
      </c>
      <c r="M489" s="88" t="e">
        <f t="shared" si="19"/>
        <v>#DIV/0!</v>
      </c>
      <c r="O489" s="121" t="str">
        <f t="shared" si="18"/>
        <v>נצרת</v>
      </c>
      <c r="P489" s="121" t="str">
        <f t="shared" si="18"/>
        <v>חיפה כרמל</v>
      </c>
    </row>
    <row r="490" spans="1:16" x14ac:dyDescent="0.3">
      <c r="A490" s="60">
        <v>19</v>
      </c>
      <c r="B490" s="121">
        <v>17</v>
      </c>
      <c r="C490" s="79"/>
      <c r="D490" s="79"/>
      <c r="E490" s="79"/>
      <c r="F490" s="79"/>
      <c r="G490" s="94"/>
      <c r="I490" s="86" t="e">
        <f t="shared" si="19"/>
        <v>#DIV/0!</v>
      </c>
      <c r="J490" s="87" t="e">
        <f t="shared" si="19"/>
        <v>#DIV/0!</v>
      </c>
      <c r="K490" s="87" t="e">
        <f t="shared" si="19"/>
        <v>#DIV/0!</v>
      </c>
      <c r="L490" s="87" t="e">
        <f t="shared" si="19"/>
        <v>#DIV/0!</v>
      </c>
      <c r="M490" s="88" t="e">
        <f t="shared" si="19"/>
        <v>#DIV/0!</v>
      </c>
      <c r="O490" s="121" t="str">
        <f t="shared" si="18"/>
        <v>נצרת</v>
      </c>
      <c r="P490" s="121" t="str">
        <f t="shared" si="18"/>
        <v>חיפה נווה שאנן</v>
      </c>
    </row>
    <row r="491" spans="1:16" x14ac:dyDescent="0.3">
      <c r="A491" s="60">
        <v>19</v>
      </c>
      <c r="B491" s="121">
        <v>18</v>
      </c>
      <c r="C491" s="79"/>
      <c r="D491" s="79"/>
      <c r="E491" s="79"/>
      <c r="F491" s="79"/>
      <c r="G491" s="94"/>
      <c r="I491" s="86" t="e">
        <f t="shared" si="19"/>
        <v>#DIV/0!</v>
      </c>
      <c r="J491" s="87" t="e">
        <f t="shared" si="19"/>
        <v>#DIV/0!</v>
      </c>
      <c r="K491" s="87" t="e">
        <f t="shared" si="19"/>
        <v>#DIV/0!</v>
      </c>
      <c r="L491" s="87" t="e">
        <f t="shared" si="19"/>
        <v>#DIV/0!</v>
      </c>
      <c r="M491" s="88" t="e">
        <f t="shared" si="19"/>
        <v>#DIV/0!</v>
      </c>
      <c r="O491" s="121" t="str">
        <f t="shared" si="18"/>
        <v>נצרת</v>
      </c>
      <c r="P491" s="121" t="str">
        <f t="shared" si="18"/>
        <v>נשר</v>
      </c>
    </row>
    <row r="492" spans="1:16" x14ac:dyDescent="0.3">
      <c r="A492" s="60">
        <v>19</v>
      </c>
      <c r="B492" s="121">
        <v>19</v>
      </c>
      <c r="C492" s="79"/>
      <c r="D492" s="79"/>
      <c r="E492" s="79"/>
      <c r="F492" s="79"/>
      <c r="G492" s="94"/>
      <c r="I492" s="86" t="e">
        <f t="shared" si="19"/>
        <v>#DIV/0!</v>
      </c>
      <c r="J492" s="87" t="e">
        <f t="shared" si="19"/>
        <v>#DIV/0!</v>
      </c>
      <c r="K492" s="87" t="e">
        <f t="shared" si="19"/>
        <v>#DIV/0!</v>
      </c>
      <c r="L492" s="87" t="e">
        <f t="shared" si="19"/>
        <v>#DIV/0!</v>
      </c>
      <c r="M492" s="88" t="e">
        <f t="shared" si="19"/>
        <v>#DIV/0!</v>
      </c>
      <c r="O492" s="121" t="str">
        <f t="shared" si="18"/>
        <v>נצרת</v>
      </c>
      <c r="P492" s="121" t="str">
        <f t="shared" si="18"/>
        <v>נצרת</v>
      </c>
    </row>
    <row r="493" spans="1:16" x14ac:dyDescent="0.3">
      <c r="A493" s="60">
        <v>19</v>
      </c>
      <c r="B493" s="121">
        <v>20</v>
      </c>
      <c r="C493" s="79"/>
      <c r="D493" s="79"/>
      <c r="E493" s="79"/>
      <c r="F493" s="79"/>
      <c r="G493" s="94"/>
      <c r="I493" s="86" t="e">
        <f t="shared" si="19"/>
        <v>#DIV/0!</v>
      </c>
      <c r="J493" s="87" t="e">
        <f t="shared" si="19"/>
        <v>#DIV/0!</v>
      </c>
      <c r="K493" s="87" t="e">
        <f t="shared" si="19"/>
        <v>#DIV/0!</v>
      </c>
      <c r="L493" s="87" t="e">
        <f t="shared" si="19"/>
        <v>#DIV/0!</v>
      </c>
      <c r="M493" s="88" t="e">
        <f t="shared" si="19"/>
        <v>#DIV/0!</v>
      </c>
      <c r="O493" s="121" t="str">
        <f t="shared" si="18"/>
        <v>נצרת</v>
      </c>
      <c r="P493" s="121" t="str">
        <f t="shared" si="18"/>
        <v>נצרת-עילית</v>
      </c>
    </row>
    <row r="494" spans="1:16" x14ac:dyDescent="0.3">
      <c r="A494" s="60">
        <v>19</v>
      </c>
      <c r="B494" s="121">
        <v>21</v>
      </c>
      <c r="C494" s="79"/>
      <c r="D494" s="79"/>
      <c r="E494" s="79"/>
      <c r="F494" s="79"/>
      <c r="G494" s="94"/>
      <c r="I494" s="86" t="e">
        <f t="shared" si="19"/>
        <v>#DIV/0!</v>
      </c>
      <c r="J494" s="87" t="e">
        <f t="shared" si="19"/>
        <v>#DIV/0!</v>
      </c>
      <c r="K494" s="87" t="e">
        <f t="shared" si="19"/>
        <v>#DIV/0!</v>
      </c>
      <c r="L494" s="87" t="e">
        <f t="shared" si="19"/>
        <v>#DIV/0!</v>
      </c>
      <c r="M494" s="88" t="e">
        <f t="shared" si="19"/>
        <v>#DIV/0!</v>
      </c>
      <c r="O494" s="121" t="str">
        <f t="shared" si="18"/>
        <v>נצרת</v>
      </c>
      <c r="P494" s="121" t="str">
        <f t="shared" si="18"/>
        <v>מגדל העמק</v>
      </c>
    </row>
    <row r="495" spans="1:16" x14ac:dyDescent="0.3">
      <c r="A495" s="60">
        <v>19</v>
      </c>
      <c r="B495" s="121">
        <v>22</v>
      </c>
      <c r="C495" s="79"/>
      <c r="D495" s="79"/>
      <c r="E495" s="79"/>
      <c r="F495" s="79"/>
      <c r="G495" s="94"/>
      <c r="I495" s="86" t="e">
        <f t="shared" si="19"/>
        <v>#DIV/0!</v>
      </c>
      <c r="J495" s="87" t="e">
        <f t="shared" si="19"/>
        <v>#DIV/0!</v>
      </c>
      <c r="K495" s="87" t="e">
        <f t="shared" si="19"/>
        <v>#DIV/0!</v>
      </c>
      <c r="L495" s="87" t="e">
        <f t="shared" si="19"/>
        <v>#DIV/0!</v>
      </c>
      <c r="M495" s="88" t="e">
        <f t="shared" si="19"/>
        <v>#DIV/0!</v>
      </c>
      <c r="O495" s="121" t="str">
        <f t="shared" si="18"/>
        <v>נצרת</v>
      </c>
      <c r="P495" s="121" t="str">
        <f t="shared" si="18"/>
        <v>יוקנעם</v>
      </c>
    </row>
    <row r="496" spans="1:16" x14ac:dyDescent="0.3">
      <c r="A496" s="60">
        <v>19</v>
      </c>
      <c r="B496" s="121">
        <v>23</v>
      </c>
      <c r="C496" s="79"/>
      <c r="D496" s="79"/>
      <c r="E496" s="79"/>
      <c r="F496" s="79"/>
      <c r="G496" s="94"/>
      <c r="I496" s="86" t="e">
        <f t="shared" si="19"/>
        <v>#DIV/0!</v>
      </c>
      <c r="J496" s="87" t="e">
        <f t="shared" si="19"/>
        <v>#DIV/0!</v>
      </c>
      <c r="K496" s="87" t="e">
        <f t="shared" si="19"/>
        <v>#DIV/0!</v>
      </c>
      <c r="L496" s="87" t="e">
        <f t="shared" si="19"/>
        <v>#DIV/0!</v>
      </c>
      <c r="M496" s="88" t="e">
        <f t="shared" si="19"/>
        <v>#DIV/0!</v>
      </c>
      <c r="O496" s="121" t="str">
        <f t="shared" si="18"/>
        <v>נצרת</v>
      </c>
      <c r="P496" s="121" t="str">
        <f t="shared" si="18"/>
        <v>דלית אל כרמל</v>
      </c>
    </row>
    <row r="497" spans="1:16" x14ac:dyDescent="0.3">
      <c r="A497" s="60">
        <v>19</v>
      </c>
      <c r="B497" s="121">
        <v>24</v>
      </c>
      <c r="C497" s="79"/>
      <c r="D497" s="79"/>
      <c r="E497" s="79"/>
      <c r="F497" s="79"/>
      <c r="G497" s="94"/>
      <c r="I497" s="86" t="e">
        <f t="shared" si="19"/>
        <v>#DIV/0!</v>
      </c>
      <c r="J497" s="87" t="e">
        <f t="shared" si="19"/>
        <v>#DIV/0!</v>
      </c>
      <c r="K497" s="87" t="e">
        <f t="shared" si="19"/>
        <v>#DIV/0!</v>
      </c>
      <c r="L497" s="87" t="e">
        <f t="shared" si="19"/>
        <v>#DIV/0!</v>
      </c>
      <c r="M497" s="88" t="e">
        <f t="shared" si="19"/>
        <v>#DIV/0!</v>
      </c>
      <c r="O497" s="121" t="str">
        <f t="shared" si="18"/>
        <v>נצרת</v>
      </c>
      <c r="P497" s="121" t="str">
        <f t="shared" si="18"/>
        <v>חוף הכרמל</v>
      </c>
    </row>
    <row r="498" spans="1:16" x14ac:dyDescent="0.3">
      <c r="A498" s="60">
        <v>19</v>
      </c>
      <c r="B498" s="121">
        <v>25</v>
      </c>
      <c r="C498" s="79"/>
      <c r="D498" s="79"/>
      <c r="E498" s="79"/>
      <c r="F498" s="79"/>
      <c r="G498" s="94"/>
      <c r="I498" s="86" t="e">
        <f t="shared" si="19"/>
        <v>#DIV/0!</v>
      </c>
      <c r="J498" s="87" t="e">
        <f t="shared" si="19"/>
        <v>#DIV/0!</v>
      </c>
      <c r="K498" s="87" t="e">
        <f t="shared" si="19"/>
        <v>#DIV/0!</v>
      </c>
      <c r="L498" s="87" t="e">
        <f t="shared" si="19"/>
        <v>#DIV/0!</v>
      </c>
      <c r="M498" s="88" t="e">
        <f t="shared" si="19"/>
        <v>#DIV/0!</v>
      </c>
      <c r="O498" s="121" t="str">
        <f t="shared" si="18"/>
        <v>נצרת</v>
      </c>
      <c r="P498" s="121" t="str">
        <f t="shared" si="18"/>
        <v>זכרון יעקב</v>
      </c>
    </row>
    <row r="499" spans="1:16" x14ac:dyDescent="0.3">
      <c r="A499" s="60">
        <v>19</v>
      </c>
      <c r="B499" s="121">
        <v>30</v>
      </c>
      <c r="C499" s="79"/>
      <c r="D499" s="79"/>
      <c r="E499" s="79"/>
      <c r="F499" s="79"/>
      <c r="G499" s="94"/>
      <c r="I499" s="86" t="e">
        <f t="shared" si="19"/>
        <v>#DIV/0!</v>
      </c>
      <c r="J499" s="87" t="e">
        <f t="shared" si="19"/>
        <v>#DIV/0!</v>
      </c>
      <c r="K499" s="87" t="e">
        <f t="shared" si="19"/>
        <v>#DIV/0!</v>
      </c>
      <c r="L499" s="87" t="e">
        <f t="shared" si="19"/>
        <v>#DIV/0!</v>
      </c>
      <c r="M499" s="88" t="e">
        <f t="shared" si="19"/>
        <v>#DIV/0!</v>
      </c>
      <c r="O499" s="121" t="str">
        <f t="shared" si="18"/>
        <v>נצרת</v>
      </c>
      <c r="P499" s="121" t="str">
        <f t="shared" si="18"/>
        <v>סכנין</v>
      </c>
    </row>
    <row r="500" spans="1:16" x14ac:dyDescent="0.3">
      <c r="A500" s="60">
        <v>20</v>
      </c>
      <c r="B500" s="121">
        <v>1</v>
      </c>
      <c r="C500" s="79"/>
      <c r="D500" s="79"/>
      <c r="E500" s="79"/>
      <c r="F500" s="79"/>
      <c r="G500" s="94"/>
      <c r="I500" s="86" t="e">
        <f t="shared" si="19"/>
        <v>#DIV/0!</v>
      </c>
      <c r="J500" s="87" t="e">
        <f t="shared" si="19"/>
        <v>#DIV/0!</v>
      </c>
      <c r="K500" s="87" t="e">
        <f t="shared" si="19"/>
        <v>#DIV/0!</v>
      </c>
      <c r="L500" s="87" t="e">
        <f t="shared" si="19"/>
        <v>#DIV/0!</v>
      </c>
      <c r="M500" s="88" t="e">
        <f t="shared" si="19"/>
        <v>#DIV/0!</v>
      </c>
      <c r="O500" s="121" t="str">
        <f t="shared" si="18"/>
        <v>נצרת-עילית</v>
      </c>
      <c r="P500" s="121" t="str">
        <f t="shared" si="18"/>
        <v>נהריה</v>
      </c>
    </row>
    <row r="501" spans="1:16" x14ac:dyDescent="0.3">
      <c r="A501" s="60">
        <v>20</v>
      </c>
      <c r="B501" s="121">
        <v>2</v>
      </c>
      <c r="C501" s="79"/>
      <c r="D501" s="79"/>
      <c r="E501" s="79"/>
      <c r="F501" s="79"/>
      <c r="G501" s="94"/>
      <c r="I501" s="86" t="e">
        <f t="shared" si="19"/>
        <v>#DIV/0!</v>
      </c>
      <c r="J501" s="87" t="e">
        <f t="shared" si="19"/>
        <v>#DIV/0!</v>
      </c>
      <c r="K501" s="87" t="e">
        <f t="shared" si="19"/>
        <v>#DIV/0!</v>
      </c>
      <c r="L501" s="87" t="e">
        <f t="shared" si="19"/>
        <v>#DIV/0!</v>
      </c>
      <c r="M501" s="88" t="e">
        <f t="shared" si="19"/>
        <v>#DIV/0!</v>
      </c>
      <c r="O501" s="121" t="str">
        <f t="shared" si="18"/>
        <v>נצרת-עילית</v>
      </c>
      <c r="P501" s="121" t="str">
        <f t="shared" si="18"/>
        <v>עכו</v>
      </c>
    </row>
    <row r="502" spans="1:16" x14ac:dyDescent="0.3">
      <c r="A502" s="60">
        <v>20</v>
      </c>
      <c r="B502" s="121">
        <v>3</v>
      </c>
      <c r="C502" s="79"/>
      <c r="D502" s="79"/>
      <c r="E502" s="79"/>
      <c r="F502" s="79"/>
      <c r="G502" s="94"/>
      <c r="I502" s="86" t="e">
        <f t="shared" si="19"/>
        <v>#DIV/0!</v>
      </c>
      <c r="J502" s="87" t="e">
        <f t="shared" si="19"/>
        <v>#DIV/0!</v>
      </c>
      <c r="K502" s="87" t="e">
        <f t="shared" si="19"/>
        <v>#DIV/0!</v>
      </c>
      <c r="L502" s="87" t="e">
        <f t="shared" si="19"/>
        <v>#DIV/0!</v>
      </c>
      <c r="M502" s="88" t="e">
        <f t="shared" si="19"/>
        <v>#DIV/0!</v>
      </c>
      <c r="O502" s="121" t="str">
        <f t="shared" si="18"/>
        <v>נצרת-עילית</v>
      </c>
      <c r="P502" s="121" t="str">
        <f t="shared" si="18"/>
        <v>כרמיאל</v>
      </c>
    </row>
    <row r="503" spans="1:16" x14ac:dyDescent="0.3">
      <c r="A503" s="60">
        <v>20</v>
      </c>
      <c r="B503" s="121">
        <v>4</v>
      </c>
      <c r="C503" s="79"/>
      <c r="D503" s="79"/>
      <c r="E503" s="79"/>
      <c r="F503" s="79"/>
      <c r="G503" s="94"/>
      <c r="I503" s="86" t="e">
        <f t="shared" si="19"/>
        <v>#DIV/0!</v>
      </c>
      <c r="J503" s="87" t="e">
        <f t="shared" si="19"/>
        <v>#DIV/0!</v>
      </c>
      <c r="K503" s="87" t="e">
        <f t="shared" si="19"/>
        <v>#DIV/0!</v>
      </c>
      <c r="L503" s="87" t="e">
        <f t="shared" si="19"/>
        <v>#DIV/0!</v>
      </c>
      <c r="M503" s="88" t="e">
        <f t="shared" si="19"/>
        <v>#DIV/0!</v>
      </c>
      <c r="O503" s="121" t="str">
        <f t="shared" si="18"/>
        <v>נצרת-עילית</v>
      </c>
      <c r="P503" s="121" t="str">
        <f t="shared" si="18"/>
        <v>שפרעם</v>
      </c>
    </row>
    <row r="504" spans="1:16" x14ac:dyDescent="0.3">
      <c r="A504" s="60">
        <v>20</v>
      </c>
      <c r="B504" s="121">
        <v>5</v>
      </c>
      <c r="C504" s="79"/>
      <c r="D504" s="79"/>
      <c r="E504" s="79"/>
      <c r="F504" s="79"/>
      <c r="G504" s="94"/>
      <c r="I504" s="86" t="e">
        <f t="shared" si="19"/>
        <v>#DIV/0!</v>
      </c>
      <c r="J504" s="87" t="e">
        <f t="shared" si="19"/>
        <v>#DIV/0!</v>
      </c>
      <c r="K504" s="87" t="e">
        <f t="shared" si="19"/>
        <v>#DIV/0!</v>
      </c>
      <c r="L504" s="87" t="e">
        <f t="shared" si="19"/>
        <v>#DIV/0!</v>
      </c>
      <c r="M504" s="88" t="e">
        <f t="shared" si="19"/>
        <v>#DIV/0!</v>
      </c>
      <c r="O504" s="121" t="str">
        <f t="shared" si="18"/>
        <v>נצרת-עילית</v>
      </c>
      <c r="P504" s="121" t="str">
        <f t="shared" si="18"/>
        <v>קרית ים</v>
      </c>
    </row>
    <row r="505" spans="1:16" x14ac:dyDescent="0.3">
      <c r="A505" s="60">
        <v>20</v>
      </c>
      <c r="B505" s="121">
        <v>6</v>
      </c>
      <c r="C505" s="79"/>
      <c r="D505" s="79"/>
      <c r="E505" s="79"/>
      <c r="F505" s="79"/>
      <c r="G505" s="94"/>
      <c r="I505" s="86" t="e">
        <f t="shared" si="19"/>
        <v>#DIV/0!</v>
      </c>
      <c r="J505" s="87" t="e">
        <f t="shared" si="19"/>
        <v>#DIV/0!</v>
      </c>
      <c r="K505" s="87" t="e">
        <f t="shared" si="19"/>
        <v>#DIV/0!</v>
      </c>
      <c r="L505" s="87" t="e">
        <f t="shared" si="19"/>
        <v>#DIV/0!</v>
      </c>
      <c r="M505" s="88" t="e">
        <f t="shared" si="19"/>
        <v>#DIV/0!</v>
      </c>
      <c r="O505" s="121" t="str">
        <f t="shared" si="18"/>
        <v>נצרת-עילית</v>
      </c>
      <c r="P505" s="121" t="str">
        <f t="shared" si="18"/>
        <v>קרית מוצקין</v>
      </c>
    </row>
    <row r="506" spans="1:16" x14ac:dyDescent="0.3">
      <c r="A506" s="60">
        <v>20</v>
      </c>
      <c r="B506" s="121">
        <v>7</v>
      </c>
      <c r="C506" s="79"/>
      <c r="D506" s="79"/>
      <c r="E506" s="79"/>
      <c r="F506" s="79"/>
      <c r="G506" s="94"/>
      <c r="I506" s="86" t="e">
        <f t="shared" si="19"/>
        <v>#DIV/0!</v>
      </c>
      <c r="J506" s="87" t="e">
        <f t="shared" si="19"/>
        <v>#DIV/0!</v>
      </c>
      <c r="K506" s="87" t="e">
        <f t="shared" si="19"/>
        <v>#DIV/0!</v>
      </c>
      <c r="L506" s="87" t="e">
        <f t="shared" si="19"/>
        <v>#DIV/0!</v>
      </c>
      <c r="M506" s="88" t="e">
        <f t="shared" si="19"/>
        <v>#DIV/0!</v>
      </c>
      <c r="O506" s="121" t="str">
        <f t="shared" si="18"/>
        <v>נצרת-עילית</v>
      </c>
      <c r="P506" s="121" t="str">
        <f t="shared" si="18"/>
        <v>קרית ביאליק</v>
      </c>
    </row>
    <row r="507" spans="1:16" x14ac:dyDescent="0.3">
      <c r="A507" s="60">
        <v>20</v>
      </c>
      <c r="B507" s="121">
        <v>8</v>
      </c>
      <c r="C507" s="79"/>
      <c r="D507" s="79"/>
      <c r="E507" s="79"/>
      <c r="F507" s="79"/>
      <c r="G507" s="94"/>
      <c r="I507" s="86" t="e">
        <f t="shared" si="19"/>
        <v>#DIV/0!</v>
      </c>
      <c r="J507" s="87" t="e">
        <f t="shared" si="19"/>
        <v>#DIV/0!</v>
      </c>
      <c r="K507" s="87" t="e">
        <f t="shared" si="19"/>
        <v>#DIV/0!</v>
      </c>
      <c r="L507" s="87" t="e">
        <f t="shared" si="19"/>
        <v>#DIV/0!</v>
      </c>
      <c r="M507" s="88" t="e">
        <f t="shared" si="19"/>
        <v>#DIV/0!</v>
      </c>
      <c r="O507" s="121" t="str">
        <f t="shared" si="18"/>
        <v>נצרת-עילית</v>
      </c>
      <c r="P507" s="121" t="str">
        <f t="shared" si="18"/>
        <v>קרית חיים</v>
      </c>
    </row>
    <row r="508" spans="1:16" x14ac:dyDescent="0.3">
      <c r="A508" s="60">
        <v>20</v>
      </c>
      <c r="B508" s="121">
        <v>9</v>
      </c>
      <c r="C508" s="79"/>
      <c r="D508" s="79"/>
      <c r="E508" s="79"/>
      <c r="F508" s="79"/>
      <c r="G508" s="94"/>
      <c r="I508" s="86" t="e">
        <f t="shared" si="19"/>
        <v>#DIV/0!</v>
      </c>
      <c r="J508" s="87" t="e">
        <f t="shared" si="19"/>
        <v>#DIV/0!</v>
      </c>
      <c r="K508" s="87" t="e">
        <f t="shared" si="19"/>
        <v>#DIV/0!</v>
      </c>
      <c r="L508" s="87" t="e">
        <f t="shared" si="19"/>
        <v>#DIV/0!</v>
      </c>
      <c r="M508" s="88" t="e">
        <f t="shared" si="19"/>
        <v>#DIV/0!</v>
      </c>
      <c r="O508" s="121" t="str">
        <f t="shared" si="18"/>
        <v>נצרת-עילית</v>
      </c>
      <c r="P508" s="121" t="str">
        <f t="shared" si="18"/>
        <v>קרית אתא</v>
      </c>
    </row>
    <row r="509" spans="1:16" x14ac:dyDescent="0.3">
      <c r="A509" s="60">
        <v>20</v>
      </c>
      <c r="B509" s="121">
        <v>10</v>
      </c>
      <c r="C509" s="79"/>
      <c r="D509" s="79"/>
      <c r="E509" s="79"/>
      <c r="F509" s="79"/>
      <c r="G509" s="94"/>
      <c r="I509" s="86" t="e">
        <f t="shared" si="19"/>
        <v>#DIV/0!</v>
      </c>
      <c r="J509" s="87" t="e">
        <f t="shared" si="19"/>
        <v>#DIV/0!</v>
      </c>
      <c r="K509" s="87" t="e">
        <f t="shared" si="19"/>
        <v>#DIV/0!</v>
      </c>
      <c r="L509" s="87" t="e">
        <f t="shared" si="19"/>
        <v>#DIV/0!</v>
      </c>
      <c r="M509" s="88" t="e">
        <f t="shared" si="19"/>
        <v>#DIV/0!</v>
      </c>
      <c r="O509" s="121" t="str">
        <f t="shared" si="18"/>
        <v>נצרת-עילית</v>
      </c>
      <c r="P509" s="121" t="str">
        <f t="shared" si="18"/>
        <v>כפר מנדא</v>
      </c>
    </row>
    <row r="510" spans="1:16" x14ac:dyDescent="0.3">
      <c r="A510" s="60">
        <v>20</v>
      </c>
      <c r="B510" s="121">
        <v>11</v>
      </c>
      <c r="C510" s="79"/>
      <c r="D510" s="79"/>
      <c r="E510" s="79"/>
      <c r="F510" s="79"/>
      <c r="G510" s="94"/>
      <c r="I510" s="86" t="e">
        <f t="shared" si="19"/>
        <v>#DIV/0!</v>
      </c>
      <c r="J510" s="87" t="e">
        <f t="shared" si="19"/>
        <v>#DIV/0!</v>
      </c>
      <c r="K510" s="87" t="e">
        <f t="shared" si="19"/>
        <v>#DIV/0!</v>
      </c>
      <c r="L510" s="87" t="e">
        <f t="shared" si="19"/>
        <v>#DIV/0!</v>
      </c>
      <c r="M510" s="88" t="e">
        <f t="shared" si="19"/>
        <v>#DIV/0!</v>
      </c>
      <c r="O510" s="121" t="str">
        <f t="shared" si="18"/>
        <v>נצרת-עילית</v>
      </c>
      <c r="P510" s="121" t="str">
        <f t="shared" si="18"/>
        <v>זבולון</v>
      </c>
    </row>
    <row r="511" spans="1:16" x14ac:dyDescent="0.3">
      <c r="A511" s="60">
        <v>20</v>
      </c>
      <c r="B511" s="121">
        <v>12</v>
      </c>
      <c r="C511" s="79"/>
      <c r="D511" s="79"/>
      <c r="E511" s="79"/>
      <c r="F511" s="79"/>
      <c r="G511" s="94"/>
      <c r="I511" s="86" t="e">
        <f t="shared" si="19"/>
        <v>#DIV/0!</v>
      </c>
      <c r="J511" s="87" t="e">
        <f t="shared" si="19"/>
        <v>#DIV/0!</v>
      </c>
      <c r="K511" s="87" t="e">
        <f t="shared" si="19"/>
        <v>#DIV/0!</v>
      </c>
      <c r="L511" s="87" t="e">
        <f t="shared" si="19"/>
        <v>#DIV/0!</v>
      </c>
      <c r="M511" s="88" t="e">
        <f t="shared" si="19"/>
        <v>#DIV/0!</v>
      </c>
      <c r="O511" s="121" t="str">
        <f t="shared" si="18"/>
        <v>נצרת-עילית</v>
      </c>
      <c r="P511" s="121" t="str">
        <f t="shared" si="18"/>
        <v>חיפה מפרץ</v>
      </c>
    </row>
    <row r="512" spans="1:16" x14ac:dyDescent="0.3">
      <c r="A512" s="60">
        <v>20</v>
      </c>
      <c r="B512" s="121">
        <v>13</v>
      </c>
      <c r="C512" s="79"/>
      <c r="D512" s="79"/>
      <c r="E512" s="79"/>
      <c r="F512" s="79"/>
      <c r="G512" s="94"/>
      <c r="I512" s="86" t="e">
        <f t="shared" si="19"/>
        <v>#DIV/0!</v>
      </c>
      <c r="J512" s="87" t="e">
        <f t="shared" si="19"/>
        <v>#DIV/0!</v>
      </c>
      <c r="K512" s="87" t="e">
        <f t="shared" si="19"/>
        <v>#DIV/0!</v>
      </c>
      <c r="L512" s="87" t="e">
        <f t="shared" si="19"/>
        <v>#DIV/0!</v>
      </c>
      <c r="M512" s="88" t="e">
        <f t="shared" si="19"/>
        <v>#DIV/0!</v>
      </c>
      <c r="O512" s="121" t="str">
        <f t="shared" si="18"/>
        <v>נצרת-עילית</v>
      </c>
      <c r="P512" s="121" t="str">
        <f t="shared" si="18"/>
        <v>חיפה עיר תחתית</v>
      </c>
    </row>
    <row r="513" spans="1:16" x14ac:dyDescent="0.3">
      <c r="A513" s="60">
        <v>20</v>
      </c>
      <c r="B513" s="121">
        <v>14</v>
      </c>
      <c r="C513" s="79"/>
      <c r="D513" s="79"/>
      <c r="E513" s="79"/>
      <c r="F513" s="79"/>
      <c r="G513" s="94"/>
      <c r="I513" s="86" t="e">
        <f t="shared" si="19"/>
        <v>#DIV/0!</v>
      </c>
      <c r="J513" s="87" t="e">
        <f t="shared" si="19"/>
        <v>#DIV/0!</v>
      </c>
      <c r="K513" s="87" t="e">
        <f t="shared" si="19"/>
        <v>#DIV/0!</v>
      </c>
      <c r="L513" s="87" t="e">
        <f t="shared" si="19"/>
        <v>#DIV/0!</v>
      </c>
      <c r="M513" s="88" t="e">
        <f t="shared" si="19"/>
        <v>#DIV/0!</v>
      </c>
      <c r="O513" s="121" t="str">
        <f t="shared" si="18"/>
        <v>נצרת-עילית</v>
      </c>
      <c r="P513" s="121" t="str">
        <f t="shared" si="18"/>
        <v>חיפה הדר-כרמל</v>
      </c>
    </row>
    <row r="514" spans="1:16" x14ac:dyDescent="0.3">
      <c r="A514" s="60">
        <v>20</v>
      </c>
      <c r="B514" s="121">
        <v>15</v>
      </c>
      <c r="C514" s="79"/>
      <c r="D514" s="79"/>
      <c r="E514" s="79"/>
      <c r="F514" s="79"/>
      <c r="G514" s="94"/>
      <c r="I514" s="86" t="e">
        <f t="shared" si="19"/>
        <v>#DIV/0!</v>
      </c>
      <c r="J514" s="87" t="e">
        <f t="shared" si="19"/>
        <v>#DIV/0!</v>
      </c>
      <c r="K514" s="87" t="e">
        <f t="shared" si="19"/>
        <v>#DIV/0!</v>
      </c>
      <c r="L514" s="87" t="e">
        <f t="shared" si="19"/>
        <v>#DIV/0!</v>
      </c>
      <c r="M514" s="88" t="e">
        <f t="shared" si="19"/>
        <v>#DIV/0!</v>
      </c>
      <c r="O514" s="121" t="str">
        <f t="shared" si="18"/>
        <v>נצרת-עילית</v>
      </c>
      <c r="P514" s="121" t="str">
        <f t="shared" si="18"/>
        <v>חיפה מערב</v>
      </c>
    </row>
    <row r="515" spans="1:16" x14ac:dyDescent="0.3">
      <c r="A515" s="60">
        <v>20</v>
      </c>
      <c r="B515" s="121">
        <v>16</v>
      </c>
      <c r="C515" s="79"/>
      <c r="D515" s="79"/>
      <c r="E515" s="79"/>
      <c r="F515" s="79"/>
      <c r="G515" s="94"/>
      <c r="I515" s="86" t="e">
        <f t="shared" si="19"/>
        <v>#DIV/0!</v>
      </c>
      <c r="J515" s="87" t="e">
        <f t="shared" si="19"/>
        <v>#DIV/0!</v>
      </c>
      <c r="K515" s="87" t="e">
        <f t="shared" si="19"/>
        <v>#DIV/0!</v>
      </c>
      <c r="L515" s="87" t="e">
        <f t="shared" si="19"/>
        <v>#DIV/0!</v>
      </c>
      <c r="M515" s="88" t="e">
        <f t="shared" si="19"/>
        <v>#DIV/0!</v>
      </c>
      <c r="O515" s="121" t="str">
        <f t="shared" si="18"/>
        <v>נצרת-עילית</v>
      </c>
      <c r="P515" s="121" t="str">
        <f t="shared" si="18"/>
        <v>חיפה כרמל</v>
      </c>
    </row>
    <row r="516" spans="1:16" x14ac:dyDescent="0.3">
      <c r="A516" s="60">
        <v>20</v>
      </c>
      <c r="B516" s="121">
        <v>17</v>
      </c>
      <c r="C516" s="79"/>
      <c r="D516" s="79"/>
      <c r="E516" s="79"/>
      <c r="F516" s="79"/>
      <c r="G516" s="94"/>
      <c r="I516" s="86" t="e">
        <f t="shared" si="19"/>
        <v>#DIV/0!</v>
      </c>
      <c r="J516" s="87" t="e">
        <f t="shared" si="19"/>
        <v>#DIV/0!</v>
      </c>
      <c r="K516" s="87" t="e">
        <f t="shared" si="19"/>
        <v>#DIV/0!</v>
      </c>
      <c r="L516" s="87" t="e">
        <f t="shared" si="19"/>
        <v>#DIV/0!</v>
      </c>
      <c r="M516" s="88" t="e">
        <f t="shared" si="19"/>
        <v>#DIV/0!</v>
      </c>
      <c r="O516" s="121" t="str">
        <f t="shared" si="18"/>
        <v>נצרת-עילית</v>
      </c>
      <c r="P516" s="121" t="str">
        <f t="shared" si="18"/>
        <v>חיפה נווה שאנן</v>
      </c>
    </row>
    <row r="517" spans="1:16" x14ac:dyDescent="0.3">
      <c r="A517" s="60">
        <v>20</v>
      </c>
      <c r="B517" s="121">
        <v>18</v>
      </c>
      <c r="C517" s="79"/>
      <c r="D517" s="79"/>
      <c r="E517" s="79"/>
      <c r="F517" s="79"/>
      <c r="G517" s="94"/>
      <c r="I517" s="86" t="e">
        <f t="shared" si="19"/>
        <v>#DIV/0!</v>
      </c>
      <c r="J517" s="87" t="e">
        <f t="shared" si="19"/>
        <v>#DIV/0!</v>
      </c>
      <c r="K517" s="87" t="e">
        <f t="shared" si="19"/>
        <v>#DIV/0!</v>
      </c>
      <c r="L517" s="87" t="e">
        <f t="shared" si="19"/>
        <v>#DIV/0!</v>
      </c>
      <c r="M517" s="88" t="e">
        <f t="shared" si="19"/>
        <v>#DIV/0!</v>
      </c>
      <c r="O517" s="121" t="str">
        <f t="shared" si="18"/>
        <v>נצרת-עילית</v>
      </c>
      <c r="P517" s="121" t="str">
        <f t="shared" si="18"/>
        <v>נשר</v>
      </c>
    </row>
    <row r="518" spans="1:16" x14ac:dyDescent="0.3">
      <c r="A518" s="60">
        <v>20</v>
      </c>
      <c r="B518" s="121">
        <v>19</v>
      </c>
      <c r="C518" s="79"/>
      <c r="D518" s="79"/>
      <c r="E518" s="79"/>
      <c r="F518" s="79"/>
      <c r="G518" s="94"/>
      <c r="I518" s="86" t="e">
        <f t="shared" si="19"/>
        <v>#DIV/0!</v>
      </c>
      <c r="J518" s="87" t="e">
        <f t="shared" si="19"/>
        <v>#DIV/0!</v>
      </c>
      <c r="K518" s="87" t="e">
        <f t="shared" si="19"/>
        <v>#DIV/0!</v>
      </c>
      <c r="L518" s="87" t="e">
        <f t="shared" si="19"/>
        <v>#DIV/0!</v>
      </c>
      <c r="M518" s="88" t="e">
        <f t="shared" si="19"/>
        <v>#DIV/0!</v>
      </c>
      <c r="O518" s="121" t="str">
        <f t="shared" si="18"/>
        <v>נצרת-עילית</v>
      </c>
      <c r="P518" s="121" t="str">
        <f t="shared" si="18"/>
        <v>נצרת</v>
      </c>
    </row>
    <row r="519" spans="1:16" x14ac:dyDescent="0.3">
      <c r="A519" s="60">
        <v>20</v>
      </c>
      <c r="B519" s="121">
        <v>20</v>
      </c>
      <c r="C519" s="79"/>
      <c r="D519" s="79"/>
      <c r="E519" s="79"/>
      <c r="F519" s="79"/>
      <c r="G519" s="94"/>
      <c r="I519" s="86" t="e">
        <f t="shared" si="19"/>
        <v>#DIV/0!</v>
      </c>
      <c r="J519" s="87" t="e">
        <f t="shared" si="19"/>
        <v>#DIV/0!</v>
      </c>
      <c r="K519" s="87" t="e">
        <f t="shared" si="19"/>
        <v>#DIV/0!</v>
      </c>
      <c r="L519" s="87" t="e">
        <f t="shared" si="19"/>
        <v>#DIV/0!</v>
      </c>
      <c r="M519" s="88" t="e">
        <f t="shared" si="19"/>
        <v>#DIV/0!</v>
      </c>
      <c r="O519" s="121" t="str">
        <f t="shared" si="18"/>
        <v>נצרת-עילית</v>
      </c>
      <c r="P519" s="121" t="str">
        <f t="shared" si="18"/>
        <v>נצרת-עילית</v>
      </c>
    </row>
    <row r="520" spans="1:16" x14ac:dyDescent="0.3">
      <c r="A520" s="60">
        <v>20</v>
      </c>
      <c r="B520" s="121">
        <v>21</v>
      </c>
      <c r="C520" s="79"/>
      <c r="D520" s="79"/>
      <c r="E520" s="79"/>
      <c r="F520" s="79"/>
      <c r="G520" s="94"/>
      <c r="I520" s="86" t="e">
        <f t="shared" si="19"/>
        <v>#DIV/0!</v>
      </c>
      <c r="J520" s="87" t="e">
        <f t="shared" si="19"/>
        <v>#DIV/0!</v>
      </c>
      <c r="K520" s="87" t="e">
        <f t="shared" si="19"/>
        <v>#DIV/0!</v>
      </c>
      <c r="L520" s="87" t="e">
        <f t="shared" si="19"/>
        <v>#DIV/0!</v>
      </c>
      <c r="M520" s="88" t="e">
        <f t="shared" si="19"/>
        <v>#DIV/0!</v>
      </c>
      <c r="O520" s="121" t="str">
        <f t="shared" ref="O520:P583" si="20">VLOOKUP(A520,$S$6:$T$31,2,0)</f>
        <v>נצרת-עילית</v>
      </c>
      <c r="P520" s="121" t="str">
        <f t="shared" si="20"/>
        <v>מגדל העמק</v>
      </c>
    </row>
    <row r="521" spans="1:16" x14ac:dyDescent="0.3">
      <c r="A521" s="60">
        <v>20</v>
      </c>
      <c r="B521" s="121">
        <v>22</v>
      </c>
      <c r="C521" s="79"/>
      <c r="D521" s="79"/>
      <c r="E521" s="79"/>
      <c r="F521" s="79"/>
      <c r="G521" s="94"/>
      <c r="I521" s="86" t="e">
        <f t="shared" si="19"/>
        <v>#DIV/0!</v>
      </c>
      <c r="J521" s="87" t="e">
        <f t="shared" si="19"/>
        <v>#DIV/0!</v>
      </c>
      <c r="K521" s="87" t="e">
        <f t="shared" si="19"/>
        <v>#DIV/0!</v>
      </c>
      <c r="L521" s="87" t="e">
        <f t="shared" si="19"/>
        <v>#DIV/0!</v>
      </c>
      <c r="M521" s="88" t="e">
        <f t="shared" si="19"/>
        <v>#DIV/0!</v>
      </c>
      <c r="O521" s="121" t="str">
        <f t="shared" si="20"/>
        <v>נצרת-עילית</v>
      </c>
      <c r="P521" s="121" t="str">
        <f t="shared" si="20"/>
        <v>יוקנעם</v>
      </c>
    </row>
    <row r="522" spans="1:16" x14ac:dyDescent="0.3">
      <c r="A522" s="60">
        <v>20</v>
      </c>
      <c r="B522" s="121">
        <v>23</v>
      </c>
      <c r="C522" s="79"/>
      <c r="D522" s="79"/>
      <c r="E522" s="79"/>
      <c r="F522" s="79"/>
      <c r="G522" s="94"/>
      <c r="I522" s="86" t="e">
        <f t="shared" si="19"/>
        <v>#DIV/0!</v>
      </c>
      <c r="J522" s="87" t="e">
        <f t="shared" si="19"/>
        <v>#DIV/0!</v>
      </c>
      <c r="K522" s="87" t="e">
        <f t="shared" si="19"/>
        <v>#DIV/0!</v>
      </c>
      <c r="L522" s="87" t="e">
        <f t="shared" si="19"/>
        <v>#DIV/0!</v>
      </c>
      <c r="M522" s="88" t="e">
        <f t="shared" si="19"/>
        <v>#DIV/0!</v>
      </c>
      <c r="O522" s="121" t="str">
        <f t="shared" si="20"/>
        <v>נצרת-עילית</v>
      </c>
      <c r="P522" s="121" t="str">
        <f t="shared" si="20"/>
        <v>דלית אל כרמל</v>
      </c>
    </row>
    <row r="523" spans="1:16" x14ac:dyDescent="0.3">
      <c r="A523" s="60">
        <v>20</v>
      </c>
      <c r="B523" s="121">
        <v>24</v>
      </c>
      <c r="C523" s="79"/>
      <c r="D523" s="79"/>
      <c r="E523" s="79"/>
      <c r="F523" s="79"/>
      <c r="G523" s="94"/>
      <c r="I523" s="86" t="e">
        <f t="shared" si="19"/>
        <v>#DIV/0!</v>
      </c>
      <c r="J523" s="87" t="e">
        <f t="shared" si="19"/>
        <v>#DIV/0!</v>
      </c>
      <c r="K523" s="87" t="e">
        <f t="shared" si="19"/>
        <v>#DIV/0!</v>
      </c>
      <c r="L523" s="87" t="e">
        <f t="shared" si="19"/>
        <v>#DIV/0!</v>
      </c>
      <c r="M523" s="88" t="e">
        <f t="shared" si="19"/>
        <v>#DIV/0!</v>
      </c>
      <c r="O523" s="121" t="str">
        <f t="shared" si="20"/>
        <v>נצרת-עילית</v>
      </c>
      <c r="P523" s="121" t="str">
        <f t="shared" si="20"/>
        <v>חוף הכרמל</v>
      </c>
    </row>
    <row r="524" spans="1:16" x14ac:dyDescent="0.3">
      <c r="A524" s="60">
        <v>20</v>
      </c>
      <c r="B524" s="121">
        <v>25</v>
      </c>
      <c r="C524" s="79"/>
      <c r="D524" s="79"/>
      <c r="E524" s="79"/>
      <c r="F524" s="79"/>
      <c r="G524" s="94"/>
      <c r="I524" s="86" t="e">
        <f t="shared" si="19"/>
        <v>#DIV/0!</v>
      </c>
      <c r="J524" s="87" t="e">
        <f t="shared" si="19"/>
        <v>#DIV/0!</v>
      </c>
      <c r="K524" s="87" t="e">
        <f t="shared" si="19"/>
        <v>#DIV/0!</v>
      </c>
      <c r="L524" s="87" t="e">
        <f t="shared" si="19"/>
        <v>#DIV/0!</v>
      </c>
      <c r="M524" s="88" t="e">
        <f t="shared" si="19"/>
        <v>#DIV/0!</v>
      </c>
      <c r="O524" s="121" t="str">
        <f t="shared" si="20"/>
        <v>נצרת-עילית</v>
      </c>
      <c r="P524" s="121" t="str">
        <f t="shared" si="20"/>
        <v>זכרון יעקב</v>
      </c>
    </row>
    <row r="525" spans="1:16" x14ac:dyDescent="0.3">
      <c r="A525" s="60">
        <v>20</v>
      </c>
      <c r="B525" s="121">
        <v>30</v>
      </c>
      <c r="C525" s="79"/>
      <c r="D525" s="79"/>
      <c r="E525" s="79"/>
      <c r="F525" s="79"/>
      <c r="G525" s="94"/>
      <c r="I525" s="86" t="e">
        <f t="shared" si="19"/>
        <v>#DIV/0!</v>
      </c>
      <c r="J525" s="87" t="e">
        <f t="shared" si="19"/>
        <v>#DIV/0!</v>
      </c>
      <c r="K525" s="87" t="e">
        <f t="shared" si="19"/>
        <v>#DIV/0!</v>
      </c>
      <c r="L525" s="87" t="e">
        <f t="shared" si="19"/>
        <v>#DIV/0!</v>
      </c>
      <c r="M525" s="88" t="e">
        <f t="shared" si="19"/>
        <v>#DIV/0!</v>
      </c>
      <c r="O525" s="121" t="str">
        <f t="shared" si="20"/>
        <v>נצרת-עילית</v>
      </c>
      <c r="P525" s="121" t="str">
        <f t="shared" si="20"/>
        <v>סכנין</v>
      </c>
    </row>
    <row r="526" spans="1:16" x14ac:dyDescent="0.3">
      <c r="A526" s="60">
        <v>21</v>
      </c>
      <c r="B526" s="121">
        <v>1</v>
      </c>
      <c r="C526" s="79"/>
      <c r="D526" s="79"/>
      <c r="E526" s="79"/>
      <c r="F526" s="79"/>
      <c r="G526" s="94"/>
      <c r="I526" s="86" t="e">
        <f t="shared" si="19"/>
        <v>#DIV/0!</v>
      </c>
      <c r="J526" s="87" t="e">
        <f t="shared" si="19"/>
        <v>#DIV/0!</v>
      </c>
      <c r="K526" s="87" t="e">
        <f t="shared" si="19"/>
        <v>#DIV/0!</v>
      </c>
      <c r="L526" s="87" t="e">
        <f t="shared" si="19"/>
        <v>#DIV/0!</v>
      </c>
      <c r="M526" s="88" t="e">
        <f t="shared" si="19"/>
        <v>#DIV/0!</v>
      </c>
      <c r="O526" s="121" t="str">
        <f t="shared" si="20"/>
        <v>מגדל העמק</v>
      </c>
      <c r="P526" s="121" t="str">
        <f t="shared" si="20"/>
        <v>נהריה</v>
      </c>
    </row>
    <row r="527" spans="1:16" x14ac:dyDescent="0.3">
      <c r="A527" s="60">
        <v>21</v>
      </c>
      <c r="B527" s="121">
        <v>2</v>
      </c>
      <c r="C527" s="79"/>
      <c r="D527" s="79"/>
      <c r="E527" s="79"/>
      <c r="F527" s="79"/>
      <c r="G527" s="94"/>
      <c r="I527" s="86" t="e">
        <f t="shared" si="19"/>
        <v>#DIV/0!</v>
      </c>
      <c r="J527" s="87" t="e">
        <f t="shared" si="19"/>
        <v>#DIV/0!</v>
      </c>
      <c r="K527" s="87" t="e">
        <f t="shared" si="19"/>
        <v>#DIV/0!</v>
      </c>
      <c r="L527" s="87" t="e">
        <f t="shared" si="19"/>
        <v>#DIV/0!</v>
      </c>
      <c r="M527" s="88" t="e">
        <f t="shared" si="19"/>
        <v>#DIV/0!</v>
      </c>
      <c r="O527" s="121" t="str">
        <f t="shared" si="20"/>
        <v>מגדל העמק</v>
      </c>
      <c r="P527" s="121" t="str">
        <f t="shared" si="20"/>
        <v>עכו</v>
      </c>
    </row>
    <row r="528" spans="1:16" x14ac:dyDescent="0.3">
      <c r="A528" s="60">
        <v>21</v>
      </c>
      <c r="B528" s="121">
        <v>3</v>
      </c>
      <c r="C528" s="79"/>
      <c r="D528" s="79"/>
      <c r="E528" s="79"/>
      <c r="F528" s="79"/>
      <c r="G528" s="94"/>
      <c r="I528" s="86" t="e">
        <f t="shared" si="19"/>
        <v>#DIV/0!</v>
      </c>
      <c r="J528" s="87" t="e">
        <f t="shared" si="19"/>
        <v>#DIV/0!</v>
      </c>
      <c r="K528" s="87" t="e">
        <f t="shared" si="19"/>
        <v>#DIV/0!</v>
      </c>
      <c r="L528" s="87" t="e">
        <f t="shared" si="19"/>
        <v>#DIV/0!</v>
      </c>
      <c r="M528" s="88" t="e">
        <f t="shared" si="19"/>
        <v>#DIV/0!</v>
      </c>
      <c r="O528" s="121" t="str">
        <f t="shared" si="20"/>
        <v>מגדל העמק</v>
      </c>
      <c r="P528" s="121" t="str">
        <f t="shared" si="20"/>
        <v>כרמיאל</v>
      </c>
    </row>
    <row r="529" spans="1:16" x14ac:dyDescent="0.3">
      <c r="A529" s="60">
        <v>21</v>
      </c>
      <c r="B529" s="121">
        <v>4</v>
      </c>
      <c r="C529" s="79"/>
      <c r="D529" s="79"/>
      <c r="E529" s="79"/>
      <c r="F529" s="79"/>
      <c r="G529" s="94"/>
      <c r="I529" s="86" t="e">
        <f t="shared" ref="I529:M579" si="21">C529/SUM($C529:$G529)</f>
        <v>#DIV/0!</v>
      </c>
      <c r="J529" s="87" t="e">
        <f t="shared" si="21"/>
        <v>#DIV/0!</v>
      </c>
      <c r="K529" s="87" t="e">
        <f t="shared" si="21"/>
        <v>#DIV/0!</v>
      </c>
      <c r="L529" s="87" t="e">
        <f t="shared" si="21"/>
        <v>#DIV/0!</v>
      </c>
      <c r="M529" s="88" t="e">
        <f t="shared" si="21"/>
        <v>#DIV/0!</v>
      </c>
      <c r="O529" s="121" t="str">
        <f t="shared" si="20"/>
        <v>מגדל העמק</v>
      </c>
      <c r="P529" s="121" t="str">
        <f t="shared" si="20"/>
        <v>שפרעם</v>
      </c>
    </row>
    <row r="530" spans="1:16" x14ac:dyDescent="0.3">
      <c r="A530" s="60">
        <v>21</v>
      </c>
      <c r="B530" s="121">
        <v>5</v>
      </c>
      <c r="C530" s="79"/>
      <c r="D530" s="79"/>
      <c r="E530" s="79"/>
      <c r="F530" s="79"/>
      <c r="G530" s="94"/>
      <c r="I530" s="86" t="e">
        <f t="shared" si="21"/>
        <v>#DIV/0!</v>
      </c>
      <c r="J530" s="87" t="e">
        <f t="shared" si="21"/>
        <v>#DIV/0!</v>
      </c>
      <c r="K530" s="87" t="e">
        <f t="shared" si="21"/>
        <v>#DIV/0!</v>
      </c>
      <c r="L530" s="87" t="e">
        <f t="shared" si="21"/>
        <v>#DIV/0!</v>
      </c>
      <c r="M530" s="88" t="e">
        <f t="shared" si="21"/>
        <v>#DIV/0!</v>
      </c>
      <c r="O530" s="121" t="str">
        <f t="shared" si="20"/>
        <v>מגדל העמק</v>
      </c>
      <c r="P530" s="121" t="str">
        <f t="shared" si="20"/>
        <v>קרית ים</v>
      </c>
    </row>
    <row r="531" spans="1:16" x14ac:dyDescent="0.3">
      <c r="A531" s="60">
        <v>21</v>
      </c>
      <c r="B531" s="121">
        <v>6</v>
      </c>
      <c r="C531" s="79"/>
      <c r="D531" s="79"/>
      <c r="E531" s="79"/>
      <c r="F531" s="79"/>
      <c r="G531" s="94"/>
      <c r="I531" s="86" t="e">
        <f t="shared" si="21"/>
        <v>#DIV/0!</v>
      </c>
      <c r="J531" s="87" t="e">
        <f t="shared" si="21"/>
        <v>#DIV/0!</v>
      </c>
      <c r="K531" s="87" t="e">
        <f t="shared" si="21"/>
        <v>#DIV/0!</v>
      </c>
      <c r="L531" s="87" t="e">
        <f t="shared" si="21"/>
        <v>#DIV/0!</v>
      </c>
      <c r="M531" s="88" t="e">
        <f t="shared" si="21"/>
        <v>#DIV/0!</v>
      </c>
      <c r="O531" s="121" t="str">
        <f t="shared" si="20"/>
        <v>מגדל העמק</v>
      </c>
      <c r="P531" s="121" t="str">
        <f t="shared" si="20"/>
        <v>קרית מוצקין</v>
      </c>
    </row>
    <row r="532" spans="1:16" x14ac:dyDescent="0.3">
      <c r="A532" s="60">
        <v>21</v>
      </c>
      <c r="B532" s="121">
        <v>7</v>
      </c>
      <c r="C532" s="79"/>
      <c r="D532" s="79"/>
      <c r="E532" s="79"/>
      <c r="F532" s="79"/>
      <c r="G532" s="94"/>
      <c r="I532" s="86" t="e">
        <f t="shared" si="21"/>
        <v>#DIV/0!</v>
      </c>
      <c r="J532" s="87" t="e">
        <f t="shared" si="21"/>
        <v>#DIV/0!</v>
      </c>
      <c r="K532" s="87" t="e">
        <f t="shared" si="21"/>
        <v>#DIV/0!</v>
      </c>
      <c r="L532" s="87" t="e">
        <f t="shared" si="21"/>
        <v>#DIV/0!</v>
      </c>
      <c r="M532" s="88" t="e">
        <f t="shared" si="21"/>
        <v>#DIV/0!</v>
      </c>
      <c r="O532" s="121" t="str">
        <f t="shared" si="20"/>
        <v>מגדל העמק</v>
      </c>
      <c r="P532" s="121" t="str">
        <f t="shared" si="20"/>
        <v>קרית ביאליק</v>
      </c>
    </row>
    <row r="533" spans="1:16" x14ac:dyDescent="0.3">
      <c r="A533" s="60">
        <v>21</v>
      </c>
      <c r="B533" s="121">
        <v>8</v>
      </c>
      <c r="C533" s="79"/>
      <c r="D533" s="79"/>
      <c r="E533" s="79"/>
      <c r="F533" s="79"/>
      <c r="G533" s="94"/>
      <c r="I533" s="86" t="e">
        <f t="shared" si="21"/>
        <v>#DIV/0!</v>
      </c>
      <c r="J533" s="87" t="e">
        <f t="shared" si="21"/>
        <v>#DIV/0!</v>
      </c>
      <c r="K533" s="87" t="e">
        <f t="shared" si="21"/>
        <v>#DIV/0!</v>
      </c>
      <c r="L533" s="87" t="e">
        <f t="shared" si="21"/>
        <v>#DIV/0!</v>
      </c>
      <c r="M533" s="88" t="e">
        <f t="shared" si="21"/>
        <v>#DIV/0!</v>
      </c>
      <c r="O533" s="121" t="str">
        <f t="shared" si="20"/>
        <v>מגדל העמק</v>
      </c>
      <c r="P533" s="121" t="str">
        <f t="shared" si="20"/>
        <v>קרית חיים</v>
      </c>
    </row>
    <row r="534" spans="1:16" x14ac:dyDescent="0.3">
      <c r="A534" s="60">
        <v>21</v>
      </c>
      <c r="B534" s="121">
        <v>9</v>
      </c>
      <c r="C534" s="79"/>
      <c r="D534" s="79"/>
      <c r="E534" s="79"/>
      <c r="F534" s="79"/>
      <c r="G534" s="94"/>
      <c r="I534" s="86" t="e">
        <f t="shared" si="21"/>
        <v>#DIV/0!</v>
      </c>
      <c r="J534" s="87" t="e">
        <f t="shared" si="21"/>
        <v>#DIV/0!</v>
      </c>
      <c r="K534" s="87" t="e">
        <f t="shared" si="21"/>
        <v>#DIV/0!</v>
      </c>
      <c r="L534" s="87" t="e">
        <f t="shared" si="21"/>
        <v>#DIV/0!</v>
      </c>
      <c r="M534" s="88" t="e">
        <f t="shared" si="21"/>
        <v>#DIV/0!</v>
      </c>
      <c r="O534" s="121" t="str">
        <f t="shared" si="20"/>
        <v>מגדל העמק</v>
      </c>
      <c r="P534" s="121" t="str">
        <f t="shared" si="20"/>
        <v>קרית אתא</v>
      </c>
    </row>
    <row r="535" spans="1:16" x14ac:dyDescent="0.3">
      <c r="A535" s="60">
        <v>21</v>
      </c>
      <c r="B535" s="121">
        <v>10</v>
      </c>
      <c r="C535" s="79"/>
      <c r="D535" s="79"/>
      <c r="E535" s="79"/>
      <c r="F535" s="79"/>
      <c r="G535" s="94"/>
      <c r="I535" s="86" t="e">
        <f t="shared" si="21"/>
        <v>#DIV/0!</v>
      </c>
      <c r="J535" s="87" t="e">
        <f t="shared" si="21"/>
        <v>#DIV/0!</v>
      </c>
      <c r="K535" s="87" t="e">
        <f t="shared" si="21"/>
        <v>#DIV/0!</v>
      </c>
      <c r="L535" s="87" t="e">
        <f t="shared" si="21"/>
        <v>#DIV/0!</v>
      </c>
      <c r="M535" s="88" t="e">
        <f t="shared" si="21"/>
        <v>#DIV/0!</v>
      </c>
      <c r="O535" s="121" t="str">
        <f t="shared" si="20"/>
        <v>מגדל העמק</v>
      </c>
      <c r="P535" s="121" t="str">
        <f t="shared" si="20"/>
        <v>כפר מנדא</v>
      </c>
    </row>
    <row r="536" spans="1:16" x14ac:dyDescent="0.3">
      <c r="A536" s="60">
        <v>21</v>
      </c>
      <c r="B536" s="121">
        <v>11</v>
      </c>
      <c r="C536" s="79"/>
      <c r="D536" s="79"/>
      <c r="E536" s="79"/>
      <c r="F536" s="79"/>
      <c r="G536" s="94"/>
      <c r="I536" s="86" t="e">
        <f t="shared" si="21"/>
        <v>#DIV/0!</v>
      </c>
      <c r="J536" s="87" t="e">
        <f t="shared" si="21"/>
        <v>#DIV/0!</v>
      </c>
      <c r="K536" s="87" t="e">
        <f t="shared" si="21"/>
        <v>#DIV/0!</v>
      </c>
      <c r="L536" s="87" t="e">
        <f t="shared" si="21"/>
        <v>#DIV/0!</v>
      </c>
      <c r="M536" s="88" t="e">
        <f t="shared" si="21"/>
        <v>#DIV/0!</v>
      </c>
      <c r="O536" s="121" t="str">
        <f t="shared" si="20"/>
        <v>מגדל העמק</v>
      </c>
      <c r="P536" s="121" t="str">
        <f t="shared" si="20"/>
        <v>זבולון</v>
      </c>
    </row>
    <row r="537" spans="1:16" x14ac:dyDescent="0.3">
      <c r="A537" s="60">
        <v>21</v>
      </c>
      <c r="B537" s="121">
        <v>12</v>
      </c>
      <c r="C537" s="79"/>
      <c r="D537" s="79"/>
      <c r="E537" s="79"/>
      <c r="F537" s="79"/>
      <c r="G537" s="94"/>
      <c r="I537" s="86" t="e">
        <f t="shared" si="21"/>
        <v>#DIV/0!</v>
      </c>
      <c r="J537" s="87" t="e">
        <f t="shared" si="21"/>
        <v>#DIV/0!</v>
      </c>
      <c r="K537" s="87" t="e">
        <f t="shared" si="21"/>
        <v>#DIV/0!</v>
      </c>
      <c r="L537" s="87" t="e">
        <f t="shared" si="21"/>
        <v>#DIV/0!</v>
      </c>
      <c r="M537" s="88" t="e">
        <f t="shared" si="21"/>
        <v>#DIV/0!</v>
      </c>
      <c r="O537" s="121" t="str">
        <f t="shared" si="20"/>
        <v>מגדל העמק</v>
      </c>
      <c r="P537" s="121" t="str">
        <f t="shared" si="20"/>
        <v>חיפה מפרץ</v>
      </c>
    </row>
    <row r="538" spans="1:16" x14ac:dyDescent="0.3">
      <c r="A538" s="60">
        <v>21</v>
      </c>
      <c r="B538" s="121">
        <v>13</v>
      </c>
      <c r="C538" s="79"/>
      <c r="D538" s="79"/>
      <c r="E538" s="79"/>
      <c r="F538" s="79"/>
      <c r="G538" s="94"/>
      <c r="I538" s="86" t="e">
        <f t="shared" si="21"/>
        <v>#DIV/0!</v>
      </c>
      <c r="J538" s="87" t="e">
        <f t="shared" si="21"/>
        <v>#DIV/0!</v>
      </c>
      <c r="K538" s="87" t="e">
        <f t="shared" si="21"/>
        <v>#DIV/0!</v>
      </c>
      <c r="L538" s="87" t="e">
        <f t="shared" si="21"/>
        <v>#DIV/0!</v>
      </c>
      <c r="M538" s="88" t="e">
        <f t="shared" si="21"/>
        <v>#DIV/0!</v>
      </c>
      <c r="O538" s="121" t="str">
        <f t="shared" si="20"/>
        <v>מגדל העמק</v>
      </c>
      <c r="P538" s="121" t="str">
        <f t="shared" si="20"/>
        <v>חיפה עיר תחתית</v>
      </c>
    </row>
    <row r="539" spans="1:16" x14ac:dyDescent="0.3">
      <c r="A539" s="60">
        <v>21</v>
      </c>
      <c r="B539" s="121">
        <v>14</v>
      </c>
      <c r="C539" s="79"/>
      <c r="D539" s="79"/>
      <c r="E539" s="79"/>
      <c r="F539" s="79"/>
      <c r="G539" s="94"/>
      <c r="I539" s="86" t="e">
        <f t="shared" si="21"/>
        <v>#DIV/0!</v>
      </c>
      <c r="J539" s="87" t="e">
        <f t="shared" si="21"/>
        <v>#DIV/0!</v>
      </c>
      <c r="K539" s="87" t="e">
        <f t="shared" si="21"/>
        <v>#DIV/0!</v>
      </c>
      <c r="L539" s="87" t="e">
        <f t="shared" si="21"/>
        <v>#DIV/0!</v>
      </c>
      <c r="M539" s="88" t="e">
        <f t="shared" si="21"/>
        <v>#DIV/0!</v>
      </c>
      <c r="O539" s="121" t="str">
        <f t="shared" si="20"/>
        <v>מגדל העמק</v>
      </c>
      <c r="P539" s="121" t="str">
        <f t="shared" si="20"/>
        <v>חיפה הדר-כרמל</v>
      </c>
    </row>
    <row r="540" spans="1:16" x14ac:dyDescent="0.3">
      <c r="A540" s="60">
        <v>21</v>
      </c>
      <c r="B540" s="121">
        <v>15</v>
      </c>
      <c r="C540" s="79"/>
      <c r="D540" s="79"/>
      <c r="E540" s="79"/>
      <c r="F540" s="79"/>
      <c r="G540" s="94"/>
      <c r="I540" s="86" t="e">
        <f t="shared" si="21"/>
        <v>#DIV/0!</v>
      </c>
      <c r="J540" s="87" t="e">
        <f t="shared" si="21"/>
        <v>#DIV/0!</v>
      </c>
      <c r="K540" s="87" t="e">
        <f t="shared" si="21"/>
        <v>#DIV/0!</v>
      </c>
      <c r="L540" s="87" t="e">
        <f t="shared" si="21"/>
        <v>#DIV/0!</v>
      </c>
      <c r="M540" s="88" t="e">
        <f t="shared" si="21"/>
        <v>#DIV/0!</v>
      </c>
      <c r="O540" s="121" t="str">
        <f t="shared" si="20"/>
        <v>מגדל העמק</v>
      </c>
      <c r="P540" s="121" t="str">
        <f t="shared" si="20"/>
        <v>חיפה מערב</v>
      </c>
    </row>
    <row r="541" spans="1:16" x14ac:dyDescent="0.3">
      <c r="A541" s="60">
        <v>21</v>
      </c>
      <c r="B541" s="121">
        <v>16</v>
      </c>
      <c r="C541" s="79"/>
      <c r="D541" s="79"/>
      <c r="E541" s="79"/>
      <c r="F541" s="79"/>
      <c r="G541" s="94"/>
      <c r="I541" s="86" t="e">
        <f t="shared" si="21"/>
        <v>#DIV/0!</v>
      </c>
      <c r="J541" s="87" t="e">
        <f t="shared" si="21"/>
        <v>#DIV/0!</v>
      </c>
      <c r="K541" s="87" t="e">
        <f t="shared" si="21"/>
        <v>#DIV/0!</v>
      </c>
      <c r="L541" s="87" t="e">
        <f t="shared" si="21"/>
        <v>#DIV/0!</v>
      </c>
      <c r="M541" s="88" t="e">
        <f t="shared" si="21"/>
        <v>#DIV/0!</v>
      </c>
      <c r="O541" s="121" t="str">
        <f t="shared" si="20"/>
        <v>מגדל העמק</v>
      </c>
      <c r="P541" s="121" t="str">
        <f t="shared" si="20"/>
        <v>חיפה כרמל</v>
      </c>
    </row>
    <row r="542" spans="1:16" x14ac:dyDescent="0.3">
      <c r="A542" s="60">
        <v>21</v>
      </c>
      <c r="B542" s="121">
        <v>17</v>
      </c>
      <c r="C542" s="79"/>
      <c r="D542" s="79"/>
      <c r="E542" s="79"/>
      <c r="F542" s="79"/>
      <c r="G542" s="94"/>
      <c r="I542" s="86" t="e">
        <f t="shared" si="21"/>
        <v>#DIV/0!</v>
      </c>
      <c r="J542" s="87" t="e">
        <f t="shared" si="21"/>
        <v>#DIV/0!</v>
      </c>
      <c r="K542" s="87" t="e">
        <f t="shared" si="21"/>
        <v>#DIV/0!</v>
      </c>
      <c r="L542" s="87" t="e">
        <f t="shared" si="21"/>
        <v>#DIV/0!</v>
      </c>
      <c r="M542" s="88" t="e">
        <f t="shared" si="21"/>
        <v>#DIV/0!</v>
      </c>
      <c r="O542" s="121" t="str">
        <f t="shared" si="20"/>
        <v>מגדל העמק</v>
      </c>
      <c r="P542" s="121" t="str">
        <f t="shared" si="20"/>
        <v>חיפה נווה שאנן</v>
      </c>
    </row>
    <row r="543" spans="1:16" x14ac:dyDescent="0.3">
      <c r="A543" s="60">
        <v>21</v>
      </c>
      <c r="B543" s="121">
        <v>18</v>
      </c>
      <c r="C543" s="79"/>
      <c r="D543" s="79"/>
      <c r="E543" s="79"/>
      <c r="F543" s="79"/>
      <c r="G543" s="94"/>
      <c r="I543" s="86" t="e">
        <f t="shared" si="21"/>
        <v>#DIV/0!</v>
      </c>
      <c r="J543" s="87" t="e">
        <f t="shared" si="21"/>
        <v>#DIV/0!</v>
      </c>
      <c r="K543" s="87" t="e">
        <f t="shared" si="21"/>
        <v>#DIV/0!</v>
      </c>
      <c r="L543" s="87" t="e">
        <f t="shared" si="21"/>
        <v>#DIV/0!</v>
      </c>
      <c r="M543" s="88" t="e">
        <f t="shared" si="21"/>
        <v>#DIV/0!</v>
      </c>
      <c r="O543" s="121" t="str">
        <f t="shared" si="20"/>
        <v>מגדל העמק</v>
      </c>
      <c r="P543" s="121" t="str">
        <f t="shared" si="20"/>
        <v>נשר</v>
      </c>
    </row>
    <row r="544" spans="1:16" x14ac:dyDescent="0.3">
      <c r="A544" s="60">
        <v>21</v>
      </c>
      <c r="B544" s="121">
        <v>19</v>
      </c>
      <c r="C544" s="79"/>
      <c r="D544" s="79"/>
      <c r="E544" s="79"/>
      <c r="F544" s="79"/>
      <c r="G544" s="94"/>
      <c r="I544" s="86" t="e">
        <f t="shared" si="21"/>
        <v>#DIV/0!</v>
      </c>
      <c r="J544" s="87" t="e">
        <f t="shared" si="21"/>
        <v>#DIV/0!</v>
      </c>
      <c r="K544" s="87" t="e">
        <f t="shared" si="21"/>
        <v>#DIV/0!</v>
      </c>
      <c r="L544" s="87" t="e">
        <f t="shared" si="21"/>
        <v>#DIV/0!</v>
      </c>
      <c r="M544" s="88" t="e">
        <f t="shared" si="21"/>
        <v>#DIV/0!</v>
      </c>
      <c r="O544" s="121" t="str">
        <f t="shared" si="20"/>
        <v>מגדל העמק</v>
      </c>
      <c r="P544" s="121" t="str">
        <f t="shared" si="20"/>
        <v>נצרת</v>
      </c>
    </row>
    <row r="545" spans="1:16" x14ac:dyDescent="0.3">
      <c r="A545" s="60">
        <v>21</v>
      </c>
      <c r="B545" s="121">
        <v>20</v>
      </c>
      <c r="C545" s="79"/>
      <c r="D545" s="79"/>
      <c r="E545" s="79"/>
      <c r="F545" s="79"/>
      <c r="G545" s="94"/>
      <c r="I545" s="86" t="e">
        <f t="shared" si="21"/>
        <v>#DIV/0!</v>
      </c>
      <c r="J545" s="87" t="e">
        <f t="shared" si="21"/>
        <v>#DIV/0!</v>
      </c>
      <c r="K545" s="87" t="e">
        <f t="shared" si="21"/>
        <v>#DIV/0!</v>
      </c>
      <c r="L545" s="87" t="e">
        <f t="shared" si="21"/>
        <v>#DIV/0!</v>
      </c>
      <c r="M545" s="88" t="e">
        <f t="shared" si="21"/>
        <v>#DIV/0!</v>
      </c>
      <c r="O545" s="121" t="str">
        <f t="shared" si="20"/>
        <v>מגדל העמק</v>
      </c>
      <c r="P545" s="121" t="str">
        <f t="shared" si="20"/>
        <v>נצרת-עילית</v>
      </c>
    </row>
    <row r="546" spans="1:16" x14ac:dyDescent="0.3">
      <c r="A546" s="60">
        <v>21</v>
      </c>
      <c r="B546" s="121">
        <v>21</v>
      </c>
      <c r="C546" s="79"/>
      <c r="D546" s="79"/>
      <c r="E546" s="79"/>
      <c r="F546" s="79"/>
      <c r="G546" s="94"/>
      <c r="I546" s="86" t="e">
        <f t="shared" si="21"/>
        <v>#DIV/0!</v>
      </c>
      <c r="J546" s="87" t="e">
        <f t="shared" si="21"/>
        <v>#DIV/0!</v>
      </c>
      <c r="K546" s="87" t="e">
        <f t="shared" si="21"/>
        <v>#DIV/0!</v>
      </c>
      <c r="L546" s="87" t="e">
        <f t="shared" si="21"/>
        <v>#DIV/0!</v>
      </c>
      <c r="M546" s="88" t="e">
        <f t="shared" si="21"/>
        <v>#DIV/0!</v>
      </c>
      <c r="O546" s="121" t="str">
        <f t="shared" si="20"/>
        <v>מגדל העמק</v>
      </c>
      <c r="P546" s="121" t="str">
        <f t="shared" si="20"/>
        <v>מגדל העמק</v>
      </c>
    </row>
    <row r="547" spans="1:16" x14ac:dyDescent="0.3">
      <c r="A547" s="60">
        <v>21</v>
      </c>
      <c r="B547" s="121">
        <v>22</v>
      </c>
      <c r="C547" s="79"/>
      <c r="D547" s="79"/>
      <c r="E547" s="79"/>
      <c r="F547" s="79"/>
      <c r="G547" s="94"/>
      <c r="I547" s="86" t="e">
        <f t="shared" si="21"/>
        <v>#DIV/0!</v>
      </c>
      <c r="J547" s="87" t="e">
        <f t="shared" si="21"/>
        <v>#DIV/0!</v>
      </c>
      <c r="K547" s="87" t="e">
        <f t="shared" si="21"/>
        <v>#DIV/0!</v>
      </c>
      <c r="L547" s="87" t="e">
        <f t="shared" si="21"/>
        <v>#DIV/0!</v>
      </c>
      <c r="M547" s="88" t="e">
        <f t="shared" si="21"/>
        <v>#DIV/0!</v>
      </c>
      <c r="O547" s="121" t="str">
        <f t="shared" si="20"/>
        <v>מגדל העמק</v>
      </c>
      <c r="P547" s="121" t="str">
        <f t="shared" si="20"/>
        <v>יוקנעם</v>
      </c>
    </row>
    <row r="548" spans="1:16" x14ac:dyDescent="0.3">
      <c r="A548" s="60">
        <v>21</v>
      </c>
      <c r="B548" s="121">
        <v>23</v>
      </c>
      <c r="C548" s="79"/>
      <c r="D548" s="79"/>
      <c r="E548" s="79"/>
      <c r="F548" s="79"/>
      <c r="G548" s="94"/>
      <c r="I548" s="86" t="e">
        <f t="shared" si="21"/>
        <v>#DIV/0!</v>
      </c>
      <c r="J548" s="87" t="e">
        <f t="shared" si="21"/>
        <v>#DIV/0!</v>
      </c>
      <c r="K548" s="87" t="e">
        <f t="shared" si="21"/>
        <v>#DIV/0!</v>
      </c>
      <c r="L548" s="87" t="e">
        <f t="shared" si="21"/>
        <v>#DIV/0!</v>
      </c>
      <c r="M548" s="88" t="e">
        <f t="shared" si="21"/>
        <v>#DIV/0!</v>
      </c>
      <c r="O548" s="121" t="str">
        <f t="shared" si="20"/>
        <v>מגדל העמק</v>
      </c>
      <c r="P548" s="121" t="str">
        <f t="shared" si="20"/>
        <v>דלית אל כרמל</v>
      </c>
    </row>
    <row r="549" spans="1:16" x14ac:dyDescent="0.3">
      <c r="A549" s="60">
        <v>21</v>
      </c>
      <c r="B549" s="121">
        <v>24</v>
      </c>
      <c r="C549" s="79"/>
      <c r="D549" s="79"/>
      <c r="E549" s="79"/>
      <c r="F549" s="79"/>
      <c r="G549" s="94"/>
      <c r="I549" s="86" t="e">
        <f t="shared" si="21"/>
        <v>#DIV/0!</v>
      </c>
      <c r="J549" s="87" t="e">
        <f t="shared" si="21"/>
        <v>#DIV/0!</v>
      </c>
      <c r="K549" s="87" t="e">
        <f t="shared" si="21"/>
        <v>#DIV/0!</v>
      </c>
      <c r="L549" s="87" t="e">
        <f t="shared" si="21"/>
        <v>#DIV/0!</v>
      </c>
      <c r="M549" s="88" t="e">
        <f t="shared" si="21"/>
        <v>#DIV/0!</v>
      </c>
      <c r="O549" s="121" t="str">
        <f t="shared" si="20"/>
        <v>מגדל העמק</v>
      </c>
      <c r="P549" s="121" t="str">
        <f t="shared" si="20"/>
        <v>חוף הכרמל</v>
      </c>
    </row>
    <row r="550" spans="1:16" x14ac:dyDescent="0.3">
      <c r="A550" s="60">
        <v>21</v>
      </c>
      <c r="B550" s="121">
        <v>25</v>
      </c>
      <c r="C550" s="79"/>
      <c r="D550" s="79"/>
      <c r="E550" s="79"/>
      <c r="F550" s="79"/>
      <c r="G550" s="94"/>
      <c r="I550" s="86" t="e">
        <f t="shared" si="21"/>
        <v>#DIV/0!</v>
      </c>
      <c r="J550" s="87" t="e">
        <f t="shared" si="21"/>
        <v>#DIV/0!</v>
      </c>
      <c r="K550" s="87" t="e">
        <f t="shared" si="21"/>
        <v>#DIV/0!</v>
      </c>
      <c r="L550" s="87" t="e">
        <f t="shared" si="21"/>
        <v>#DIV/0!</v>
      </c>
      <c r="M550" s="88" t="e">
        <f t="shared" si="21"/>
        <v>#DIV/0!</v>
      </c>
      <c r="O550" s="121" t="str">
        <f t="shared" si="20"/>
        <v>מגדל העמק</v>
      </c>
      <c r="P550" s="121" t="str">
        <f t="shared" si="20"/>
        <v>זכרון יעקב</v>
      </c>
    </row>
    <row r="551" spans="1:16" x14ac:dyDescent="0.3">
      <c r="A551" s="60">
        <v>21</v>
      </c>
      <c r="B551" s="121">
        <v>30</v>
      </c>
      <c r="C551" s="79"/>
      <c r="D551" s="79"/>
      <c r="E551" s="79"/>
      <c r="F551" s="79"/>
      <c r="G551" s="94"/>
      <c r="I551" s="86" t="e">
        <f t="shared" si="21"/>
        <v>#DIV/0!</v>
      </c>
      <c r="J551" s="87" t="e">
        <f t="shared" si="21"/>
        <v>#DIV/0!</v>
      </c>
      <c r="K551" s="87" t="e">
        <f t="shared" si="21"/>
        <v>#DIV/0!</v>
      </c>
      <c r="L551" s="87" t="e">
        <f t="shared" si="21"/>
        <v>#DIV/0!</v>
      </c>
      <c r="M551" s="88" t="e">
        <f t="shared" si="21"/>
        <v>#DIV/0!</v>
      </c>
      <c r="O551" s="121" t="str">
        <f t="shared" si="20"/>
        <v>מגדל העמק</v>
      </c>
      <c r="P551" s="121" t="str">
        <f t="shared" si="20"/>
        <v>סכנין</v>
      </c>
    </row>
    <row r="552" spans="1:16" x14ac:dyDescent="0.3">
      <c r="A552" s="60">
        <v>22</v>
      </c>
      <c r="B552" s="121">
        <v>1</v>
      </c>
      <c r="C552" s="79"/>
      <c r="D552" s="79"/>
      <c r="E552" s="79"/>
      <c r="F552" s="79"/>
      <c r="G552" s="94"/>
      <c r="I552" s="86" t="e">
        <f t="shared" si="21"/>
        <v>#DIV/0!</v>
      </c>
      <c r="J552" s="87" t="e">
        <f t="shared" si="21"/>
        <v>#DIV/0!</v>
      </c>
      <c r="K552" s="87" t="e">
        <f t="shared" si="21"/>
        <v>#DIV/0!</v>
      </c>
      <c r="L552" s="87" t="e">
        <f t="shared" si="21"/>
        <v>#DIV/0!</v>
      </c>
      <c r="M552" s="88" t="e">
        <f t="shared" si="21"/>
        <v>#DIV/0!</v>
      </c>
      <c r="O552" s="121" t="str">
        <f t="shared" si="20"/>
        <v>יוקנעם</v>
      </c>
      <c r="P552" s="121" t="str">
        <f t="shared" si="20"/>
        <v>נהריה</v>
      </c>
    </row>
    <row r="553" spans="1:16" x14ac:dyDescent="0.3">
      <c r="A553" s="60">
        <v>22</v>
      </c>
      <c r="B553" s="121">
        <v>2</v>
      </c>
      <c r="C553" s="79"/>
      <c r="D553" s="79"/>
      <c r="E553" s="79"/>
      <c r="F553" s="79"/>
      <c r="G553" s="94"/>
      <c r="I553" s="86" t="e">
        <f t="shared" si="21"/>
        <v>#DIV/0!</v>
      </c>
      <c r="J553" s="87" t="e">
        <f t="shared" si="21"/>
        <v>#DIV/0!</v>
      </c>
      <c r="K553" s="87" t="e">
        <f t="shared" si="21"/>
        <v>#DIV/0!</v>
      </c>
      <c r="L553" s="87" t="e">
        <f t="shared" si="21"/>
        <v>#DIV/0!</v>
      </c>
      <c r="M553" s="88" t="e">
        <f t="shared" si="21"/>
        <v>#DIV/0!</v>
      </c>
      <c r="O553" s="121" t="str">
        <f t="shared" si="20"/>
        <v>יוקנעם</v>
      </c>
      <c r="P553" s="121" t="str">
        <f t="shared" si="20"/>
        <v>עכו</v>
      </c>
    </row>
    <row r="554" spans="1:16" x14ac:dyDescent="0.3">
      <c r="A554" s="60">
        <v>22</v>
      </c>
      <c r="B554" s="121">
        <v>3</v>
      </c>
      <c r="C554" s="79"/>
      <c r="D554" s="79"/>
      <c r="E554" s="79"/>
      <c r="F554" s="79"/>
      <c r="G554" s="94"/>
      <c r="I554" s="86" t="e">
        <f t="shared" si="21"/>
        <v>#DIV/0!</v>
      </c>
      <c r="J554" s="87" t="e">
        <f t="shared" si="21"/>
        <v>#DIV/0!</v>
      </c>
      <c r="K554" s="87" t="e">
        <f t="shared" si="21"/>
        <v>#DIV/0!</v>
      </c>
      <c r="L554" s="87" t="e">
        <f t="shared" si="21"/>
        <v>#DIV/0!</v>
      </c>
      <c r="M554" s="88" t="e">
        <f t="shared" si="21"/>
        <v>#DIV/0!</v>
      </c>
      <c r="O554" s="121" t="str">
        <f t="shared" si="20"/>
        <v>יוקנעם</v>
      </c>
      <c r="P554" s="121" t="str">
        <f t="shared" si="20"/>
        <v>כרמיאל</v>
      </c>
    </row>
    <row r="555" spans="1:16" x14ac:dyDescent="0.3">
      <c r="A555" s="60">
        <v>22</v>
      </c>
      <c r="B555" s="121">
        <v>4</v>
      </c>
      <c r="C555" s="79"/>
      <c r="D555" s="79"/>
      <c r="E555" s="79"/>
      <c r="F555" s="79"/>
      <c r="G555" s="94"/>
      <c r="I555" s="86" t="e">
        <f t="shared" si="21"/>
        <v>#DIV/0!</v>
      </c>
      <c r="J555" s="87" t="e">
        <f t="shared" si="21"/>
        <v>#DIV/0!</v>
      </c>
      <c r="K555" s="87" t="e">
        <f t="shared" si="21"/>
        <v>#DIV/0!</v>
      </c>
      <c r="L555" s="87" t="e">
        <f t="shared" si="21"/>
        <v>#DIV/0!</v>
      </c>
      <c r="M555" s="88" t="e">
        <f t="shared" si="21"/>
        <v>#DIV/0!</v>
      </c>
      <c r="O555" s="121" t="str">
        <f t="shared" si="20"/>
        <v>יוקנעם</v>
      </c>
      <c r="P555" s="121" t="str">
        <f t="shared" si="20"/>
        <v>שפרעם</v>
      </c>
    </row>
    <row r="556" spans="1:16" x14ac:dyDescent="0.3">
      <c r="A556" s="60">
        <v>22</v>
      </c>
      <c r="B556" s="121">
        <v>5</v>
      </c>
      <c r="C556" s="79"/>
      <c r="D556" s="79"/>
      <c r="E556" s="79"/>
      <c r="F556" s="79"/>
      <c r="G556" s="94"/>
      <c r="I556" s="86" t="e">
        <f t="shared" si="21"/>
        <v>#DIV/0!</v>
      </c>
      <c r="J556" s="87" t="e">
        <f t="shared" si="21"/>
        <v>#DIV/0!</v>
      </c>
      <c r="K556" s="87" t="e">
        <f t="shared" si="21"/>
        <v>#DIV/0!</v>
      </c>
      <c r="L556" s="87" t="e">
        <f t="shared" si="21"/>
        <v>#DIV/0!</v>
      </c>
      <c r="M556" s="88" t="e">
        <f t="shared" si="21"/>
        <v>#DIV/0!</v>
      </c>
      <c r="O556" s="121" t="str">
        <f t="shared" si="20"/>
        <v>יוקנעם</v>
      </c>
      <c r="P556" s="121" t="str">
        <f t="shared" si="20"/>
        <v>קרית ים</v>
      </c>
    </row>
    <row r="557" spans="1:16" x14ac:dyDescent="0.3">
      <c r="A557" s="60">
        <v>22</v>
      </c>
      <c r="B557" s="121">
        <v>6</v>
      </c>
      <c r="C557" s="79"/>
      <c r="D557" s="79"/>
      <c r="E557" s="79"/>
      <c r="F557" s="79"/>
      <c r="G557" s="94"/>
      <c r="I557" s="86" t="e">
        <f t="shared" si="21"/>
        <v>#DIV/0!</v>
      </c>
      <c r="J557" s="87" t="e">
        <f t="shared" si="21"/>
        <v>#DIV/0!</v>
      </c>
      <c r="K557" s="87" t="e">
        <f t="shared" si="21"/>
        <v>#DIV/0!</v>
      </c>
      <c r="L557" s="87" t="e">
        <f t="shared" si="21"/>
        <v>#DIV/0!</v>
      </c>
      <c r="M557" s="88" t="e">
        <f t="shared" si="21"/>
        <v>#DIV/0!</v>
      </c>
      <c r="O557" s="121" t="str">
        <f t="shared" si="20"/>
        <v>יוקנעם</v>
      </c>
      <c r="P557" s="121" t="str">
        <f t="shared" si="20"/>
        <v>קרית מוצקין</v>
      </c>
    </row>
    <row r="558" spans="1:16" x14ac:dyDescent="0.3">
      <c r="A558" s="60">
        <v>22</v>
      </c>
      <c r="B558" s="121">
        <v>7</v>
      </c>
      <c r="C558" s="79"/>
      <c r="D558" s="79"/>
      <c r="E558" s="79"/>
      <c r="F558" s="79"/>
      <c r="G558" s="94"/>
      <c r="I558" s="86" t="e">
        <f t="shared" si="21"/>
        <v>#DIV/0!</v>
      </c>
      <c r="J558" s="87" t="e">
        <f t="shared" si="21"/>
        <v>#DIV/0!</v>
      </c>
      <c r="K558" s="87" t="e">
        <f t="shared" si="21"/>
        <v>#DIV/0!</v>
      </c>
      <c r="L558" s="87" t="e">
        <f t="shared" si="21"/>
        <v>#DIV/0!</v>
      </c>
      <c r="M558" s="88" t="e">
        <f t="shared" si="21"/>
        <v>#DIV/0!</v>
      </c>
      <c r="O558" s="121" t="str">
        <f t="shared" si="20"/>
        <v>יוקנעם</v>
      </c>
      <c r="P558" s="121" t="str">
        <f t="shared" si="20"/>
        <v>קרית ביאליק</v>
      </c>
    </row>
    <row r="559" spans="1:16" x14ac:dyDescent="0.3">
      <c r="A559" s="60">
        <v>22</v>
      </c>
      <c r="B559" s="121">
        <v>8</v>
      </c>
      <c r="C559" s="79"/>
      <c r="D559" s="79"/>
      <c r="E559" s="79"/>
      <c r="F559" s="79"/>
      <c r="G559" s="94"/>
      <c r="I559" s="86" t="e">
        <f t="shared" si="21"/>
        <v>#DIV/0!</v>
      </c>
      <c r="J559" s="87" t="e">
        <f t="shared" si="21"/>
        <v>#DIV/0!</v>
      </c>
      <c r="K559" s="87" t="e">
        <f t="shared" si="21"/>
        <v>#DIV/0!</v>
      </c>
      <c r="L559" s="87" t="e">
        <f t="shared" si="21"/>
        <v>#DIV/0!</v>
      </c>
      <c r="M559" s="88" t="e">
        <f t="shared" si="21"/>
        <v>#DIV/0!</v>
      </c>
      <c r="O559" s="121" t="str">
        <f t="shared" si="20"/>
        <v>יוקנעם</v>
      </c>
      <c r="P559" s="121" t="str">
        <f t="shared" si="20"/>
        <v>קרית חיים</v>
      </c>
    </row>
    <row r="560" spans="1:16" x14ac:dyDescent="0.3">
      <c r="A560" s="60">
        <v>22</v>
      </c>
      <c r="B560" s="121">
        <v>9</v>
      </c>
      <c r="C560" s="79"/>
      <c r="D560" s="79"/>
      <c r="E560" s="79"/>
      <c r="F560" s="79"/>
      <c r="G560" s="94"/>
      <c r="I560" s="86" t="e">
        <f t="shared" si="21"/>
        <v>#DIV/0!</v>
      </c>
      <c r="J560" s="87" t="e">
        <f t="shared" si="21"/>
        <v>#DIV/0!</v>
      </c>
      <c r="K560" s="87" t="e">
        <f t="shared" si="21"/>
        <v>#DIV/0!</v>
      </c>
      <c r="L560" s="87" t="e">
        <f t="shared" si="21"/>
        <v>#DIV/0!</v>
      </c>
      <c r="M560" s="88" t="e">
        <f t="shared" si="21"/>
        <v>#DIV/0!</v>
      </c>
      <c r="O560" s="121" t="str">
        <f t="shared" si="20"/>
        <v>יוקנעם</v>
      </c>
      <c r="P560" s="121" t="str">
        <f t="shared" si="20"/>
        <v>קרית אתא</v>
      </c>
    </row>
    <row r="561" spans="1:16" x14ac:dyDescent="0.3">
      <c r="A561" s="60">
        <v>22</v>
      </c>
      <c r="B561" s="121">
        <v>10</v>
      </c>
      <c r="C561" s="79"/>
      <c r="D561" s="79"/>
      <c r="E561" s="79"/>
      <c r="F561" s="79"/>
      <c r="G561" s="94"/>
      <c r="I561" s="86" t="e">
        <f t="shared" si="21"/>
        <v>#DIV/0!</v>
      </c>
      <c r="J561" s="87" t="e">
        <f t="shared" si="21"/>
        <v>#DIV/0!</v>
      </c>
      <c r="K561" s="87" t="e">
        <f t="shared" si="21"/>
        <v>#DIV/0!</v>
      </c>
      <c r="L561" s="87" t="e">
        <f t="shared" si="21"/>
        <v>#DIV/0!</v>
      </c>
      <c r="M561" s="88" t="e">
        <f t="shared" si="21"/>
        <v>#DIV/0!</v>
      </c>
      <c r="O561" s="121" t="str">
        <f t="shared" si="20"/>
        <v>יוקנעם</v>
      </c>
      <c r="P561" s="121" t="str">
        <f t="shared" si="20"/>
        <v>כפר מנדא</v>
      </c>
    </row>
    <row r="562" spans="1:16" x14ac:dyDescent="0.3">
      <c r="A562" s="60">
        <v>22</v>
      </c>
      <c r="B562" s="121">
        <v>11</v>
      </c>
      <c r="C562" s="79"/>
      <c r="D562" s="79"/>
      <c r="E562" s="79"/>
      <c r="F562" s="79"/>
      <c r="G562" s="94"/>
      <c r="I562" s="86" t="e">
        <f t="shared" si="21"/>
        <v>#DIV/0!</v>
      </c>
      <c r="J562" s="87" t="e">
        <f t="shared" si="21"/>
        <v>#DIV/0!</v>
      </c>
      <c r="K562" s="87" t="e">
        <f t="shared" si="21"/>
        <v>#DIV/0!</v>
      </c>
      <c r="L562" s="87" t="e">
        <f t="shared" si="21"/>
        <v>#DIV/0!</v>
      </c>
      <c r="M562" s="88" t="e">
        <f t="shared" si="21"/>
        <v>#DIV/0!</v>
      </c>
      <c r="O562" s="121" t="str">
        <f t="shared" si="20"/>
        <v>יוקנעם</v>
      </c>
      <c r="P562" s="121" t="str">
        <f t="shared" si="20"/>
        <v>זבולון</v>
      </c>
    </row>
    <row r="563" spans="1:16" x14ac:dyDescent="0.3">
      <c r="A563" s="60">
        <v>22</v>
      </c>
      <c r="B563" s="121">
        <v>12</v>
      </c>
      <c r="C563" s="79"/>
      <c r="D563" s="79"/>
      <c r="E563" s="79"/>
      <c r="F563" s="79"/>
      <c r="G563" s="94"/>
      <c r="I563" s="86" t="e">
        <f t="shared" si="21"/>
        <v>#DIV/0!</v>
      </c>
      <c r="J563" s="87" t="e">
        <f t="shared" si="21"/>
        <v>#DIV/0!</v>
      </c>
      <c r="K563" s="87" t="e">
        <f t="shared" si="21"/>
        <v>#DIV/0!</v>
      </c>
      <c r="L563" s="87" t="e">
        <f t="shared" si="21"/>
        <v>#DIV/0!</v>
      </c>
      <c r="M563" s="88" t="e">
        <f t="shared" si="21"/>
        <v>#DIV/0!</v>
      </c>
      <c r="O563" s="121" t="str">
        <f t="shared" si="20"/>
        <v>יוקנעם</v>
      </c>
      <c r="P563" s="121" t="str">
        <f t="shared" si="20"/>
        <v>חיפה מפרץ</v>
      </c>
    </row>
    <row r="564" spans="1:16" x14ac:dyDescent="0.3">
      <c r="A564" s="60">
        <v>22</v>
      </c>
      <c r="B564" s="121">
        <v>13</v>
      </c>
      <c r="C564" s="79"/>
      <c r="D564" s="79"/>
      <c r="E564" s="79"/>
      <c r="F564" s="79"/>
      <c r="G564" s="94"/>
      <c r="I564" s="86" t="e">
        <f t="shared" si="21"/>
        <v>#DIV/0!</v>
      </c>
      <c r="J564" s="87" t="e">
        <f t="shared" si="21"/>
        <v>#DIV/0!</v>
      </c>
      <c r="K564" s="87" t="e">
        <f t="shared" si="21"/>
        <v>#DIV/0!</v>
      </c>
      <c r="L564" s="87" t="e">
        <f t="shared" si="21"/>
        <v>#DIV/0!</v>
      </c>
      <c r="M564" s="88" t="e">
        <f t="shared" si="21"/>
        <v>#DIV/0!</v>
      </c>
      <c r="O564" s="121" t="str">
        <f t="shared" si="20"/>
        <v>יוקנעם</v>
      </c>
      <c r="P564" s="121" t="str">
        <f t="shared" si="20"/>
        <v>חיפה עיר תחתית</v>
      </c>
    </row>
    <row r="565" spans="1:16" x14ac:dyDescent="0.3">
      <c r="A565" s="60">
        <v>22</v>
      </c>
      <c r="B565" s="121">
        <v>14</v>
      </c>
      <c r="C565" s="79"/>
      <c r="D565" s="79"/>
      <c r="E565" s="79"/>
      <c r="F565" s="79"/>
      <c r="G565" s="94"/>
      <c r="I565" s="86" t="e">
        <f t="shared" si="21"/>
        <v>#DIV/0!</v>
      </c>
      <c r="J565" s="87" t="e">
        <f t="shared" si="21"/>
        <v>#DIV/0!</v>
      </c>
      <c r="K565" s="87" t="e">
        <f t="shared" si="21"/>
        <v>#DIV/0!</v>
      </c>
      <c r="L565" s="87" t="e">
        <f t="shared" si="21"/>
        <v>#DIV/0!</v>
      </c>
      <c r="M565" s="88" t="e">
        <f t="shared" si="21"/>
        <v>#DIV/0!</v>
      </c>
      <c r="O565" s="121" t="str">
        <f t="shared" si="20"/>
        <v>יוקנעם</v>
      </c>
      <c r="P565" s="121" t="str">
        <f t="shared" si="20"/>
        <v>חיפה הדר-כרמל</v>
      </c>
    </row>
    <row r="566" spans="1:16" x14ac:dyDescent="0.3">
      <c r="A566" s="60">
        <v>22</v>
      </c>
      <c r="B566" s="121">
        <v>15</v>
      </c>
      <c r="C566" s="79"/>
      <c r="D566" s="79"/>
      <c r="E566" s="79"/>
      <c r="F566" s="79"/>
      <c r="G566" s="94"/>
      <c r="I566" s="86" t="e">
        <f t="shared" si="21"/>
        <v>#DIV/0!</v>
      </c>
      <c r="J566" s="87" t="e">
        <f t="shared" si="21"/>
        <v>#DIV/0!</v>
      </c>
      <c r="K566" s="87" t="e">
        <f t="shared" si="21"/>
        <v>#DIV/0!</v>
      </c>
      <c r="L566" s="87" t="e">
        <f t="shared" si="21"/>
        <v>#DIV/0!</v>
      </c>
      <c r="M566" s="88" t="e">
        <f t="shared" si="21"/>
        <v>#DIV/0!</v>
      </c>
      <c r="O566" s="121" t="str">
        <f t="shared" si="20"/>
        <v>יוקנעם</v>
      </c>
      <c r="P566" s="121" t="str">
        <f t="shared" si="20"/>
        <v>חיפה מערב</v>
      </c>
    </row>
    <row r="567" spans="1:16" x14ac:dyDescent="0.3">
      <c r="A567" s="60">
        <v>22</v>
      </c>
      <c r="B567" s="121">
        <v>16</v>
      </c>
      <c r="C567" s="79"/>
      <c r="D567" s="79"/>
      <c r="E567" s="79"/>
      <c r="F567" s="79"/>
      <c r="G567" s="94"/>
      <c r="I567" s="86" t="e">
        <f t="shared" si="21"/>
        <v>#DIV/0!</v>
      </c>
      <c r="J567" s="87" t="e">
        <f t="shared" si="21"/>
        <v>#DIV/0!</v>
      </c>
      <c r="K567" s="87" t="e">
        <f t="shared" si="21"/>
        <v>#DIV/0!</v>
      </c>
      <c r="L567" s="87" t="e">
        <f t="shared" si="21"/>
        <v>#DIV/0!</v>
      </c>
      <c r="M567" s="88" t="e">
        <f t="shared" si="21"/>
        <v>#DIV/0!</v>
      </c>
      <c r="O567" s="121" t="str">
        <f t="shared" si="20"/>
        <v>יוקנעם</v>
      </c>
      <c r="P567" s="121" t="str">
        <f t="shared" si="20"/>
        <v>חיפה כרמל</v>
      </c>
    </row>
    <row r="568" spans="1:16" x14ac:dyDescent="0.3">
      <c r="A568" s="60">
        <v>22</v>
      </c>
      <c r="B568" s="121">
        <v>17</v>
      </c>
      <c r="C568" s="79"/>
      <c r="D568" s="79"/>
      <c r="E568" s="79"/>
      <c r="F568" s="79"/>
      <c r="G568" s="94"/>
      <c r="I568" s="86" t="e">
        <f t="shared" si="21"/>
        <v>#DIV/0!</v>
      </c>
      <c r="J568" s="87" t="e">
        <f t="shared" si="21"/>
        <v>#DIV/0!</v>
      </c>
      <c r="K568" s="87" t="e">
        <f t="shared" si="21"/>
        <v>#DIV/0!</v>
      </c>
      <c r="L568" s="87" t="e">
        <f t="shared" si="21"/>
        <v>#DIV/0!</v>
      </c>
      <c r="M568" s="88" t="e">
        <f t="shared" si="21"/>
        <v>#DIV/0!</v>
      </c>
      <c r="O568" s="121" t="str">
        <f t="shared" si="20"/>
        <v>יוקנעם</v>
      </c>
      <c r="P568" s="121" t="str">
        <f t="shared" si="20"/>
        <v>חיפה נווה שאנן</v>
      </c>
    </row>
    <row r="569" spans="1:16" x14ac:dyDescent="0.3">
      <c r="A569" s="60">
        <v>22</v>
      </c>
      <c r="B569" s="121">
        <v>18</v>
      </c>
      <c r="C569" s="79"/>
      <c r="D569" s="79"/>
      <c r="E569" s="79"/>
      <c r="F569" s="79"/>
      <c r="G569" s="94"/>
      <c r="I569" s="86" t="e">
        <f t="shared" si="21"/>
        <v>#DIV/0!</v>
      </c>
      <c r="J569" s="87" t="e">
        <f t="shared" si="21"/>
        <v>#DIV/0!</v>
      </c>
      <c r="K569" s="87" t="e">
        <f t="shared" si="21"/>
        <v>#DIV/0!</v>
      </c>
      <c r="L569" s="87" t="e">
        <f t="shared" si="21"/>
        <v>#DIV/0!</v>
      </c>
      <c r="M569" s="88" t="e">
        <f t="shared" si="21"/>
        <v>#DIV/0!</v>
      </c>
      <c r="O569" s="121" t="str">
        <f t="shared" si="20"/>
        <v>יוקנעם</v>
      </c>
      <c r="P569" s="121" t="str">
        <f t="shared" si="20"/>
        <v>נשר</v>
      </c>
    </row>
    <row r="570" spans="1:16" x14ac:dyDescent="0.3">
      <c r="A570" s="60">
        <v>22</v>
      </c>
      <c r="B570" s="121">
        <v>19</v>
      </c>
      <c r="C570" s="79"/>
      <c r="D570" s="79"/>
      <c r="E570" s="79"/>
      <c r="F570" s="79"/>
      <c r="G570" s="94"/>
      <c r="I570" s="86" t="e">
        <f t="shared" si="21"/>
        <v>#DIV/0!</v>
      </c>
      <c r="J570" s="87" t="e">
        <f t="shared" si="21"/>
        <v>#DIV/0!</v>
      </c>
      <c r="K570" s="87" t="e">
        <f t="shared" si="21"/>
        <v>#DIV/0!</v>
      </c>
      <c r="L570" s="87" t="e">
        <f t="shared" si="21"/>
        <v>#DIV/0!</v>
      </c>
      <c r="M570" s="88" t="e">
        <f t="shared" si="21"/>
        <v>#DIV/0!</v>
      </c>
      <c r="O570" s="121" t="str">
        <f t="shared" si="20"/>
        <v>יוקנעם</v>
      </c>
      <c r="P570" s="121" t="str">
        <f t="shared" si="20"/>
        <v>נצרת</v>
      </c>
    </row>
    <row r="571" spans="1:16" x14ac:dyDescent="0.3">
      <c r="A571" s="60">
        <v>22</v>
      </c>
      <c r="B571" s="121">
        <v>20</v>
      </c>
      <c r="C571" s="79"/>
      <c r="D571" s="79"/>
      <c r="E571" s="79"/>
      <c r="F571" s="79"/>
      <c r="G571" s="94"/>
      <c r="I571" s="86" t="e">
        <f t="shared" si="21"/>
        <v>#DIV/0!</v>
      </c>
      <c r="J571" s="87" t="e">
        <f t="shared" si="21"/>
        <v>#DIV/0!</v>
      </c>
      <c r="K571" s="87" t="e">
        <f t="shared" si="21"/>
        <v>#DIV/0!</v>
      </c>
      <c r="L571" s="87" t="e">
        <f t="shared" si="21"/>
        <v>#DIV/0!</v>
      </c>
      <c r="M571" s="88" t="e">
        <f t="shared" si="21"/>
        <v>#DIV/0!</v>
      </c>
      <c r="O571" s="121" t="str">
        <f t="shared" si="20"/>
        <v>יוקנעם</v>
      </c>
      <c r="P571" s="121" t="str">
        <f t="shared" si="20"/>
        <v>נצרת-עילית</v>
      </c>
    </row>
    <row r="572" spans="1:16" x14ac:dyDescent="0.3">
      <c r="A572" s="60">
        <v>22</v>
      </c>
      <c r="B572" s="121">
        <v>21</v>
      </c>
      <c r="C572" s="79"/>
      <c r="D572" s="79"/>
      <c r="E572" s="79"/>
      <c r="F572" s="79"/>
      <c r="G572" s="94"/>
      <c r="I572" s="86" t="e">
        <f t="shared" si="21"/>
        <v>#DIV/0!</v>
      </c>
      <c r="J572" s="87" t="e">
        <f t="shared" si="21"/>
        <v>#DIV/0!</v>
      </c>
      <c r="K572" s="87" t="e">
        <f t="shared" si="21"/>
        <v>#DIV/0!</v>
      </c>
      <c r="L572" s="87" t="e">
        <f t="shared" si="21"/>
        <v>#DIV/0!</v>
      </c>
      <c r="M572" s="88" t="e">
        <f t="shared" si="21"/>
        <v>#DIV/0!</v>
      </c>
      <c r="O572" s="121" t="str">
        <f t="shared" si="20"/>
        <v>יוקנעם</v>
      </c>
      <c r="P572" s="121" t="str">
        <f t="shared" si="20"/>
        <v>מגדל העמק</v>
      </c>
    </row>
    <row r="573" spans="1:16" x14ac:dyDescent="0.3">
      <c r="A573" s="60">
        <v>22</v>
      </c>
      <c r="B573" s="121">
        <v>22</v>
      </c>
      <c r="C573" s="79"/>
      <c r="D573" s="79"/>
      <c r="E573" s="79"/>
      <c r="F573" s="79"/>
      <c r="G573" s="94"/>
      <c r="I573" s="86" t="e">
        <f t="shared" si="21"/>
        <v>#DIV/0!</v>
      </c>
      <c r="J573" s="87" t="e">
        <f t="shared" si="21"/>
        <v>#DIV/0!</v>
      </c>
      <c r="K573" s="87" t="e">
        <f t="shared" si="21"/>
        <v>#DIV/0!</v>
      </c>
      <c r="L573" s="87" t="e">
        <f t="shared" si="21"/>
        <v>#DIV/0!</v>
      </c>
      <c r="M573" s="88" t="e">
        <f t="shared" si="21"/>
        <v>#DIV/0!</v>
      </c>
      <c r="O573" s="121" t="str">
        <f t="shared" si="20"/>
        <v>יוקנעם</v>
      </c>
      <c r="P573" s="121" t="str">
        <f t="shared" si="20"/>
        <v>יוקנעם</v>
      </c>
    </row>
    <row r="574" spans="1:16" x14ac:dyDescent="0.3">
      <c r="A574" s="60">
        <v>22</v>
      </c>
      <c r="B574" s="121">
        <v>23</v>
      </c>
      <c r="C574" s="79"/>
      <c r="D574" s="79"/>
      <c r="E574" s="79"/>
      <c r="F574" s="79"/>
      <c r="G574" s="94"/>
      <c r="I574" s="86" t="e">
        <f t="shared" si="21"/>
        <v>#DIV/0!</v>
      </c>
      <c r="J574" s="87" t="e">
        <f t="shared" si="21"/>
        <v>#DIV/0!</v>
      </c>
      <c r="K574" s="87" t="e">
        <f t="shared" si="21"/>
        <v>#DIV/0!</v>
      </c>
      <c r="L574" s="87" t="e">
        <f t="shared" si="21"/>
        <v>#DIV/0!</v>
      </c>
      <c r="M574" s="88" t="e">
        <f t="shared" si="21"/>
        <v>#DIV/0!</v>
      </c>
      <c r="O574" s="121" t="str">
        <f t="shared" si="20"/>
        <v>יוקנעם</v>
      </c>
      <c r="P574" s="121" t="str">
        <f t="shared" si="20"/>
        <v>דלית אל כרמל</v>
      </c>
    </row>
    <row r="575" spans="1:16" x14ac:dyDescent="0.3">
      <c r="A575" s="60">
        <v>22</v>
      </c>
      <c r="B575" s="121">
        <v>24</v>
      </c>
      <c r="C575" s="79"/>
      <c r="D575" s="79"/>
      <c r="E575" s="79"/>
      <c r="F575" s="79"/>
      <c r="G575" s="94"/>
      <c r="I575" s="86" t="e">
        <f t="shared" si="21"/>
        <v>#DIV/0!</v>
      </c>
      <c r="J575" s="87" t="e">
        <f t="shared" si="21"/>
        <v>#DIV/0!</v>
      </c>
      <c r="K575" s="87" t="e">
        <f t="shared" si="21"/>
        <v>#DIV/0!</v>
      </c>
      <c r="L575" s="87" t="e">
        <f t="shared" si="21"/>
        <v>#DIV/0!</v>
      </c>
      <c r="M575" s="88" t="e">
        <f t="shared" si="21"/>
        <v>#DIV/0!</v>
      </c>
      <c r="O575" s="121" t="str">
        <f t="shared" si="20"/>
        <v>יוקנעם</v>
      </c>
      <c r="P575" s="121" t="str">
        <f t="shared" si="20"/>
        <v>חוף הכרמל</v>
      </c>
    </row>
    <row r="576" spans="1:16" x14ac:dyDescent="0.3">
      <c r="A576" s="60">
        <v>22</v>
      </c>
      <c r="B576" s="121">
        <v>25</v>
      </c>
      <c r="C576" s="79"/>
      <c r="D576" s="79"/>
      <c r="E576" s="79"/>
      <c r="F576" s="79"/>
      <c r="G576" s="94"/>
      <c r="I576" s="86" t="e">
        <f t="shared" si="21"/>
        <v>#DIV/0!</v>
      </c>
      <c r="J576" s="87" t="e">
        <f t="shared" si="21"/>
        <v>#DIV/0!</v>
      </c>
      <c r="K576" s="87" t="e">
        <f t="shared" si="21"/>
        <v>#DIV/0!</v>
      </c>
      <c r="L576" s="87" t="e">
        <f t="shared" si="21"/>
        <v>#DIV/0!</v>
      </c>
      <c r="M576" s="88" t="e">
        <f t="shared" si="21"/>
        <v>#DIV/0!</v>
      </c>
      <c r="O576" s="121" t="str">
        <f t="shared" si="20"/>
        <v>יוקנעם</v>
      </c>
      <c r="P576" s="121" t="str">
        <f t="shared" si="20"/>
        <v>זכרון יעקב</v>
      </c>
    </row>
    <row r="577" spans="1:16" x14ac:dyDescent="0.3">
      <c r="A577" s="60">
        <v>22</v>
      </c>
      <c r="B577" s="121">
        <v>30</v>
      </c>
      <c r="C577" s="79"/>
      <c r="D577" s="79"/>
      <c r="E577" s="79"/>
      <c r="F577" s="79"/>
      <c r="G577" s="94"/>
      <c r="I577" s="86" t="e">
        <f t="shared" si="21"/>
        <v>#DIV/0!</v>
      </c>
      <c r="J577" s="87" t="e">
        <f t="shared" si="21"/>
        <v>#DIV/0!</v>
      </c>
      <c r="K577" s="87" t="e">
        <f t="shared" si="21"/>
        <v>#DIV/0!</v>
      </c>
      <c r="L577" s="87" t="e">
        <f t="shared" si="21"/>
        <v>#DIV/0!</v>
      </c>
      <c r="M577" s="88" t="e">
        <f t="shared" si="21"/>
        <v>#DIV/0!</v>
      </c>
      <c r="O577" s="121" t="str">
        <f t="shared" si="20"/>
        <v>יוקנעם</v>
      </c>
      <c r="P577" s="121" t="str">
        <f t="shared" si="20"/>
        <v>סכנין</v>
      </c>
    </row>
    <row r="578" spans="1:16" x14ac:dyDescent="0.3">
      <c r="A578" s="60">
        <v>23</v>
      </c>
      <c r="B578" s="121">
        <v>1</v>
      </c>
      <c r="C578" s="79"/>
      <c r="D578" s="79"/>
      <c r="E578" s="79"/>
      <c r="F578" s="79"/>
      <c r="G578" s="94"/>
      <c r="I578" s="86" t="e">
        <f t="shared" si="21"/>
        <v>#DIV/0!</v>
      </c>
      <c r="J578" s="87" t="e">
        <f t="shared" si="21"/>
        <v>#DIV/0!</v>
      </c>
      <c r="K578" s="87" t="e">
        <f t="shared" si="21"/>
        <v>#DIV/0!</v>
      </c>
      <c r="L578" s="87" t="e">
        <f t="shared" si="21"/>
        <v>#DIV/0!</v>
      </c>
      <c r="M578" s="88" t="e">
        <f t="shared" si="21"/>
        <v>#DIV/0!</v>
      </c>
      <c r="O578" s="121" t="str">
        <f t="shared" si="20"/>
        <v>דלית אל כרמל</v>
      </c>
      <c r="P578" s="121" t="str">
        <f t="shared" si="20"/>
        <v>נהריה</v>
      </c>
    </row>
    <row r="579" spans="1:16" x14ac:dyDescent="0.3">
      <c r="A579" s="60">
        <v>23</v>
      </c>
      <c r="B579" s="121">
        <v>2</v>
      </c>
      <c r="C579" s="79"/>
      <c r="D579" s="79"/>
      <c r="E579" s="79"/>
      <c r="F579" s="79"/>
      <c r="G579" s="94"/>
      <c r="I579" s="86" t="e">
        <f t="shared" si="21"/>
        <v>#DIV/0!</v>
      </c>
      <c r="J579" s="87" t="e">
        <f t="shared" si="21"/>
        <v>#DIV/0!</v>
      </c>
      <c r="K579" s="87" t="e">
        <f t="shared" si="21"/>
        <v>#DIV/0!</v>
      </c>
      <c r="L579" s="87" t="e">
        <f t="shared" si="21"/>
        <v>#DIV/0!</v>
      </c>
      <c r="M579" s="88" t="e">
        <f t="shared" si="21"/>
        <v>#DIV/0!</v>
      </c>
      <c r="O579" s="121" t="str">
        <f t="shared" si="20"/>
        <v>דלית אל כרמל</v>
      </c>
      <c r="P579" s="121" t="str">
        <f t="shared" si="20"/>
        <v>עכו</v>
      </c>
    </row>
    <row r="580" spans="1:16" x14ac:dyDescent="0.3">
      <c r="A580" s="60">
        <v>23</v>
      </c>
      <c r="B580" s="121">
        <v>3</v>
      </c>
      <c r="C580" s="79"/>
      <c r="D580" s="79"/>
      <c r="E580" s="79"/>
      <c r="F580" s="79"/>
      <c r="G580" s="94"/>
      <c r="I580" s="86" t="e">
        <f t="shared" ref="I580:M630" si="22">C580/SUM($C580:$G580)</f>
        <v>#DIV/0!</v>
      </c>
      <c r="J580" s="87" t="e">
        <f t="shared" si="22"/>
        <v>#DIV/0!</v>
      </c>
      <c r="K580" s="87" t="e">
        <f t="shared" si="22"/>
        <v>#DIV/0!</v>
      </c>
      <c r="L580" s="87" t="e">
        <f t="shared" si="22"/>
        <v>#DIV/0!</v>
      </c>
      <c r="M580" s="88" t="e">
        <f t="shared" si="22"/>
        <v>#DIV/0!</v>
      </c>
      <c r="O580" s="121" t="str">
        <f t="shared" si="20"/>
        <v>דלית אל כרמל</v>
      </c>
      <c r="P580" s="121" t="str">
        <f t="shared" si="20"/>
        <v>כרמיאל</v>
      </c>
    </row>
    <row r="581" spans="1:16" x14ac:dyDescent="0.3">
      <c r="A581" s="60">
        <v>23</v>
      </c>
      <c r="B581" s="121">
        <v>4</v>
      </c>
      <c r="C581" s="79"/>
      <c r="D581" s="79"/>
      <c r="E581" s="79"/>
      <c r="F581" s="79"/>
      <c r="G581" s="94"/>
      <c r="I581" s="86" t="e">
        <f t="shared" si="22"/>
        <v>#DIV/0!</v>
      </c>
      <c r="J581" s="87" t="e">
        <f t="shared" si="22"/>
        <v>#DIV/0!</v>
      </c>
      <c r="K581" s="87" t="e">
        <f t="shared" si="22"/>
        <v>#DIV/0!</v>
      </c>
      <c r="L581" s="87" t="e">
        <f t="shared" si="22"/>
        <v>#DIV/0!</v>
      </c>
      <c r="M581" s="88" t="e">
        <f t="shared" si="22"/>
        <v>#DIV/0!</v>
      </c>
      <c r="O581" s="121" t="str">
        <f t="shared" si="20"/>
        <v>דלית אל כרמל</v>
      </c>
      <c r="P581" s="121" t="str">
        <f t="shared" si="20"/>
        <v>שפרעם</v>
      </c>
    </row>
    <row r="582" spans="1:16" x14ac:dyDescent="0.3">
      <c r="A582" s="60">
        <v>23</v>
      </c>
      <c r="B582" s="121">
        <v>5</v>
      </c>
      <c r="C582" s="79"/>
      <c r="D582" s="79"/>
      <c r="E582" s="79"/>
      <c r="F582" s="79"/>
      <c r="G582" s="94"/>
      <c r="I582" s="86" t="e">
        <f t="shared" si="22"/>
        <v>#DIV/0!</v>
      </c>
      <c r="J582" s="87" t="e">
        <f t="shared" si="22"/>
        <v>#DIV/0!</v>
      </c>
      <c r="K582" s="87" t="e">
        <f t="shared" si="22"/>
        <v>#DIV/0!</v>
      </c>
      <c r="L582" s="87" t="e">
        <f t="shared" si="22"/>
        <v>#DIV/0!</v>
      </c>
      <c r="M582" s="88" t="e">
        <f t="shared" si="22"/>
        <v>#DIV/0!</v>
      </c>
      <c r="O582" s="121" t="str">
        <f t="shared" si="20"/>
        <v>דלית אל כרמל</v>
      </c>
      <c r="P582" s="121" t="str">
        <f t="shared" si="20"/>
        <v>קרית ים</v>
      </c>
    </row>
    <row r="583" spans="1:16" x14ac:dyDescent="0.3">
      <c r="A583" s="60">
        <v>23</v>
      </c>
      <c r="B583" s="121">
        <v>6</v>
      </c>
      <c r="C583" s="79"/>
      <c r="D583" s="79"/>
      <c r="E583" s="79"/>
      <c r="F583" s="79"/>
      <c r="G583" s="94"/>
      <c r="I583" s="86" t="e">
        <f t="shared" si="22"/>
        <v>#DIV/0!</v>
      </c>
      <c r="J583" s="87" t="e">
        <f t="shared" si="22"/>
        <v>#DIV/0!</v>
      </c>
      <c r="K583" s="87" t="e">
        <f t="shared" si="22"/>
        <v>#DIV/0!</v>
      </c>
      <c r="L583" s="87" t="e">
        <f t="shared" si="22"/>
        <v>#DIV/0!</v>
      </c>
      <c r="M583" s="88" t="e">
        <f t="shared" si="22"/>
        <v>#DIV/0!</v>
      </c>
      <c r="O583" s="121" t="str">
        <f t="shared" si="20"/>
        <v>דלית אל כרמל</v>
      </c>
      <c r="P583" s="121" t="str">
        <f t="shared" si="20"/>
        <v>קרית מוצקין</v>
      </c>
    </row>
    <row r="584" spans="1:16" x14ac:dyDescent="0.3">
      <c r="A584" s="60">
        <v>23</v>
      </c>
      <c r="B584" s="121">
        <v>7</v>
      </c>
      <c r="C584" s="79"/>
      <c r="D584" s="79"/>
      <c r="E584" s="79"/>
      <c r="F584" s="79"/>
      <c r="G584" s="94"/>
      <c r="I584" s="86" t="e">
        <f t="shared" si="22"/>
        <v>#DIV/0!</v>
      </c>
      <c r="J584" s="87" t="e">
        <f t="shared" si="22"/>
        <v>#DIV/0!</v>
      </c>
      <c r="K584" s="87" t="e">
        <f t="shared" si="22"/>
        <v>#DIV/0!</v>
      </c>
      <c r="L584" s="87" t="e">
        <f t="shared" si="22"/>
        <v>#DIV/0!</v>
      </c>
      <c r="M584" s="88" t="e">
        <f t="shared" si="22"/>
        <v>#DIV/0!</v>
      </c>
      <c r="O584" s="121" t="str">
        <f t="shared" ref="O584:P647" si="23">VLOOKUP(A584,$S$6:$T$31,2,0)</f>
        <v>דלית אל כרמל</v>
      </c>
      <c r="P584" s="121" t="str">
        <f t="shared" si="23"/>
        <v>קרית ביאליק</v>
      </c>
    </row>
    <row r="585" spans="1:16" x14ac:dyDescent="0.3">
      <c r="A585" s="60">
        <v>23</v>
      </c>
      <c r="B585" s="121">
        <v>8</v>
      </c>
      <c r="C585" s="79"/>
      <c r="D585" s="79"/>
      <c r="E585" s="79"/>
      <c r="F585" s="79"/>
      <c r="G585" s="94"/>
      <c r="I585" s="86" t="e">
        <f t="shared" si="22"/>
        <v>#DIV/0!</v>
      </c>
      <c r="J585" s="87" t="e">
        <f t="shared" si="22"/>
        <v>#DIV/0!</v>
      </c>
      <c r="K585" s="87" t="e">
        <f t="shared" si="22"/>
        <v>#DIV/0!</v>
      </c>
      <c r="L585" s="87" t="e">
        <f t="shared" si="22"/>
        <v>#DIV/0!</v>
      </c>
      <c r="M585" s="88" t="e">
        <f t="shared" si="22"/>
        <v>#DIV/0!</v>
      </c>
      <c r="O585" s="121" t="str">
        <f t="shared" si="23"/>
        <v>דלית אל כרמל</v>
      </c>
      <c r="P585" s="121" t="str">
        <f t="shared" si="23"/>
        <v>קרית חיים</v>
      </c>
    </row>
    <row r="586" spans="1:16" x14ac:dyDescent="0.3">
      <c r="A586" s="60">
        <v>23</v>
      </c>
      <c r="B586" s="121">
        <v>9</v>
      </c>
      <c r="C586" s="79"/>
      <c r="D586" s="79"/>
      <c r="E586" s="79"/>
      <c r="F586" s="79"/>
      <c r="G586" s="94"/>
      <c r="I586" s="86" t="e">
        <f t="shared" si="22"/>
        <v>#DIV/0!</v>
      </c>
      <c r="J586" s="87" t="e">
        <f t="shared" si="22"/>
        <v>#DIV/0!</v>
      </c>
      <c r="K586" s="87" t="e">
        <f t="shared" si="22"/>
        <v>#DIV/0!</v>
      </c>
      <c r="L586" s="87" t="e">
        <f t="shared" si="22"/>
        <v>#DIV/0!</v>
      </c>
      <c r="M586" s="88" t="e">
        <f t="shared" si="22"/>
        <v>#DIV/0!</v>
      </c>
      <c r="O586" s="121" t="str">
        <f t="shared" si="23"/>
        <v>דלית אל כרמל</v>
      </c>
      <c r="P586" s="121" t="str">
        <f t="shared" si="23"/>
        <v>קרית אתא</v>
      </c>
    </row>
    <row r="587" spans="1:16" x14ac:dyDescent="0.3">
      <c r="A587" s="60">
        <v>23</v>
      </c>
      <c r="B587" s="121">
        <v>10</v>
      </c>
      <c r="C587" s="79"/>
      <c r="D587" s="79"/>
      <c r="E587" s="79"/>
      <c r="F587" s="79"/>
      <c r="G587" s="94"/>
      <c r="I587" s="86" t="e">
        <f t="shared" si="22"/>
        <v>#DIV/0!</v>
      </c>
      <c r="J587" s="87" t="e">
        <f t="shared" si="22"/>
        <v>#DIV/0!</v>
      </c>
      <c r="K587" s="87" t="e">
        <f t="shared" si="22"/>
        <v>#DIV/0!</v>
      </c>
      <c r="L587" s="87" t="e">
        <f t="shared" si="22"/>
        <v>#DIV/0!</v>
      </c>
      <c r="M587" s="88" t="e">
        <f t="shared" si="22"/>
        <v>#DIV/0!</v>
      </c>
      <c r="O587" s="121" t="str">
        <f t="shared" si="23"/>
        <v>דלית אל כרמל</v>
      </c>
      <c r="P587" s="121" t="str">
        <f t="shared" si="23"/>
        <v>כפר מנדא</v>
      </c>
    </row>
    <row r="588" spans="1:16" x14ac:dyDescent="0.3">
      <c r="A588" s="60">
        <v>23</v>
      </c>
      <c r="B588" s="121">
        <v>11</v>
      </c>
      <c r="C588" s="79"/>
      <c r="D588" s="79"/>
      <c r="E588" s="79"/>
      <c r="F588" s="79"/>
      <c r="G588" s="94"/>
      <c r="I588" s="86" t="e">
        <f t="shared" si="22"/>
        <v>#DIV/0!</v>
      </c>
      <c r="J588" s="87" t="e">
        <f t="shared" si="22"/>
        <v>#DIV/0!</v>
      </c>
      <c r="K588" s="87" t="e">
        <f t="shared" si="22"/>
        <v>#DIV/0!</v>
      </c>
      <c r="L588" s="87" t="e">
        <f t="shared" si="22"/>
        <v>#DIV/0!</v>
      </c>
      <c r="M588" s="88" t="e">
        <f t="shared" si="22"/>
        <v>#DIV/0!</v>
      </c>
      <c r="O588" s="121" t="str">
        <f t="shared" si="23"/>
        <v>דלית אל כרמל</v>
      </c>
      <c r="P588" s="121" t="str">
        <f t="shared" si="23"/>
        <v>זבולון</v>
      </c>
    </row>
    <row r="589" spans="1:16" x14ac:dyDescent="0.3">
      <c r="A589" s="60">
        <v>23</v>
      </c>
      <c r="B589" s="121">
        <v>12</v>
      </c>
      <c r="C589" s="79"/>
      <c r="D589" s="79"/>
      <c r="E589" s="79"/>
      <c r="F589" s="79"/>
      <c r="G589" s="94"/>
      <c r="I589" s="86" t="e">
        <f t="shared" si="22"/>
        <v>#DIV/0!</v>
      </c>
      <c r="J589" s="87" t="e">
        <f t="shared" si="22"/>
        <v>#DIV/0!</v>
      </c>
      <c r="K589" s="87" t="e">
        <f t="shared" si="22"/>
        <v>#DIV/0!</v>
      </c>
      <c r="L589" s="87" t="e">
        <f t="shared" si="22"/>
        <v>#DIV/0!</v>
      </c>
      <c r="M589" s="88" t="e">
        <f t="shared" si="22"/>
        <v>#DIV/0!</v>
      </c>
      <c r="O589" s="121" t="str">
        <f t="shared" si="23"/>
        <v>דלית אל כרמל</v>
      </c>
      <c r="P589" s="121" t="str">
        <f t="shared" si="23"/>
        <v>חיפה מפרץ</v>
      </c>
    </row>
    <row r="590" spans="1:16" x14ac:dyDescent="0.3">
      <c r="A590" s="60">
        <v>23</v>
      </c>
      <c r="B590" s="121">
        <v>13</v>
      </c>
      <c r="C590" s="79"/>
      <c r="D590" s="79"/>
      <c r="E590" s="79"/>
      <c r="F590" s="79"/>
      <c r="G590" s="94"/>
      <c r="I590" s="86" t="e">
        <f t="shared" si="22"/>
        <v>#DIV/0!</v>
      </c>
      <c r="J590" s="87" t="e">
        <f t="shared" si="22"/>
        <v>#DIV/0!</v>
      </c>
      <c r="K590" s="87" t="e">
        <f t="shared" si="22"/>
        <v>#DIV/0!</v>
      </c>
      <c r="L590" s="87" t="e">
        <f t="shared" si="22"/>
        <v>#DIV/0!</v>
      </c>
      <c r="M590" s="88" t="e">
        <f t="shared" si="22"/>
        <v>#DIV/0!</v>
      </c>
      <c r="O590" s="121" t="str">
        <f t="shared" si="23"/>
        <v>דלית אל כרמל</v>
      </c>
      <c r="P590" s="121" t="str">
        <f t="shared" si="23"/>
        <v>חיפה עיר תחתית</v>
      </c>
    </row>
    <row r="591" spans="1:16" x14ac:dyDescent="0.3">
      <c r="A591" s="60">
        <v>23</v>
      </c>
      <c r="B591" s="121">
        <v>14</v>
      </c>
      <c r="C591" s="79"/>
      <c r="D591" s="79"/>
      <c r="E591" s="79"/>
      <c r="F591" s="79"/>
      <c r="G591" s="94"/>
      <c r="I591" s="86" t="e">
        <f t="shared" si="22"/>
        <v>#DIV/0!</v>
      </c>
      <c r="J591" s="87" t="e">
        <f t="shared" si="22"/>
        <v>#DIV/0!</v>
      </c>
      <c r="K591" s="87" t="e">
        <f t="shared" si="22"/>
        <v>#DIV/0!</v>
      </c>
      <c r="L591" s="87" t="e">
        <f t="shared" si="22"/>
        <v>#DIV/0!</v>
      </c>
      <c r="M591" s="88" t="e">
        <f t="shared" si="22"/>
        <v>#DIV/0!</v>
      </c>
      <c r="O591" s="121" t="str">
        <f t="shared" si="23"/>
        <v>דלית אל כרמל</v>
      </c>
      <c r="P591" s="121" t="str">
        <f t="shared" si="23"/>
        <v>חיפה הדר-כרמל</v>
      </c>
    </row>
    <row r="592" spans="1:16" x14ac:dyDescent="0.3">
      <c r="A592" s="60">
        <v>23</v>
      </c>
      <c r="B592" s="121">
        <v>15</v>
      </c>
      <c r="C592" s="79"/>
      <c r="D592" s="79"/>
      <c r="E592" s="79"/>
      <c r="F592" s="79"/>
      <c r="G592" s="94"/>
      <c r="I592" s="86" t="e">
        <f t="shared" si="22"/>
        <v>#DIV/0!</v>
      </c>
      <c r="J592" s="87" t="e">
        <f t="shared" si="22"/>
        <v>#DIV/0!</v>
      </c>
      <c r="K592" s="87" t="e">
        <f t="shared" si="22"/>
        <v>#DIV/0!</v>
      </c>
      <c r="L592" s="87" t="e">
        <f t="shared" si="22"/>
        <v>#DIV/0!</v>
      </c>
      <c r="M592" s="88" t="e">
        <f t="shared" si="22"/>
        <v>#DIV/0!</v>
      </c>
      <c r="O592" s="121" t="str">
        <f t="shared" si="23"/>
        <v>דלית אל כרמל</v>
      </c>
      <c r="P592" s="121" t="str">
        <f t="shared" si="23"/>
        <v>חיפה מערב</v>
      </c>
    </row>
    <row r="593" spans="1:16" x14ac:dyDescent="0.3">
      <c r="A593" s="60">
        <v>23</v>
      </c>
      <c r="B593" s="121">
        <v>16</v>
      </c>
      <c r="C593" s="79"/>
      <c r="D593" s="79"/>
      <c r="E593" s="79"/>
      <c r="F593" s="79"/>
      <c r="G593" s="94"/>
      <c r="I593" s="86" t="e">
        <f t="shared" si="22"/>
        <v>#DIV/0!</v>
      </c>
      <c r="J593" s="87" t="e">
        <f t="shared" si="22"/>
        <v>#DIV/0!</v>
      </c>
      <c r="K593" s="87" t="e">
        <f t="shared" si="22"/>
        <v>#DIV/0!</v>
      </c>
      <c r="L593" s="87" t="e">
        <f t="shared" si="22"/>
        <v>#DIV/0!</v>
      </c>
      <c r="M593" s="88" t="e">
        <f t="shared" si="22"/>
        <v>#DIV/0!</v>
      </c>
      <c r="O593" s="121" t="str">
        <f t="shared" si="23"/>
        <v>דלית אל כרמל</v>
      </c>
      <c r="P593" s="121" t="str">
        <f t="shared" si="23"/>
        <v>חיפה כרמל</v>
      </c>
    </row>
    <row r="594" spans="1:16" x14ac:dyDescent="0.3">
      <c r="A594" s="60">
        <v>23</v>
      </c>
      <c r="B594" s="121">
        <v>17</v>
      </c>
      <c r="C594" s="79"/>
      <c r="D594" s="79"/>
      <c r="E594" s="79"/>
      <c r="F594" s="79"/>
      <c r="G594" s="94"/>
      <c r="I594" s="86" t="e">
        <f t="shared" si="22"/>
        <v>#DIV/0!</v>
      </c>
      <c r="J594" s="87" t="e">
        <f t="shared" si="22"/>
        <v>#DIV/0!</v>
      </c>
      <c r="K594" s="87" t="e">
        <f t="shared" si="22"/>
        <v>#DIV/0!</v>
      </c>
      <c r="L594" s="87" t="e">
        <f t="shared" si="22"/>
        <v>#DIV/0!</v>
      </c>
      <c r="M594" s="88" t="e">
        <f t="shared" si="22"/>
        <v>#DIV/0!</v>
      </c>
      <c r="O594" s="121" t="str">
        <f t="shared" si="23"/>
        <v>דלית אל כרמל</v>
      </c>
      <c r="P594" s="121" t="str">
        <f t="shared" si="23"/>
        <v>חיפה נווה שאנן</v>
      </c>
    </row>
    <row r="595" spans="1:16" x14ac:dyDescent="0.3">
      <c r="A595" s="60">
        <v>23</v>
      </c>
      <c r="B595" s="121">
        <v>18</v>
      </c>
      <c r="C595" s="79"/>
      <c r="D595" s="79"/>
      <c r="E595" s="79"/>
      <c r="F595" s="79"/>
      <c r="G595" s="94"/>
      <c r="I595" s="86" t="e">
        <f t="shared" si="22"/>
        <v>#DIV/0!</v>
      </c>
      <c r="J595" s="87" t="e">
        <f t="shared" si="22"/>
        <v>#DIV/0!</v>
      </c>
      <c r="K595" s="87" t="e">
        <f t="shared" si="22"/>
        <v>#DIV/0!</v>
      </c>
      <c r="L595" s="87" t="e">
        <f t="shared" si="22"/>
        <v>#DIV/0!</v>
      </c>
      <c r="M595" s="88" t="e">
        <f t="shared" si="22"/>
        <v>#DIV/0!</v>
      </c>
      <c r="O595" s="121" t="str">
        <f t="shared" si="23"/>
        <v>דלית אל כרמל</v>
      </c>
      <c r="P595" s="121" t="str">
        <f t="shared" si="23"/>
        <v>נשר</v>
      </c>
    </row>
    <row r="596" spans="1:16" x14ac:dyDescent="0.3">
      <c r="A596" s="60">
        <v>23</v>
      </c>
      <c r="B596" s="121">
        <v>19</v>
      </c>
      <c r="C596" s="79"/>
      <c r="D596" s="79"/>
      <c r="E596" s="79"/>
      <c r="F596" s="79"/>
      <c r="G596" s="94"/>
      <c r="I596" s="86" t="e">
        <f t="shared" si="22"/>
        <v>#DIV/0!</v>
      </c>
      <c r="J596" s="87" t="e">
        <f t="shared" si="22"/>
        <v>#DIV/0!</v>
      </c>
      <c r="K596" s="87" t="e">
        <f t="shared" si="22"/>
        <v>#DIV/0!</v>
      </c>
      <c r="L596" s="87" t="e">
        <f t="shared" si="22"/>
        <v>#DIV/0!</v>
      </c>
      <c r="M596" s="88" t="e">
        <f t="shared" si="22"/>
        <v>#DIV/0!</v>
      </c>
      <c r="O596" s="121" t="str">
        <f t="shared" si="23"/>
        <v>דלית אל כרמל</v>
      </c>
      <c r="P596" s="121" t="str">
        <f t="shared" si="23"/>
        <v>נצרת</v>
      </c>
    </row>
    <row r="597" spans="1:16" x14ac:dyDescent="0.3">
      <c r="A597" s="60">
        <v>23</v>
      </c>
      <c r="B597" s="121">
        <v>20</v>
      </c>
      <c r="C597" s="79"/>
      <c r="D597" s="79"/>
      <c r="E597" s="79"/>
      <c r="F597" s="79"/>
      <c r="G597" s="94"/>
      <c r="I597" s="86" t="e">
        <f t="shared" si="22"/>
        <v>#DIV/0!</v>
      </c>
      <c r="J597" s="87" t="e">
        <f t="shared" si="22"/>
        <v>#DIV/0!</v>
      </c>
      <c r="K597" s="87" t="e">
        <f t="shared" si="22"/>
        <v>#DIV/0!</v>
      </c>
      <c r="L597" s="87" t="e">
        <f t="shared" si="22"/>
        <v>#DIV/0!</v>
      </c>
      <c r="M597" s="88" t="e">
        <f t="shared" si="22"/>
        <v>#DIV/0!</v>
      </c>
      <c r="O597" s="121" t="str">
        <f t="shared" si="23"/>
        <v>דלית אל כרמל</v>
      </c>
      <c r="P597" s="121" t="str">
        <f t="shared" si="23"/>
        <v>נצרת-עילית</v>
      </c>
    </row>
    <row r="598" spans="1:16" x14ac:dyDescent="0.3">
      <c r="A598" s="60">
        <v>23</v>
      </c>
      <c r="B598" s="121">
        <v>21</v>
      </c>
      <c r="C598" s="79"/>
      <c r="D598" s="79"/>
      <c r="E598" s="79"/>
      <c r="F598" s="79"/>
      <c r="G598" s="94"/>
      <c r="I598" s="86" t="e">
        <f t="shared" si="22"/>
        <v>#DIV/0!</v>
      </c>
      <c r="J598" s="87" t="e">
        <f t="shared" si="22"/>
        <v>#DIV/0!</v>
      </c>
      <c r="K598" s="87" t="e">
        <f t="shared" si="22"/>
        <v>#DIV/0!</v>
      </c>
      <c r="L598" s="87" t="e">
        <f t="shared" si="22"/>
        <v>#DIV/0!</v>
      </c>
      <c r="M598" s="88" t="e">
        <f t="shared" si="22"/>
        <v>#DIV/0!</v>
      </c>
      <c r="O598" s="121" t="str">
        <f t="shared" si="23"/>
        <v>דלית אל כרמל</v>
      </c>
      <c r="P598" s="121" t="str">
        <f t="shared" si="23"/>
        <v>מגדל העמק</v>
      </c>
    </row>
    <row r="599" spans="1:16" x14ac:dyDescent="0.3">
      <c r="A599" s="60">
        <v>23</v>
      </c>
      <c r="B599" s="121">
        <v>22</v>
      </c>
      <c r="C599" s="79"/>
      <c r="D599" s="79"/>
      <c r="E599" s="79"/>
      <c r="F599" s="79"/>
      <c r="G599" s="94"/>
      <c r="I599" s="86" t="e">
        <f t="shared" si="22"/>
        <v>#DIV/0!</v>
      </c>
      <c r="J599" s="87" t="e">
        <f t="shared" si="22"/>
        <v>#DIV/0!</v>
      </c>
      <c r="K599" s="87" t="e">
        <f t="shared" si="22"/>
        <v>#DIV/0!</v>
      </c>
      <c r="L599" s="87" t="e">
        <f t="shared" si="22"/>
        <v>#DIV/0!</v>
      </c>
      <c r="M599" s="88" t="e">
        <f t="shared" si="22"/>
        <v>#DIV/0!</v>
      </c>
      <c r="O599" s="121" t="str">
        <f t="shared" si="23"/>
        <v>דלית אל כרמל</v>
      </c>
      <c r="P599" s="121" t="str">
        <f t="shared" si="23"/>
        <v>יוקנעם</v>
      </c>
    </row>
    <row r="600" spans="1:16" x14ac:dyDescent="0.3">
      <c r="A600" s="60">
        <v>23</v>
      </c>
      <c r="B600" s="121">
        <v>23</v>
      </c>
      <c r="C600" s="79"/>
      <c r="D600" s="79"/>
      <c r="E600" s="79"/>
      <c r="F600" s="79"/>
      <c r="G600" s="94"/>
      <c r="I600" s="86" t="e">
        <f t="shared" si="22"/>
        <v>#DIV/0!</v>
      </c>
      <c r="J600" s="87" t="e">
        <f t="shared" si="22"/>
        <v>#DIV/0!</v>
      </c>
      <c r="K600" s="87" t="e">
        <f t="shared" si="22"/>
        <v>#DIV/0!</v>
      </c>
      <c r="L600" s="87" t="e">
        <f t="shared" si="22"/>
        <v>#DIV/0!</v>
      </c>
      <c r="M600" s="88" t="e">
        <f t="shared" si="22"/>
        <v>#DIV/0!</v>
      </c>
      <c r="O600" s="121" t="str">
        <f t="shared" si="23"/>
        <v>דלית אל כרמל</v>
      </c>
      <c r="P600" s="121" t="str">
        <f t="shared" si="23"/>
        <v>דלית אל כרמל</v>
      </c>
    </row>
    <row r="601" spans="1:16" x14ac:dyDescent="0.3">
      <c r="A601" s="60">
        <v>23</v>
      </c>
      <c r="B601" s="121">
        <v>24</v>
      </c>
      <c r="C601" s="79"/>
      <c r="D601" s="79"/>
      <c r="E601" s="79"/>
      <c r="F601" s="79"/>
      <c r="G601" s="94"/>
      <c r="I601" s="86" t="e">
        <f t="shared" si="22"/>
        <v>#DIV/0!</v>
      </c>
      <c r="J601" s="87" t="e">
        <f t="shared" si="22"/>
        <v>#DIV/0!</v>
      </c>
      <c r="K601" s="87" t="e">
        <f t="shared" si="22"/>
        <v>#DIV/0!</v>
      </c>
      <c r="L601" s="87" t="e">
        <f t="shared" si="22"/>
        <v>#DIV/0!</v>
      </c>
      <c r="M601" s="88" t="e">
        <f t="shared" si="22"/>
        <v>#DIV/0!</v>
      </c>
      <c r="O601" s="121" t="str">
        <f t="shared" si="23"/>
        <v>דלית אל כרמל</v>
      </c>
      <c r="P601" s="121" t="str">
        <f t="shared" si="23"/>
        <v>חוף הכרמל</v>
      </c>
    </row>
    <row r="602" spans="1:16" x14ac:dyDescent="0.3">
      <c r="A602" s="60">
        <v>23</v>
      </c>
      <c r="B602" s="121">
        <v>25</v>
      </c>
      <c r="C602" s="79"/>
      <c r="D602" s="79"/>
      <c r="E602" s="79"/>
      <c r="F602" s="79"/>
      <c r="G602" s="94"/>
      <c r="I602" s="86" t="e">
        <f t="shared" si="22"/>
        <v>#DIV/0!</v>
      </c>
      <c r="J602" s="87" t="e">
        <f t="shared" si="22"/>
        <v>#DIV/0!</v>
      </c>
      <c r="K602" s="87" t="e">
        <f t="shared" si="22"/>
        <v>#DIV/0!</v>
      </c>
      <c r="L602" s="87" t="e">
        <f t="shared" si="22"/>
        <v>#DIV/0!</v>
      </c>
      <c r="M602" s="88" t="e">
        <f t="shared" si="22"/>
        <v>#DIV/0!</v>
      </c>
      <c r="O602" s="121" t="str">
        <f t="shared" si="23"/>
        <v>דלית אל כרמל</v>
      </c>
      <c r="P602" s="121" t="str">
        <f t="shared" si="23"/>
        <v>זכרון יעקב</v>
      </c>
    </row>
    <row r="603" spans="1:16" x14ac:dyDescent="0.3">
      <c r="A603" s="60">
        <v>23</v>
      </c>
      <c r="B603" s="121">
        <v>30</v>
      </c>
      <c r="C603" s="79"/>
      <c r="D603" s="79"/>
      <c r="E603" s="79"/>
      <c r="F603" s="79"/>
      <c r="G603" s="94"/>
      <c r="I603" s="86" t="e">
        <f t="shared" si="22"/>
        <v>#DIV/0!</v>
      </c>
      <c r="J603" s="87" t="e">
        <f t="shared" si="22"/>
        <v>#DIV/0!</v>
      </c>
      <c r="K603" s="87" t="e">
        <f t="shared" si="22"/>
        <v>#DIV/0!</v>
      </c>
      <c r="L603" s="87" t="e">
        <f t="shared" si="22"/>
        <v>#DIV/0!</v>
      </c>
      <c r="M603" s="88" t="e">
        <f t="shared" si="22"/>
        <v>#DIV/0!</v>
      </c>
      <c r="O603" s="121" t="str">
        <f t="shared" si="23"/>
        <v>דלית אל כרמל</v>
      </c>
      <c r="P603" s="121" t="str">
        <f t="shared" si="23"/>
        <v>סכנין</v>
      </c>
    </row>
    <row r="604" spans="1:16" x14ac:dyDescent="0.3">
      <c r="A604" s="60">
        <v>24</v>
      </c>
      <c r="B604" s="121">
        <v>1</v>
      </c>
      <c r="C604" s="79"/>
      <c r="D604" s="79"/>
      <c r="E604" s="79"/>
      <c r="F604" s="79"/>
      <c r="G604" s="94"/>
      <c r="I604" s="86" t="e">
        <f t="shared" si="22"/>
        <v>#DIV/0!</v>
      </c>
      <c r="J604" s="87" t="e">
        <f t="shared" si="22"/>
        <v>#DIV/0!</v>
      </c>
      <c r="K604" s="87" t="e">
        <f t="shared" si="22"/>
        <v>#DIV/0!</v>
      </c>
      <c r="L604" s="87" t="e">
        <f t="shared" si="22"/>
        <v>#DIV/0!</v>
      </c>
      <c r="M604" s="88" t="e">
        <f t="shared" si="22"/>
        <v>#DIV/0!</v>
      </c>
      <c r="O604" s="121" t="str">
        <f t="shared" si="23"/>
        <v>חוף הכרמל</v>
      </c>
      <c r="P604" s="121" t="str">
        <f t="shared" si="23"/>
        <v>נהריה</v>
      </c>
    </row>
    <row r="605" spans="1:16" x14ac:dyDescent="0.3">
      <c r="A605" s="60">
        <v>24</v>
      </c>
      <c r="B605" s="121">
        <v>2</v>
      </c>
      <c r="C605" s="79"/>
      <c r="D605" s="79"/>
      <c r="E605" s="79"/>
      <c r="F605" s="79"/>
      <c r="G605" s="94"/>
      <c r="I605" s="86" t="e">
        <f t="shared" si="22"/>
        <v>#DIV/0!</v>
      </c>
      <c r="J605" s="87" t="e">
        <f t="shared" si="22"/>
        <v>#DIV/0!</v>
      </c>
      <c r="K605" s="87" t="e">
        <f t="shared" si="22"/>
        <v>#DIV/0!</v>
      </c>
      <c r="L605" s="87" t="e">
        <f t="shared" si="22"/>
        <v>#DIV/0!</v>
      </c>
      <c r="M605" s="88" t="e">
        <f t="shared" si="22"/>
        <v>#DIV/0!</v>
      </c>
      <c r="O605" s="121" t="str">
        <f t="shared" si="23"/>
        <v>חוף הכרמל</v>
      </c>
      <c r="P605" s="121" t="str">
        <f t="shared" si="23"/>
        <v>עכו</v>
      </c>
    </row>
    <row r="606" spans="1:16" x14ac:dyDescent="0.3">
      <c r="A606" s="60">
        <v>24</v>
      </c>
      <c r="B606" s="121">
        <v>3</v>
      </c>
      <c r="C606" s="79"/>
      <c r="D606" s="79"/>
      <c r="E606" s="79"/>
      <c r="F606" s="79"/>
      <c r="G606" s="94"/>
      <c r="I606" s="86" t="e">
        <f t="shared" si="22"/>
        <v>#DIV/0!</v>
      </c>
      <c r="J606" s="87" t="e">
        <f t="shared" si="22"/>
        <v>#DIV/0!</v>
      </c>
      <c r="K606" s="87" t="e">
        <f t="shared" si="22"/>
        <v>#DIV/0!</v>
      </c>
      <c r="L606" s="87" t="e">
        <f t="shared" si="22"/>
        <v>#DIV/0!</v>
      </c>
      <c r="M606" s="88" t="e">
        <f t="shared" si="22"/>
        <v>#DIV/0!</v>
      </c>
      <c r="O606" s="121" t="str">
        <f t="shared" si="23"/>
        <v>חוף הכרמל</v>
      </c>
      <c r="P606" s="121" t="str">
        <f t="shared" si="23"/>
        <v>כרמיאל</v>
      </c>
    </row>
    <row r="607" spans="1:16" x14ac:dyDescent="0.3">
      <c r="A607" s="60">
        <v>24</v>
      </c>
      <c r="B607" s="121">
        <v>4</v>
      </c>
      <c r="C607" s="79"/>
      <c r="D607" s="79"/>
      <c r="E607" s="79"/>
      <c r="F607" s="79"/>
      <c r="G607" s="94"/>
      <c r="I607" s="86" t="e">
        <f t="shared" si="22"/>
        <v>#DIV/0!</v>
      </c>
      <c r="J607" s="87" t="e">
        <f t="shared" si="22"/>
        <v>#DIV/0!</v>
      </c>
      <c r="K607" s="87" t="e">
        <f t="shared" si="22"/>
        <v>#DIV/0!</v>
      </c>
      <c r="L607" s="87" t="e">
        <f t="shared" si="22"/>
        <v>#DIV/0!</v>
      </c>
      <c r="M607" s="88" t="e">
        <f t="shared" si="22"/>
        <v>#DIV/0!</v>
      </c>
      <c r="O607" s="121" t="str">
        <f t="shared" si="23"/>
        <v>חוף הכרמל</v>
      </c>
      <c r="P607" s="121" t="str">
        <f t="shared" si="23"/>
        <v>שפרעם</v>
      </c>
    </row>
    <row r="608" spans="1:16" x14ac:dyDescent="0.3">
      <c r="A608" s="60">
        <v>24</v>
      </c>
      <c r="B608" s="121">
        <v>5</v>
      </c>
      <c r="C608" s="79"/>
      <c r="D608" s="79"/>
      <c r="E608" s="79"/>
      <c r="F608" s="79"/>
      <c r="G608" s="94"/>
      <c r="I608" s="86" t="e">
        <f t="shared" si="22"/>
        <v>#DIV/0!</v>
      </c>
      <c r="J608" s="87" t="e">
        <f t="shared" si="22"/>
        <v>#DIV/0!</v>
      </c>
      <c r="K608" s="87" t="e">
        <f t="shared" si="22"/>
        <v>#DIV/0!</v>
      </c>
      <c r="L608" s="87" t="e">
        <f t="shared" si="22"/>
        <v>#DIV/0!</v>
      </c>
      <c r="M608" s="88" t="e">
        <f t="shared" si="22"/>
        <v>#DIV/0!</v>
      </c>
      <c r="O608" s="121" t="str">
        <f t="shared" si="23"/>
        <v>חוף הכרמל</v>
      </c>
      <c r="P608" s="121" t="str">
        <f t="shared" si="23"/>
        <v>קרית ים</v>
      </c>
    </row>
    <row r="609" spans="1:16" x14ac:dyDescent="0.3">
      <c r="A609" s="60">
        <v>24</v>
      </c>
      <c r="B609" s="121">
        <v>6</v>
      </c>
      <c r="C609" s="79"/>
      <c r="D609" s="79"/>
      <c r="E609" s="79"/>
      <c r="F609" s="79"/>
      <c r="G609" s="94"/>
      <c r="I609" s="86" t="e">
        <f t="shared" si="22"/>
        <v>#DIV/0!</v>
      </c>
      <c r="J609" s="87" t="e">
        <f t="shared" si="22"/>
        <v>#DIV/0!</v>
      </c>
      <c r="K609" s="87" t="e">
        <f t="shared" si="22"/>
        <v>#DIV/0!</v>
      </c>
      <c r="L609" s="87" t="e">
        <f t="shared" si="22"/>
        <v>#DIV/0!</v>
      </c>
      <c r="M609" s="88" t="e">
        <f t="shared" si="22"/>
        <v>#DIV/0!</v>
      </c>
      <c r="O609" s="121" t="str">
        <f t="shared" si="23"/>
        <v>חוף הכרמל</v>
      </c>
      <c r="P609" s="121" t="str">
        <f t="shared" si="23"/>
        <v>קרית מוצקין</v>
      </c>
    </row>
    <row r="610" spans="1:16" x14ac:dyDescent="0.3">
      <c r="A610" s="60">
        <v>24</v>
      </c>
      <c r="B610" s="121">
        <v>7</v>
      </c>
      <c r="C610" s="79"/>
      <c r="D610" s="79"/>
      <c r="E610" s="79"/>
      <c r="F610" s="79"/>
      <c r="G610" s="94"/>
      <c r="I610" s="86" t="e">
        <f t="shared" si="22"/>
        <v>#DIV/0!</v>
      </c>
      <c r="J610" s="87" t="e">
        <f t="shared" si="22"/>
        <v>#DIV/0!</v>
      </c>
      <c r="K610" s="87" t="e">
        <f t="shared" si="22"/>
        <v>#DIV/0!</v>
      </c>
      <c r="L610" s="87" t="e">
        <f t="shared" si="22"/>
        <v>#DIV/0!</v>
      </c>
      <c r="M610" s="88" t="e">
        <f t="shared" si="22"/>
        <v>#DIV/0!</v>
      </c>
      <c r="O610" s="121" t="str">
        <f t="shared" si="23"/>
        <v>חוף הכרמל</v>
      </c>
      <c r="P610" s="121" t="str">
        <f t="shared" si="23"/>
        <v>קרית ביאליק</v>
      </c>
    </row>
    <row r="611" spans="1:16" x14ac:dyDescent="0.3">
      <c r="A611" s="60">
        <v>24</v>
      </c>
      <c r="B611" s="121">
        <v>8</v>
      </c>
      <c r="C611" s="79"/>
      <c r="D611" s="79"/>
      <c r="E611" s="79"/>
      <c r="F611" s="79"/>
      <c r="G611" s="94"/>
      <c r="I611" s="86" t="e">
        <f t="shared" si="22"/>
        <v>#DIV/0!</v>
      </c>
      <c r="J611" s="87" t="e">
        <f t="shared" si="22"/>
        <v>#DIV/0!</v>
      </c>
      <c r="K611" s="87" t="e">
        <f t="shared" si="22"/>
        <v>#DIV/0!</v>
      </c>
      <c r="L611" s="87" t="e">
        <f t="shared" si="22"/>
        <v>#DIV/0!</v>
      </c>
      <c r="M611" s="88" t="e">
        <f t="shared" si="22"/>
        <v>#DIV/0!</v>
      </c>
      <c r="O611" s="121" t="str">
        <f t="shared" si="23"/>
        <v>חוף הכרמל</v>
      </c>
      <c r="P611" s="121" t="str">
        <f t="shared" si="23"/>
        <v>קרית חיים</v>
      </c>
    </row>
    <row r="612" spans="1:16" x14ac:dyDescent="0.3">
      <c r="A612" s="60">
        <v>24</v>
      </c>
      <c r="B612" s="121">
        <v>9</v>
      </c>
      <c r="C612" s="79"/>
      <c r="D612" s="79"/>
      <c r="E612" s="79"/>
      <c r="F612" s="79"/>
      <c r="G612" s="94"/>
      <c r="I612" s="86" t="e">
        <f t="shared" si="22"/>
        <v>#DIV/0!</v>
      </c>
      <c r="J612" s="87" t="e">
        <f t="shared" si="22"/>
        <v>#DIV/0!</v>
      </c>
      <c r="K612" s="87" t="e">
        <f t="shared" si="22"/>
        <v>#DIV/0!</v>
      </c>
      <c r="L612" s="87" t="e">
        <f t="shared" si="22"/>
        <v>#DIV/0!</v>
      </c>
      <c r="M612" s="88" t="e">
        <f t="shared" si="22"/>
        <v>#DIV/0!</v>
      </c>
      <c r="O612" s="121" t="str">
        <f t="shared" si="23"/>
        <v>חוף הכרמל</v>
      </c>
      <c r="P612" s="121" t="str">
        <f t="shared" si="23"/>
        <v>קרית אתא</v>
      </c>
    </row>
    <row r="613" spans="1:16" x14ac:dyDescent="0.3">
      <c r="A613" s="60">
        <v>24</v>
      </c>
      <c r="B613" s="121">
        <v>10</v>
      </c>
      <c r="C613" s="79"/>
      <c r="D613" s="79"/>
      <c r="E613" s="79"/>
      <c r="F613" s="79"/>
      <c r="G613" s="94"/>
      <c r="I613" s="86" t="e">
        <f t="shared" si="22"/>
        <v>#DIV/0!</v>
      </c>
      <c r="J613" s="87" t="e">
        <f t="shared" si="22"/>
        <v>#DIV/0!</v>
      </c>
      <c r="K613" s="87" t="e">
        <f t="shared" si="22"/>
        <v>#DIV/0!</v>
      </c>
      <c r="L613" s="87" t="e">
        <f t="shared" si="22"/>
        <v>#DIV/0!</v>
      </c>
      <c r="M613" s="88" t="e">
        <f t="shared" si="22"/>
        <v>#DIV/0!</v>
      </c>
      <c r="O613" s="121" t="str">
        <f t="shared" si="23"/>
        <v>חוף הכרמל</v>
      </c>
      <c r="P613" s="121" t="str">
        <f t="shared" si="23"/>
        <v>כפר מנדא</v>
      </c>
    </row>
    <row r="614" spans="1:16" x14ac:dyDescent="0.3">
      <c r="A614" s="60">
        <v>24</v>
      </c>
      <c r="B614" s="121">
        <v>11</v>
      </c>
      <c r="C614" s="79"/>
      <c r="D614" s="79"/>
      <c r="E614" s="79"/>
      <c r="F614" s="79"/>
      <c r="G614" s="94"/>
      <c r="I614" s="86" t="e">
        <f t="shared" si="22"/>
        <v>#DIV/0!</v>
      </c>
      <c r="J614" s="87" t="e">
        <f t="shared" si="22"/>
        <v>#DIV/0!</v>
      </c>
      <c r="K614" s="87" t="e">
        <f t="shared" si="22"/>
        <v>#DIV/0!</v>
      </c>
      <c r="L614" s="87" t="e">
        <f t="shared" si="22"/>
        <v>#DIV/0!</v>
      </c>
      <c r="M614" s="88" t="e">
        <f t="shared" si="22"/>
        <v>#DIV/0!</v>
      </c>
      <c r="O614" s="121" t="str">
        <f t="shared" si="23"/>
        <v>חוף הכרמל</v>
      </c>
      <c r="P614" s="121" t="str">
        <f t="shared" si="23"/>
        <v>זבולון</v>
      </c>
    </row>
    <row r="615" spans="1:16" x14ac:dyDescent="0.3">
      <c r="A615" s="60">
        <v>24</v>
      </c>
      <c r="B615" s="121">
        <v>12</v>
      </c>
      <c r="C615" s="79"/>
      <c r="D615" s="79"/>
      <c r="E615" s="79"/>
      <c r="F615" s="79"/>
      <c r="G615" s="94"/>
      <c r="I615" s="86" t="e">
        <f t="shared" si="22"/>
        <v>#DIV/0!</v>
      </c>
      <c r="J615" s="87" t="e">
        <f t="shared" si="22"/>
        <v>#DIV/0!</v>
      </c>
      <c r="K615" s="87" t="e">
        <f t="shared" si="22"/>
        <v>#DIV/0!</v>
      </c>
      <c r="L615" s="87" t="e">
        <f t="shared" si="22"/>
        <v>#DIV/0!</v>
      </c>
      <c r="M615" s="88" t="e">
        <f t="shared" si="22"/>
        <v>#DIV/0!</v>
      </c>
      <c r="O615" s="121" t="str">
        <f t="shared" si="23"/>
        <v>חוף הכרמל</v>
      </c>
      <c r="P615" s="121" t="str">
        <f t="shared" si="23"/>
        <v>חיפה מפרץ</v>
      </c>
    </row>
    <row r="616" spans="1:16" x14ac:dyDescent="0.3">
      <c r="A616" s="60">
        <v>24</v>
      </c>
      <c r="B616" s="121">
        <v>13</v>
      </c>
      <c r="C616" s="79"/>
      <c r="D616" s="79"/>
      <c r="E616" s="79"/>
      <c r="F616" s="79"/>
      <c r="G616" s="94"/>
      <c r="I616" s="86" t="e">
        <f t="shared" si="22"/>
        <v>#DIV/0!</v>
      </c>
      <c r="J616" s="87" t="e">
        <f t="shared" si="22"/>
        <v>#DIV/0!</v>
      </c>
      <c r="K616" s="87" t="e">
        <f t="shared" si="22"/>
        <v>#DIV/0!</v>
      </c>
      <c r="L616" s="87" t="e">
        <f t="shared" si="22"/>
        <v>#DIV/0!</v>
      </c>
      <c r="M616" s="88" t="e">
        <f t="shared" si="22"/>
        <v>#DIV/0!</v>
      </c>
      <c r="O616" s="121" t="str">
        <f t="shared" si="23"/>
        <v>חוף הכרמל</v>
      </c>
      <c r="P616" s="121" t="str">
        <f t="shared" si="23"/>
        <v>חיפה עיר תחתית</v>
      </c>
    </row>
    <row r="617" spans="1:16" x14ac:dyDescent="0.3">
      <c r="A617" s="60">
        <v>24</v>
      </c>
      <c r="B617" s="121">
        <v>14</v>
      </c>
      <c r="C617" s="79"/>
      <c r="D617" s="79"/>
      <c r="E617" s="79"/>
      <c r="F617" s="79"/>
      <c r="G617" s="94"/>
      <c r="I617" s="86" t="e">
        <f t="shared" si="22"/>
        <v>#DIV/0!</v>
      </c>
      <c r="J617" s="87" t="e">
        <f t="shared" si="22"/>
        <v>#DIV/0!</v>
      </c>
      <c r="K617" s="87" t="e">
        <f t="shared" si="22"/>
        <v>#DIV/0!</v>
      </c>
      <c r="L617" s="87" t="e">
        <f t="shared" si="22"/>
        <v>#DIV/0!</v>
      </c>
      <c r="M617" s="88" t="e">
        <f t="shared" si="22"/>
        <v>#DIV/0!</v>
      </c>
      <c r="O617" s="121" t="str">
        <f t="shared" si="23"/>
        <v>חוף הכרמל</v>
      </c>
      <c r="P617" s="121" t="str">
        <f t="shared" si="23"/>
        <v>חיפה הדר-כרמל</v>
      </c>
    </row>
    <row r="618" spans="1:16" x14ac:dyDescent="0.3">
      <c r="A618" s="60">
        <v>24</v>
      </c>
      <c r="B618" s="121">
        <v>15</v>
      </c>
      <c r="C618" s="79"/>
      <c r="D618" s="79"/>
      <c r="E618" s="79"/>
      <c r="F618" s="79"/>
      <c r="G618" s="94"/>
      <c r="I618" s="86" t="e">
        <f t="shared" si="22"/>
        <v>#DIV/0!</v>
      </c>
      <c r="J618" s="87" t="e">
        <f t="shared" si="22"/>
        <v>#DIV/0!</v>
      </c>
      <c r="K618" s="87" t="e">
        <f t="shared" si="22"/>
        <v>#DIV/0!</v>
      </c>
      <c r="L618" s="87" t="e">
        <f t="shared" si="22"/>
        <v>#DIV/0!</v>
      </c>
      <c r="M618" s="88" t="e">
        <f t="shared" si="22"/>
        <v>#DIV/0!</v>
      </c>
      <c r="O618" s="121" t="str">
        <f t="shared" si="23"/>
        <v>חוף הכרמל</v>
      </c>
      <c r="P618" s="121" t="str">
        <f t="shared" si="23"/>
        <v>חיפה מערב</v>
      </c>
    </row>
    <row r="619" spans="1:16" x14ac:dyDescent="0.3">
      <c r="A619" s="60">
        <v>24</v>
      </c>
      <c r="B619" s="121">
        <v>16</v>
      </c>
      <c r="C619" s="79"/>
      <c r="D619" s="79"/>
      <c r="E619" s="79"/>
      <c r="F619" s="79"/>
      <c r="G619" s="94"/>
      <c r="I619" s="86" t="e">
        <f t="shared" si="22"/>
        <v>#DIV/0!</v>
      </c>
      <c r="J619" s="87" t="e">
        <f t="shared" si="22"/>
        <v>#DIV/0!</v>
      </c>
      <c r="K619" s="87" t="e">
        <f t="shared" si="22"/>
        <v>#DIV/0!</v>
      </c>
      <c r="L619" s="87" t="e">
        <f t="shared" si="22"/>
        <v>#DIV/0!</v>
      </c>
      <c r="M619" s="88" t="e">
        <f t="shared" si="22"/>
        <v>#DIV/0!</v>
      </c>
      <c r="O619" s="121" t="str">
        <f t="shared" si="23"/>
        <v>חוף הכרמל</v>
      </c>
      <c r="P619" s="121" t="str">
        <f t="shared" si="23"/>
        <v>חיפה כרמל</v>
      </c>
    </row>
    <row r="620" spans="1:16" x14ac:dyDescent="0.3">
      <c r="A620" s="60">
        <v>24</v>
      </c>
      <c r="B620" s="121">
        <v>17</v>
      </c>
      <c r="C620" s="79"/>
      <c r="D620" s="79"/>
      <c r="E620" s="79"/>
      <c r="F620" s="79"/>
      <c r="G620" s="94"/>
      <c r="I620" s="86" t="e">
        <f t="shared" si="22"/>
        <v>#DIV/0!</v>
      </c>
      <c r="J620" s="87" t="e">
        <f t="shared" si="22"/>
        <v>#DIV/0!</v>
      </c>
      <c r="K620" s="87" t="e">
        <f t="shared" si="22"/>
        <v>#DIV/0!</v>
      </c>
      <c r="L620" s="87" t="e">
        <f t="shared" si="22"/>
        <v>#DIV/0!</v>
      </c>
      <c r="M620" s="88" t="e">
        <f t="shared" si="22"/>
        <v>#DIV/0!</v>
      </c>
      <c r="O620" s="121" t="str">
        <f t="shared" si="23"/>
        <v>חוף הכרמל</v>
      </c>
      <c r="P620" s="121" t="str">
        <f t="shared" si="23"/>
        <v>חיפה נווה שאנן</v>
      </c>
    </row>
    <row r="621" spans="1:16" x14ac:dyDescent="0.3">
      <c r="A621" s="60">
        <v>24</v>
      </c>
      <c r="B621" s="121">
        <v>18</v>
      </c>
      <c r="C621" s="79"/>
      <c r="D621" s="79"/>
      <c r="E621" s="79"/>
      <c r="F621" s="79"/>
      <c r="G621" s="94"/>
      <c r="I621" s="86" t="e">
        <f t="shared" si="22"/>
        <v>#DIV/0!</v>
      </c>
      <c r="J621" s="87" t="e">
        <f t="shared" si="22"/>
        <v>#DIV/0!</v>
      </c>
      <c r="K621" s="87" t="e">
        <f t="shared" si="22"/>
        <v>#DIV/0!</v>
      </c>
      <c r="L621" s="87" t="e">
        <f t="shared" si="22"/>
        <v>#DIV/0!</v>
      </c>
      <c r="M621" s="88" t="e">
        <f t="shared" si="22"/>
        <v>#DIV/0!</v>
      </c>
      <c r="O621" s="121" t="str">
        <f t="shared" si="23"/>
        <v>חוף הכרמל</v>
      </c>
      <c r="P621" s="121" t="str">
        <f t="shared" si="23"/>
        <v>נשר</v>
      </c>
    </row>
    <row r="622" spans="1:16" x14ac:dyDescent="0.3">
      <c r="A622" s="60">
        <v>24</v>
      </c>
      <c r="B622" s="121">
        <v>19</v>
      </c>
      <c r="C622" s="79"/>
      <c r="D622" s="79"/>
      <c r="E622" s="79"/>
      <c r="F622" s="79"/>
      <c r="G622" s="94"/>
      <c r="I622" s="86" t="e">
        <f t="shared" si="22"/>
        <v>#DIV/0!</v>
      </c>
      <c r="J622" s="87" t="e">
        <f t="shared" si="22"/>
        <v>#DIV/0!</v>
      </c>
      <c r="K622" s="87" t="e">
        <f t="shared" si="22"/>
        <v>#DIV/0!</v>
      </c>
      <c r="L622" s="87" t="e">
        <f t="shared" si="22"/>
        <v>#DIV/0!</v>
      </c>
      <c r="M622" s="88" t="e">
        <f t="shared" si="22"/>
        <v>#DIV/0!</v>
      </c>
      <c r="O622" s="121" t="str">
        <f t="shared" si="23"/>
        <v>חוף הכרמל</v>
      </c>
      <c r="P622" s="121" t="str">
        <f t="shared" si="23"/>
        <v>נצרת</v>
      </c>
    </row>
    <row r="623" spans="1:16" x14ac:dyDescent="0.3">
      <c r="A623" s="60">
        <v>24</v>
      </c>
      <c r="B623" s="121">
        <v>20</v>
      </c>
      <c r="C623" s="79"/>
      <c r="D623" s="79"/>
      <c r="E623" s="79"/>
      <c r="F623" s="79"/>
      <c r="G623" s="94"/>
      <c r="I623" s="86" t="e">
        <f t="shared" si="22"/>
        <v>#DIV/0!</v>
      </c>
      <c r="J623" s="87" t="e">
        <f t="shared" si="22"/>
        <v>#DIV/0!</v>
      </c>
      <c r="K623" s="87" t="e">
        <f t="shared" si="22"/>
        <v>#DIV/0!</v>
      </c>
      <c r="L623" s="87" t="e">
        <f t="shared" si="22"/>
        <v>#DIV/0!</v>
      </c>
      <c r="M623" s="88" t="e">
        <f t="shared" si="22"/>
        <v>#DIV/0!</v>
      </c>
      <c r="O623" s="121" t="str">
        <f t="shared" si="23"/>
        <v>חוף הכרמל</v>
      </c>
      <c r="P623" s="121" t="str">
        <f t="shared" si="23"/>
        <v>נצרת-עילית</v>
      </c>
    </row>
    <row r="624" spans="1:16" x14ac:dyDescent="0.3">
      <c r="A624" s="60">
        <v>24</v>
      </c>
      <c r="B624" s="121">
        <v>21</v>
      </c>
      <c r="C624" s="79"/>
      <c r="D624" s="79"/>
      <c r="E624" s="79"/>
      <c r="F624" s="79"/>
      <c r="G624" s="94"/>
      <c r="I624" s="86" t="e">
        <f t="shared" si="22"/>
        <v>#DIV/0!</v>
      </c>
      <c r="J624" s="87" t="e">
        <f t="shared" si="22"/>
        <v>#DIV/0!</v>
      </c>
      <c r="K624" s="87" t="e">
        <f t="shared" si="22"/>
        <v>#DIV/0!</v>
      </c>
      <c r="L624" s="87" t="e">
        <f t="shared" si="22"/>
        <v>#DIV/0!</v>
      </c>
      <c r="M624" s="88" t="e">
        <f t="shared" si="22"/>
        <v>#DIV/0!</v>
      </c>
      <c r="O624" s="121" t="str">
        <f t="shared" si="23"/>
        <v>חוף הכרמל</v>
      </c>
      <c r="P624" s="121" t="str">
        <f t="shared" si="23"/>
        <v>מגדל העמק</v>
      </c>
    </row>
    <row r="625" spans="1:16" x14ac:dyDescent="0.3">
      <c r="A625" s="60">
        <v>24</v>
      </c>
      <c r="B625" s="121">
        <v>22</v>
      </c>
      <c r="C625" s="79"/>
      <c r="D625" s="79"/>
      <c r="E625" s="79"/>
      <c r="F625" s="79"/>
      <c r="G625" s="94"/>
      <c r="I625" s="86" t="e">
        <f t="shared" si="22"/>
        <v>#DIV/0!</v>
      </c>
      <c r="J625" s="87" t="e">
        <f t="shared" si="22"/>
        <v>#DIV/0!</v>
      </c>
      <c r="K625" s="87" t="e">
        <f t="shared" si="22"/>
        <v>#DIV/0!</v>
      </c>
      <c r="L625" s="87" t="e">
        <f t="shared" si="22"/>
        <v>#DIV/0!</v>
      </c>
      <c r="M625" s="88" t="e">
        <f t="shared" si="22"/>
        <v>#DIV/0!</v>
      </c>
      <c r="O625" s="121" t="str">
        <f t="shared" si="23"/>
        <v>חוף הכרמל</v>
      </c>
      <c r="P625" s="121" t="str">
        <f t="shared" si="23"/>
        <v>יוקנעם</v>
      </c>
    </row>
    <row r="626" spans="1:16" x14ac:dyDescent="0.3">
      <c r="A626" s="60">
        <v>24</v>
      </c>
      <c r="B626" s="121">
        <v>23</v>
      </c>
      <c r="C626" s="79"/>
      <c r="D626" s="79"/>
      <c r="E626" s="79"/>
      <c r="F626" s="79"/>
      <c r="G626" s="94"/>
      <c r="I626" s="86" t="e">
        <f t="shared" si="22"/>
        <v>#DIV/0!</v>
      </c>
      <c r="J626" s="87" t="e">
        <f t="shared" si="22"/>
        <v>#DIV/0!</v>
      </c>
      <c r="K626" s="87" t="e">
        <f t="shared" si="22"/>
        <v>#DIV/0!</v>
      </c>
      <c r="L626" s="87" t="e">
        <f t="shared" si="22"/>
        <v>#DIV/0!</v>
      </c>
      <c r="M626" s="88" t="e">
        <f t="shared" si="22"/>
        <v>#DIV/0!</v>
      </c>
      <c r="O626" s="121" t="str">
        <f t="shared" si="23"/>
        <v>חוף הכרמל</v>
      </c>
      <c r="P626" s="121" t="str">
        <f t="shared" si="23"/>
        <v>דלית אל כרמל</v>
      </c>
    </row>
    <row r="627" spans="1:16" x14ac:dyDescent="0.3">
      <c r="A627" s="60">
        <v>24</v>
      </c>
      <c r="B627" s="121">
        <v>24</v>
      </c>
      <c r="C627" s="79"/>
      <c r="D627" s="79"/>
      <c r="E627" s="79"/>
      <c r="F627" s="79"/>
      <c r="G627" s="94"/>
      <c r="I627" s="86" t="e">
        <f t="shared" si="22"/>
        <v>#DIV/0!</v>
      </c>
      <c r="J627" s="87" t="e">
        <f t="shared" si="22"/>
        <v>#DIV/0!</v>
      </c>
      <c r="K627" s="87" t="e">
        <f t="shared" si="22"/>
        <v>#DIV/0!</v>
      </c>
      <c r="L627" s="87" t="e">
        <f t="shared" si="22"/>
        <v>#DIV/0!</v>
      </c>
      <c r="M627" s="88" t="e">
        <f t="shared" si="22"/>
        <v>#DIV/0!</v>
      </c>
      <c r="O627" s="121" t="str">
        <f t="shared" si="23"/>
        <v>חוף הכרמל</v>
      </c>
      <c r="P627" s="121" t="str">
        <f t="shared" si="23"/>
        <v>חוף הכרמל</v>
      </c>
    </row>
    <row r="628" spans="1:16" x14ac:dyDescent="0.3">
      <c r="A628" s="60">
        <v>24</v>
      </c>
      <c r="B628" s="121">
        <v>25</v>
      </c>
      <c r="C628" s="79"/>
      <c r="D628" s="79"/>
      <c r="E628" s="79"/>
      <c r="F628" s="79"/>
      <c r="G628" s="94"/>
      <c r="I628" s="86" t="e">
        <f t="shared" si="22"/>
        <v>#DIV/0!</v>
      </c>
      <c r="J628" s="87" t="e">
        <f t="shared" si="22"/>
        <v>#DIV/0!</v>
      </c>
      <c r="K628" s="87" t="e">
        <f t="shared" si="22"/>
        <v>#DIV/0!</v>
      </c>
      <c r="L628" s="87" t="e">
        <f t="shared" si="22"/>
        <v>#DIV/0!</v>
      </c>
      <c r="M628" s="88" t="e">
        <f t="shared" si="22"/>
        <v>#DIV/0!</v>
      </c>
      <c r="O628" s="121" t="str">
        <f t="shared" si="23"/>
        <v>חוף הכרמל</v>
      </c>
      <c r="P628" s="121" t="str">
        <f t="shared" si="23"/>
        <v>זכרון יעקב</v>
      </c>
    </row>
    <row r="629" spans="1:16" x14ac:dyDescent="0.3">
      <c r="A629" s="60">
        <v>24</v>
      </c>
      <c r="B629" s="121">
        <v>30</v>
      </c>
      <c r="C629" s="79"/>
      <c r="D629" s="79"/>
      <c r="E629" s="79"/>
      <c r="F629" s="79"/>
      <c r="G629" s="94"/>
      <c r="I629" s="86" t="e">
        <f t="shared" si="22"/>
        <v>#DIV/0!</v>
      </c>
      <c r="J629" s="87" t="e">
        <f t="shared" si="22"/>
        <v>#DIV/0!</v>
      </c>
      <c r="K629" s="87" t="e">
        <f t="shared" si="22"/>
        <v>#DIV/0!</v>
      </c>
      <c r="L629" s="87" t="e">
        <f t="shared" si="22"/>
        <v>#DIV/0!</v>
      </c>
      <c r="M629" s="88" t="e">
        <f t="shared" si="22"/>
        <v>#DIV/0!</v>
      </c>
      <c r="O629" s="121" t="str">
        <f t="shared" si="23"/>
        <v>חוף הכרמל</v>
      </c>
      <c r="P629" s="121" t="str">
        <f t="shared" si="23"/>
        <v>סכנין</v>
      </c>
    </row>
    <row r="630" spans="1:16" x14ac:dyDescent="0.3">
      <c r="A630" s="60">
        <v>25</v>
      </c>
      <c r="B630" s="121">
        <v>1</v>
      </c>
      <c r="C630" s="79"/>
      <c r="D630" s="79"/>
      <c r="E630" s="79"/>
      <c r="F630" s="79"/>
      <c r="G630" s="94"/>
      <c r="I630" s="86" t="e">
        <f t="shared" si="22"/>
        <v>#DIV/0!</v>
      </c>
      <c r="J630" s="87" t="e">
        <f t="shared" si="22"/>
        <v>#DIV/0!</v>
      </c>
      <c r="K630" s="87" t="e">
        <f t="shared" si="22"/>
        <v>#DIV/0!</v>
      </c>
      <c r="L630" s="87" t="e">
        <f t="shared" si="22"/>
        <v>#DIV/0!</v>
      </c>
      <c r="M630" s="88" t="e">
        <f t="shared" si="22"/>
        <v>#DIV/0!</v>
      </c>
      <c r="O630" s="121" t="str">
        <f t="shared" si="23"/>
        <v>זכרון יעקב</v>
      </c>
      <c r="P630" s="121" t="str">
        <f t="shared" si="23"/>
        <v>נהריה</v>
      </c>
    </row>
    <row r="631" spans="1:16" x14ac:dyDescent="0.3">
      <c r="A631" s="60">
        <v>25</v>
      </c>
      <c r="B631" s="121">
        <v>2</v>
      </c>
      <c r="C631" s="79"/>
      <c r="D631" s="79"/>
      <c r="E631" s="79"/>
      <c r="F631" s="79"/>
      <c r="G631" s="94"/>
      <c r="I631" s="86" t="e">
        <f t="shared" ref="I631:M681" si="24">C631/SUM($C631:$G631)</f>
        <v>#DIV/0!</v>
      </c>
      <c r="J631" s="87" t="e">
        <f t="shared" si="24"/>
        <v>#DIV/0!</v>
      </c>
      <c r="K631" s="87" t="e">
        <f t="shared" si="24"/>
        <v>#DIV/0!</v>
      </c>
      <c r="L631" s="87" t="e">
        <f t="shared" si="24"/>
        <v>#DIV/0!</v>
      </c>
      <c r="M631" s="88" t="e">
        <f t="shared" si="24"/>
        <v>#DIV/0!</v>
      </c>
      <c r="O631" s="121" t="str">
        <f t="shared" si="23"/>
        <v>זכרון יעקב</v>
      </c>
      <c r="P631" s="121" t="str">
        <f t="shared" si="23"/>
        <v>עכו</v>
      </c>
    </row>
    <row r="632" spans="1:16" x14ac:dyDescent="0.3">
      <c r="A632" s="60">
        <v>25</v>
      </c>
      <c r="B632" s="121">
        <v>3</v>
      </c>
      <c r="C632" s="79"/>
      <c r="D632" s="79"/>
      <c r="E632" s="79"/>
      <c r="F632" s="79"/>
      <c r="G632" s="94"/>
      <c r="I632" s="86" t="e">
        <f t="shared" si="24"/>
        <v>#DIV/0!</v>
      </c>
      <c r="J632" s="87" t="e">
        <f t="shared" si="24"/>
        <v>#DIV/0!</v>
      </c>
      <c r="K632" s="87" t="e">
        <f t="shared" si="24"/>
        <v>#DIV/0!</v>
      </c>
      <c r="L632" s="87" t="e">
        <f t="shared" si="24"/>
        <v>#DIV/0!</v>
      </c>
      <c r="M632" s="88" t="e">
        <f t="shared" si="24"/>
        <v>#DIV/0!</v>
      </c>
      <c r="O632" s="121" t="str">
        <f t="shared" si="23"/>
        <v>זכרון יעקב</v>
      </c>
      <c r="P632" s="121" t="str">
        <f t="shared" si="23"/>
        <v>כרמיאל</v>
      </c>
    </row>
    <row r="633" spans="1:16" x14ac:dyDescent="0.3">
      <c r="A633" s="60">
        <v>25</v>
      </c>
      <c r="B633" s="121">
        <v>4</v>
      </c>
      <c r="C633" s="79"/>
      <c r="D633" s="79"/>
      <c r="E633" s="79"/>
      <c r="F633" s="79"/>
      <c r="G633" s="94"/>
      <c r="I633" s="86" t="e">
        <f t="shared" si="24"/>
        <v>#DIV/0!</v>
      </c>
      <c r="J633" s="87" t="e">
        <f t="shared" si="24"/>
        <v>#DIV/0!</v>
      </c>
      <c r="K633" s="87" t="e">
        <f t="shared" si="24"/>
        <v>#DIV/0!</v>
      </c>
      <c r="L633" s="87" t="e">
        <f t="shared" si="24"/>
        <v>#DIV/0!</v>
      </c>
      <c r="M633" s="88" t="e">
        <f t="shared" si="24"/>
        <v>#DIV/0!</v>
      </c>
      <c r="O633" s="121" t="str">
        <f t="shared" si="23"/>
        <v>זכרון יעקב</v>
      </c>
      <c r="P633" s="121" t="str">
        <f t="shared" si="23"/>
        <v>שפרעם</v>
      </c>
    </row>
    <row r="634" spans="1:16" x14ac:dyDescent="0.3">
      <c r="A634" s="60">
        <v>25</v>
      </c>
      <c r="B634" s="121">
        <v>5</v>
      </c>
      <c r="C634" s="79"/>
      <c r="D634" s="79"/>
      <c r="E634" s="79"/>
      <c r="F634" s="79"/>
      <c r="G634" s="94"/>
      <c r="I634" s="86" t="e">
        <f t="shared" si="24"/>
        <v>#DIV/0!</v>
      </c>
      <c r="J634" s="87" t="e">
        <f t="shared" si="24"/>
        <v>#DIV/0!</v>
      </c>
      <c r="K634" s="87" t="e">
        <f t="shared" si="24"/>
        <v>#DIV/0!</v>
      </c>
      <c r="L634" s="87" t="e">
        <f t="shared" si="24"/>
        <v>#DIV/0!</v>
      </c>
      <c r="M634" s="88" t="e">
        <f t="shared" si="24"/>
        <v>#DIV/0!</v>
      </c>
      <c r="O634" s="121" t="str">
        <f t="shared" si="23"/>
        <v>זכרון יעקב</v>
      </c>
      <c r="P634" s="121" t="str">
        <f t="shared" si="23"/>
        <v>קרית ים</v>
      </c>
    </row>
    <row r="635" spans="1:16" x14ac:dyDescent="0.3">
      <c r="A635" s="60">
        <v>25</v>
      </c>
      <c r="B635" s="121">
        <v>6</v>
      </c>
      <c r="C635" s="79"/>
      <c r="D635" s="79"/>
      <c r="E635" s="79"/>
      <c r="F635" s="79"/>
      <c r="G635" s="94"/>
      <c r="I635" s="86" t="e">
        <f t="shared" si="24"/>
        <v>#DIV/0!</v>
      </c>
      <c r="J635" s="87" t="e">
        <f t="shared" si="24"/>
        <v>#DIV/0!</v>
      </c>
      <c r="K635" s="87" t="e">
        <f t="shared" si="24"/>
        <v>#DIV/0!</v>
      </c>
      <c r="L635" s="87" t="e">
        <f t="shared" si="24"/>
        <v>#DIV/0!</v>
      </c>
      <c r="M635" s="88" t="e">
        <f t="shared" si="24"/>
        <v>#DIV/0!</v>
      </c>
      <c r="O635" s="121" t="str">
        <f t="shared" si="23"/>
        <v>זכרון יעקב</v>
      </c>
      <c r="P635" s="121" t="str">
        <f t="shared" si="23"/>
        <v>קרית מוצקין</v>
      </c>
    </row>
    <row r="636" spans="1:16" x14ac:dyDescent="0.3">
      <c r="A636" s="60">
        <v>25</v>
      </c>
      <c r="B636" s="121">
        <v>7</v>
      </c>
      <c r="C636" s="79"/>
      <c r="D636" s="79"/>
      <c r="E636" s="79"/>
      <c r="F636" s="79"/>
      <c r="G636" s="94"/>
      <c r="I636" s="86" t="e">
        <f t="shared" si="24"/>
        <v>#DIV/0!</v>
      </c>
      <c r="J636" s="87" t="e">
        <f t="shared" si="24"/>
        <v>#DIV/0!</v>
      </c>
      <c r="K636" s="87" t="e">
        <f t="shared" si="24"/>
        <v>#DIV/0!</v>
      </c>
      <c r="L636" s="87" t="e">
        <f t="shared" si="24"/>
        <v>#DIV/0!</v>
      </c>
      <c r="M636" s="88" t="e">
        <f t="shared" si="24"/>
        <v>#DIV/0!</v>
      </c>
      <c r="O636" s="121" t="str">
        <f t="shared" si="23"/>
        <v>זכרון יעקב</v>
      </c>
      <c r="P636" s="121" t="str">
        <f t="shared" si="23"/>
        <v>קרית ביאליק</v>
      </c>
    </row>
    <row r="637" spans="1:16" x14ac:dyDescent="0.3">
      <c r="A637" s="60">
        <v>25</v>
      </c>
      <c r="B637" s="121">
        <v>8</v>
      </c>
      <c r="C637" s="79"/>
      <c r="D637" s="79"/>
      <c r="E637" s="79"/>
      <c r="F637" s="79"/>
      <c r="G637" s="94"/>
      <c r="I637" s="86" t="e">
        <f t="shared" si="24"/>
        <v>#DIV/0!</v>
      </c>
      <c r="J637" s="87" t="e">
        <f t="shared" si="24"/>
        <v>#DIV/0!</v>
      </c>
      <c r="K637" s="87" t="e">
        <f t="shared" si="24"/>
        <v>#DIV/0!</v>
      </c>
      <c r="L637" s="87" t="e">
        <f t="shared" si="24"/>
        <v>#DIV/0!</v>
      </c>
      <c r="M637" s="88" t="e">
        <f t="shared" si="24"/>
        <v>#DIV/0!</v>
      </c>
      <c r="O637" s="121" t="str">
        <f t="shared" si="23"/>
        <v>זכרון יעקב</v>
      </c>
      <c r="P637" s="121" t="str">
        <f t="shared" si="23"/>
        <v>קרית חיים</v>
      </c>
    </row>
    <row r="638" spans="1:16" x14ac:dyDescent="0.3">
      <c r="A638" s="60">
        <v>25</v>
      </c>
      <c r="B638" s="121">
        <v>9</v>
      </c>
      <c r="C638" s="79"/>
      <c r="D638" s="79"/>
      <c r="E638" s="79"/>
      <c r="F638" s="79"/>
      <c r="G638" s="94"/>
      <c r="I638" s="86" t="e">
        <f t="shared" si="24"/>
        <v>#DIV/0!</v>
      </c>
      <c r="J638" s="87" t="e">
        <f t="shared" si="24"/>
        <v>#DIV/0!</v>
      </c>
      <c r="K638" s="87" t="e">
        <f t="shared" si="24"/>
        <v>#DIV/0!</v>
      </c>
      <c r="L638" s="87" t="e">
        <f t="shared" si="24"/>
        <v>#DIV/0!</v>
      </c>
      <c r="M638" s="88" t="e">
        <f t="shared" si="24"/>
        <v>#DIV/0!</v>
      </c>
      <c r="O638" s="121" t="str">
        <f t="shared" si="23"/>
        <v>זכרון יעקב</v>
      </c>
      <c r="P638" s="121" t="str">
        <f t="shared" si="23"/>
        <v>קרית אתא</v>
      </c>
    </row>
    <row r="639" spans="1:16" x14ac:dyDescent="0.3">
      <c r="A639" s="60">
        <v>25</v>
      </c>
      <c r="B639" s="121">
        <v>10</v>
      </c>
      <c r="C639" s="79"/>
      <c r="D639" s="79"/>
      <c r="E639" s="79"/>
      <c r="F639" s="79"/>
      <c r="G639" s="94"/>
      <c r="I639" s="86" t="e">
        <f t="shared" si="24"/>
        <v>#DIV/0!</v>
      </c>
      <c r="J639" s="87" t="e">
        <f t="shared" si="24"/>
        <v>#DIV/0!</v>
      </c>
      <c r="K639" s="87" t="e">
        <f t="shared" si="24"/>
        <v>#DIV/0!</v>
      </c>
      <c r="L639" s="87" t="e">
        <f t="shared" si="24"/>
        <v>#DIV/0!</v>
      </c>
      <c r="M639" s="88" t="e">
        <f t="shared" si="24"/>
        <v>#DIV/0!</v>
      </c>
      <c r="O639" s="121" t="str">
        <f t="shared" si="23"/>
        <v>זכרון יעקב</v>
      </c>
      <c r="P639" s="121" t="str">
        <f t="shared" si="23"/>
        <v>כפר מנדא</v>
      </c>
    </row>
    <row r="640" spans="1:16" x14ac:dyDescent="0.3">
      <c r="A640" s="60">
        <v>25</v>
      </c>
      <c r="B640" s="121">
        <v>11</v>
      </c>
      <c r="C640" s="79"/>
      <c r="D640" s="79"/>
      <c r="E640" s="79"/>
      <c r="F640" s="79"/>
      <c r="G640" s="94"/>
      <c r="I640" s="86" t="e">
        <f t="shared" si="24"/>
        <v>#DIV/0!</v>
      </c>
      <c r="J640" s="87" t="e">
        <f t="shared" si="24"/>
        <v>#DIV/0!</v>
      </c>
      <c r="K640" s="87" t="e">
        <f t="shared" si="24"/>
        <v>#DIV/0!</v>
      </c>
      <c r="L640" s="87" t="e">
        <f t="shared" si="24"/>
        <v>#DIV/0!</v>
      </c>
      <c r="M640" s="88" t="e">
        <f t="shared" si="24"/>
        <v>#DIV/0!</v>
      </c>
      <c r="O640" s="121" t="str">
        <f t="shared" si="23"/>
        <v>זכרון יעקב</v>
      </c>
      <c r="P640" s="121" t="str">
        <f t="shared" si="23"/>
        <v>זבולון</v>
      </c>
    </row>
    <row r="641" spans="1:16" x14ac:dyDescent="0.3">
      <c r="A641" s="60">
        <v>25</v>
      </c>
      <c r="B641" s="121">
        <v>12</v>
      </c>
      <c r="C641" s="79"/>
      <c r="D641" s="79"/>
      <c r="E641" s="79"/>
      <c r="F641" s="79"/>
      <c r="G641" s="94"/>
      <c r="I641" s="86" t="e">
        <f t="shared" si="24"/>
        <v>#DIV/0!</v>
      </c>
      <c r="J641" s="87" t="e">
        <f t="shared" si="24"/>
        <v>#DIV/0!</v>
      </c>
      <c r="K641" s="87" t="e">
        <f t="shared" si="24"/>
        <v>#DIV/0!</v>
      </c>
      <c r="L641" s="87" t="e">
        <f t="shared" si="24"/>
        <v>#DIV/0!</v>
      </c>
      <c r="M641" s="88" t="e">
        <f t="shared" si="24"/>
        <v>#DIV/0!</v>
      </c>
      <c r="O641" s="121" t="str">
        <f t="shared" si="23"/>
        <v>זכרון יעקב</v>
      </c>
      <c r="P641" s="121" t="str">
        <f t="shared" si="23"/>
        <v>חיפה מפרץ</v>
      </c>
    </row>
    <row r="642" spans="1:16" x14ac:dyDescent="0.3">
      <c r="A642" s="60">
        <v>25</v>
      </c>
      <c r="B642" s="121">
        <v>13</v>
      </c>
      <c r="C642" s="79"/>
      <c r="D642" s="79"/>
      <c r="E642" s="79"/>
      <c r="F642" s="79"/>
      <c r="G642" s="94"/>
      <c r="I642" s="86" t="e">
        <f t="shared" si="24"/>
        <v>#DIV/0!</v>
      </c>
      <c r="J642" s="87" t="e">
        <f t="shared" si="24"/>
        <v>#DIV/0!</v>
      </c>
      <c r="K642" s="87" t="e">
        <f t="shared" si="24"/>
        <v>#DIV/0!</v>
      </c>
      <c r="L642" s="87" t="e">
        <f t="shared" si="24"/>
        <v>#DIV/0!</v>
      </c>
      <c r="M642" s="88" t="e">
        <f t="shared" si="24"/>
        <v>#DIV/0!</v>
      </c>
      <c r="O642" s="121" t="str">
        <f t="shared" si="23"/>
        <v>זכרון יעקב</v>
      </c>
      <c r="P642" s="121" t="str">
        <f t="shared" si="23"/>
        <v>חיפה עיר תחתית</v>
      </c>
    </row>
    <row r="643" spans="1:16" x14ac:dyDescent="0.3">
      <c r="A643" s="60">
        <v>25</v>
      </c>
      <c r="B643" s="121">
        <v>14</v>
      </c>
      <c r="C643" s="79"/>
      <c r="D643" s="79"/>
      <c r="E643" s="79"/>
      <c r="F643" s="79"/>
      <c r="G643" s="94"/>
      <c r="I643" s="86" t="e">
        <f t="shared" si="24"/>
        <v>#DIV/0!</v>
      </c>
      <c r="J643" s="87" t="e">
        <f t="shared" si="24"/>
        <v>#DIV/0!</v>
      </c>
      <c r="K643" s="87" t="e">
        <f t="shared" si="24"/>
        <v>#DIV/0!</v>
      </c>
      <c r="L643" s="87" t="e">
        <f t="shared" si="24"/>
        <v>#DIV/0!</v>
      </c>
      <c r="M643" s="88" t="e">
        <f t="shared" si="24"/>
        <v>#DIV/0!</v>
      </c>
      <c r="O643" s="121" t="str">
        <f t="shared" si="23"/>
        <v>זכרון יעקב</v>
      </c>
      <c r="P643" s="121" t="str">
        <f t="shared" si="23"/>
        <v>חיפה הדר-כרמל</v>
      </c>
    </row>
    <row r="644" spans="1:16" x14ac:dyDescent="0.3">
      <c r="A644" s="60">
        <v>25</v>
      </c>
      <c r="B644" s="121">
        <v>15</v>
      </c>
      <c r="C644" s="79"/>
      <c r="D644" s="79"/>
      <c r="E644" s="79"/>
      <c r="F644" s="79"/>
      <c r="G644" s="94"/>
      <c r="I644" s="86" t="e">
        <f t="shared" si="24"/>
        <v>#DIV/0!</v>
      </c>
      <c r="J644" s="87" t="e">
        <f t="shared" si="24"/>
        <v>#DIV/0!</v>
      </c>
      <c r="K644" s="87" t="e">
        <f t="shared" si="24"/>
        <v>#DIV/0!</v>
      </c>
      <c r="L644" s="87" t="e">
        <f t="shared" si="24"/>
        <v>#DIV/0!</v>
      </c>
      <c r="M644" s="88" t="e">
        <f t="shared" si="24"/>
        <v>#DIV/0!</v>
      </c>
      <c r="O644" s="121" t="str">
        <f t="shared" si="23"/>
        <v>זכרון יעקב</v>
      </c>
      <c r="P644" s="121" t="str">
        <f t="shared" si="23"/>
        <v>חיפה מערב</v>
      </c>
    </row>
    <row r="645" spans="1:16" x14ac:dyDescent="0.3">
      <c r="A645" s="60">
        <v>25</v>
      </c>
      <c r="B645" s="121">
        <v>16</v>
      </c>
      <c r="C645" s="79"/>
      <c r="D645" s="79"/>
      <c r="E645" s="79"/>
      <c r="F645" s="79"/>
      <c r="G645" s="94"/>
      <c r="I645" s="86" t="e">
        <f t="shared" si="24"/>
        <v>#DIV/0!</v>
      </c>
      <c r="J645" s="87" t="e">
        <f t="shared" si="24"/>
        <v>#DIV/0!</v>
      </c>
      <c r="K645" s="87" t="e">
        <f t="shared" si="24"/>
        <v>#DIV/0!</v>
      </c>
      <c r="L645" s="87" t="e">
        <f t="shared" si="24"/>
        <v>#DIV/0!</v>
      </c>
      <c r="M645" s="88" t="e">
        <f t="shared" si="24"/>
        <v>#DIV/0!</v>
      </c>
      <c r="O645" s="121" t="str">
        <f t="shared" si="23"/>
        <v>זכרון יעקב</v>
      </c>
      <c r="P645" s="121" t="str">
        <f t="shared" si="23"/>
        <v>חיפה כרמל</v>
      </c>
    </row>
    <row r="646" spans="1:16" x14ac:dyDescent="0.3">
      <c r="A646" s="60">
        <v>25</v>
      </c>
      <c r="B646" s="121">
        <v>17</v>
      </c>
      <c r="C646" s="79"/>
      <c r="D646" s="79"/>
      <c r="E646" s="79"/>
      <c r="F646" s="79"/>
      <c r="G646" s="94"/>
      <c r="I646" s="86" t="e">
        <f t="shared" si="24"/>
        <v>#DIV/0!</v>
      </c>
      <c r="J646" s="87" t="e">
        <f t="shared" si="24"/>
        <v>#DIV/0!</v>
      </c>
      <c r="K646" s="87" t="e">
        <f t="shared" si="24"/>
        <v>#DIV/0!</v>
      </c>
      <c r="L646" s="87" t="e">
        <f t="shared" si="24"/>
        <v>#DIV/0!</v>
      </c>
      <c r="M646" s="88" t="e">
        <f t="shared" si="24"/>
        <v>#DIV/0!</v>
      </c>
      <c r="O646" s="121" t="str">
        <f t="shared" si="23"/>
        <v>זכרון יעקב</v>
      </c>
      <c r="P646" s="121" t="str">
        <f t="shared" si="23"/>
        <v>חיפה נווה שאנן</v>
      </c>
    </row>
    <row r="647" spans="1:16" x14ac:dyDescent="0.3">
      <c r="A647" s="60">
        <v>25</v>
      </c>
      <c r="B647" s="121">
        <v>18</v>
      </c>
      <c r="C647" s="79"/>
      <c r="D647" s="79"/>
      <c r="E647" s="79"/>
      <c r="F647" s="79"/>
      <c r="G647" s="94"/>
      <c r="I647" s="86" t="e">
        <f t="shared" si="24"/>
        <v>#DIV/0!</v>
      </c>
      <c r="J647" s="87" t="e">
        <f t="shared" si="24"/>
        <v>#DIV/0!</v>
      </c>
      <c r="K647" s="87" t="e">
        <f t="shared" si="24"/>
        <v>#DIV/0!</v>
      </c>
      <c r="L647" s="87" t="e">
        <f t="shared" si="24"/>
        <v>#DIV/0!</v>
      </c>
      <c r="M647" s="88" t="e">
        <f t="shared" si="24"/>
        <v>#DIV/0!</v>
      </c>
      <c r="O647" s="121" t="str">
        <f t="shared" si="23"/>
        <v>זכרון יעקב</v>
      </c>
      <c r="P647" s="121" t="str">
        <f t="shared" si="23"/>
        <v>נשר</v>
      </c>
    </row>
    <row r="648" spans="1:16" x14ac:dyDescent="0.3">
      <c r="A648" s="60">
        <v>25</v>
      </c>
      <c r="B648" s="121">
        <v>19</v>
      </c>
      <c r="C648" s="79"/>
      <c r="D648" s="79"/>
      <c r="E648" s="79"/>
      <c r="F648" s="79"/>
      <c r="G648" s="94"/>
      <c r="I648" s="86" t="e">
        <f t="shared" si="24"/>
        <v>#DIV/0!</v>
      </c>
      <c r="J648" s="87" t="e">
        <f t="shared" si="24"/>
        <v>#DIV/0!</v>
      </c>
      <c r="K648" s="87" t="e">
        <f t="shared" si="24"/>
        <v>#DIV/0!</v>
      </c>
      <c r="L648" s="87" t="e">
        <f t="shared" si="24"/>
        <v>#DIV/0!</v>
      </c>
      <c r="M648" s="88" t="e">
        <f t="shared" si="24"/>
        <v>#DIV/0!</v>
      </c>
      <c r="O648" s="121" t="str">
        <f t="shared" ref="O648:P681" si="25">VLOOKUP(A648,$S$6:$T$31,2,0)</f>
        <v>זכרון יעקב</v>
      </c>
      <c r="P648" s="121" t="str">
        <f t="shared" si="25"/>
        <v>נצרת</v>
      </c>
    </row>
    <row r="649" spans="1:16" x14ac:dyDescent="0.3">
      <c r="A649" s="60">
        <v>25</v>
      </c>
      <c r="B649" s="121">
        <v>20</v>
      </c>
      <c r="C649" s="79"/>
      <c r="D649" s="79"/>
      <c r="E649" s="79"/>
      <c r="F649" s="79"/>
      <c r="G649" s="94"/>
      <c r="I649" s="86" t="e">
        <f t="shared" si="24"/>
        <v>#DIV/0!</v>
      </c>
      <c r="J649" s="87" t="e">
        <f t="shared" si="24"/>
        <v>#DIV/0!</v>
      </c>
      <c r="K649" s="87" t="e">
        <f t="shared" si="24"/>
        <v>#DIV/0!</v>
      </c>
      <c r="L649" s="87" t="e">
        <f t="shared" si="24"/>
        <v>#DIV/0!</v>
      </c>
      <c r="M649" s="88" t="e">
        <f t="shared" si="24"/>
        <v>#DIV/0!</v>
      </c>
      <c r="O649" s="121" t="str">
        <f t="shared" si="25"/>
        <v>זכרון יעקב</v>
      </c>
      <c r="P649" s="121" t="str">
        <f t="shared" si="25"/>
        <v>נצרת-עילית</v>
      </c>
    </row>
    <row r="650" spans="1:16" x14ac:dyDescent="0.3">
      <c r="A650" s="60">
        <v>25</v>
      </c>
      <c r="B650" s="121">
        <v>21</v>
      </c>
      <c r="C650" s="79"/>
      <c r="D650" s="79"/>
      <c r="E650" s="79"/>
      <c r="F650" s="79"/>
      <c r="G650" s="94"/>
      <c r="I650" s="86" t="e">
        <f t="shared" si="24"/>
        <v>#DIV/0!</v>
      </c>
      <c r="J650" s="87" t="e">
        <f t="shared" si="24"/>
        <v>#DIV/0!</v>
      </c>
      <c r="K650" s="87" t="e">
        <f t="shared" si="24"/>
        <v>#DIV/0!</v>
      </c>
      <c r="L650" s="87" t="e">
        <f t="shared" si="24"/>
        <v>#DIV/0!</v>
      </c>
      <c r="M650" s="88" t="e">
        <f t="shared" si="24"/>
        <v>#DIV/0!</v>
      </c>
      <c r="O650" s="121" t="str">
        <f t="shared" si="25"/>
        <v>זכרון יעקב</v>
      </c>
      <c r="P650" s="121" t="str">
        <f t="shared" si="25"/>
        <v>מגדל העמק</v>
      </c>
    </row>
    <row r="651" spans="1:16" x14ac:dyDescent="0.3">
      <c r="A651" s="60">
        <v>25</v>
      </c>
      <c r="B651" s="121">
        <v>22</v>
      </c>
      <c r="C651" s="79"/>
      <c r="D651" s="79"/>
      <c r="E651" s="79"/>
      <c r="F651" s="79"/>
      <c r="G651" s="94"/>
      <c r="I651" s="86" t="e">
        <f t="shared" si="24"/>
        <v>#DIV/0!</v>
      </c>
      <c r="J651" s="87" t="e">
        <f t="shared" si="24"/>
        <v>#DIV/0!</v>
      </c>
      <c r="K651" s="87" t="e">
        <f t="shared" si="24"/>
        <v>#DIV/0!</v>
      </c>
      <c r="L651" s="87" t="e">
        <f t="shared" si="24"/>
        <v>#DIV/0!</v>
      </c>
      <c r="M651" s="88" t="e">
        <f t="shared" si="24"/>
        <v>#DIV/0!</v>
      </c>
      <c r="O651" s="121" t="str">
        <f t="shared" si="25"/>
        <v>זכרון יעקב</v>
      </c>
      <c r="P651" s="121" t="str">
        <f t="shared" si="25"/>
        <v>יוקנעם</v>
      </c>
    </row>
    <row r="652" spans="1:16" x14ac:dyDescent="0.3">
      <c r="A652" s="60">
        <v>25</v>
      </c>
      <c r="B652" s="121">
        <v>23</v>
      </c>
      <c r="C652" s="79"/>
      <c r="D652" s="79"/>
      <c r="E652" s="79"/>
      <c r="F652" s="79"/>
      <c r="G652" s="94"/>
      <c r="I652" s="86" t="e">
        <f t="shared" si="24"/>
        <v>#DIV/0!</v>
      </c>
      <c r="J652" s="87" t="e">
        <f t="shared" si="24"/>
        <v>#DIV/0!</v>
      </c>
      <c r="K652" s="87" t="e">
        <f t="shared" si="24"/>
        <v>#DIV/0!</v>
      </c>
      <c r="L652" s="87" t="e">
        <f t="shared" si="24"/>
        <v>#DIV/0!</v>
      </c>
      <c r="M652" s="88" t="e">
        <f t="shared" si="24"/>
        <v>#DIV/0!</v>
      </c>
      <c r="O652" s="121" t="str">
        <f t="shared" si="25"/>
        <v>זכרון יעקב</v>
      </c>
      <c r="P652" s="121" t="str">
        <f t="shared" si="25"/>
        <v>דלית אל כרמל</v>
      </c>
    </row>
    <row r="653" spans="1:16" x14ac:dyDescent="0.3">
      <c r="A653" s="60">
        <v>25</v>
      </c>
      <c r="B653" s="121">
        <v>24</v>
      </c>
      <c r="C653" s="79"/>
      <c r="D653" s="79"/>
      <c r="E653" s="79"/>
      <c r="F653" s="79"/>
      <c r="G653" s="94"/>
      <c r="I653" s="86" t="e">
        <f t="shared" si="24"/>
        <v>#DIV/0!</v>
      </c>
      <c r="J653" s="87" t="e">
        <f t="shared" si="24"/>
        <v>#DIV/0!</v>
      </c>
      <c r="K653" s="87" t="e">
        <f t="shared" si="24"/>
        <v>#DIV/0!</v>
      </c>
      <c r="L653" s="87" t="e">
        <f t="shared" si="24"/>
        <v>#DIV/0!</v>
      </c>
      <c r="M653" s="88" t="e">
        <f t="shared" si="24"/>
        <v>#DIV/0!</v>
      </c>
      <c r="O653" s="121" t="str">
        <f t="shared" si="25"/>
        <v>זכרון יעקב</v>
      </c>
      <c r="P653" s="121" t="str">
        <f t="shared" si="25"/>
        <v>חוף הכרמל</v>
      </c>
    </row>
    <row r="654" spans="1:16" x14ac:dyDescent="0.3">
      <c r="A654" s="60">
        <v>25</v>
      </c>
      <c r="B654" s="121">
        <v>25</v>
      </c>
      <c r="C654" s="79"/>
      <c r="D654" s="79"/>
      <c r="E654" s="79"/>
      <c r="F654" s="79"/>
      <c r="G654" s="94"/>
      <c r="I654" s="86" t="e">
        <f t="shared" si="24"/>
        <v>#DIV/0!</v>
      </c>
      <c r="J654" s="87" t="e">
        <f t="shared" si="24"/>
        <v>#DIV/0!</v>
      </c>
      <c r="K654" s="87" t="e">
        <f t="shared" si="24"/>
        <v>#DIV/0!</v>
      </c>
      <c r="L654" s="87" t="e">
        <f t="shared" si="24"/>
        <v>#DIV/0!</v>
      </c>
      <c r="M654" s="88" t="e">
        <f t="shared" si="24"/>
        <v>#DIV/0!</v>
      </c>
      <c r="O654" s="121" t="str">
        <f t="shared" si="25"/>
        <v>זכרון יעקב</v>
      </c>
      <c r="P654" s="121" t="str">
        <f t="shared" si="25"/>
        <v>זכרון יעקב</v>
      </c>
    </row>
    <row r="655" spans="1:16" x14ac:dyDescent="0.3">
      <c r="A655" s="60">
        <v>25</v>
      </c>
      <c r="B655" s="121">
        <v>30</v>
      </c>
      <c r="C655" s="79"/>
      <c r="D655" s="79"/>
      <c r="E655" s="79"/>
      <c r="F655" s="79"/>
      <c r="G655" s="94"/>
      <c r="I655" s="86" t="e">
        <f t="shared" si="24"/>
        <v>#DIV/0!</v>
      </c>
      <c r="J655" s="87" t="e">
        <f t="shared" si="24"/>
        <v>#DIV/0!</v>
      </c>
      <c r="K655" s="87" t="e">
        <f t="shared" si="24"/>
        <v>#DIV/0!</v>
      </c>
      <c r="L655" s="87" t="e">
        <f t="shared" si="24"/>
        <v>#DIV/0!</v>
      </c>
      <c r="M655" s="88" t="e">
        <f t="shared" si="24"/>
        <v>#DIV/0!</v>
      </c>
      <c r="O655" s="121" t="str">
        <f t="shared" si="25"/>
        <v>זכרון יעקב</v>
      </c>
      <c r="P655" s="121" t="str">
        <f t="shared" si="25"/>
        <v>סכנין</v>
      </c>
    </row>
    <row r="656" spans="1:16" x14ac:dyDescent="0.3">
      <c r="A656" s="60">
        <v>30</v>
      </c>
      <c r="B656" s="121">
        <v>1</v>
      </c>
      <c r="C656" s="79"/>
      <c r="D656" s="79"/>
      <c r="E656" s="79"/>
      <c r="F656" s="79"/>
      <c r="G656" s="94"/>
      <c r="I656" s="86" t="e">
        <f t="shared" si="24"/>
        <v>#DIV/0!</v>
      </c>
      <c r="J656" s="87" t="e">
        <f t="shared" si="24"/>
        <v>#DIV/0!</v>
      </c>
      <c r="K656" s="87" t="e">
        <f t="shared" si="24"/>
        <v>#DIV/0!</v>
      </c>
      <c r="L656" s="87" t="e">
        <f t="shared" si="24"/>
        <v>#DIV/0!</v>
      </c>
      <c r="M656" s="88" t="e">
        <f t="shared" si="24"/>
        <v>#DIV/0!</v>
      </c>
      <c r="O656" s="121" t="str">
        <f t="shared" si="25"/>
        <v>סכנין</v>
      </c>
      <c r="P656" s="121" t="str">
        <f t="shared" si="25"/>
        <v>נהריה</v>
      </c>
    </row>
    <row r="657" spans="1:16" x14ac:dyDescent="0.3">
      <c r="A657" s="60">
        <v>30</v>
      </c>
      <c r="B657" s="121">
        <v>2</v>
      </c>
      <c r="C657" s="79"/>
      <c r="D657" s="79"/>
      <c r="E657" s="79"/>
      <c r="F657" s="79"/>
      <c r="G657" s="94"/>
      <c r="I657" s="86" t="e">
        <f t="shared" si="24"/>
        <v>#DIV/0!</v>
      </c>
      <c r="J657" s="87" t="e">
        <f t="shared" si="24"/>
        <v>#DIV/0!</v>
      </c>
      <c r="K657" s="87" t="e">
        <f t="shared" si="24"/>
        <v>#DIV/0!</v>
      </c>
      <c r="L657" s="87" t="e">
        <f t="shared" si="24"/>
        <v>#DIV/0!</v>
      </c>
      <c r="M657" s="88" t="e">
        <f t="shared" si="24"/>
        <v>#DIV/0!</v>
      </c>
      <c r="O657" s="121" t="str">
        <f t="shared" si="25"/>
        <v>סכנין</v>
      </c>
      <c r="P657" s="121" t="str">
        <f t="shared" si="25"/>
        <v>עכו</v>
      </c>
    </row>
    <row r="658" spans="1:16" x14ac:dyDescent="0.3">
      <c r="A658" s="60">
        <v>30</v>
      </c>
      <c r="B658" s="121">
        <v>3</v>
      </c>
      <c r="C658" s="79"/>
      <c r="D658" s="79"/>
      <c r="E658" s="79"/>
      <c r="F658" s="79"/>
      <c r="G658" s="94"/>
      <c r="I658" s="86" t="e">
        <f t="shared" si="24"/>
        <v>#DIV/0!</v>
      </c>
      <c r="J658" s="87" t="e">
        <f t="shared" si="24"/>
        <v>#DIV/0!</v>
      </c>
      <c r="K658" s="87" t="e">
        <f t="shared" si="24"/>
        <v>#DIV/0!</v>
      </c>
      <c r="L658" s="87" t="e">
        <f t="shared" si="24"/>
        <v>#DIV/0!</v>
      </c>
      <c r="M658" s="88" t="e">
        <f t="shared" si="24"/>
        <v>#DIV/0!</v>
      </c>
      <c r="O658" s="121" t="str">
        <f t="shared" si="25"/>
        <v>סכנין</v>
      </c>
      <c r="P658" s="121" t="str">
        <f t="shared" si="25"/>
        <v>כרמיאל</v>
      </c>
    </row>
    <row r="659" spans="1:16" x14ac:dyDescent="0.3">
      <c r="A659" s="60">
        <v>30</v>
      </c>
      <c r="B659" s="121">
        <v>4</v>
      </c>
      <c r="C659" s="79"/>
      <c r="D659" s="79"/>
      <c r="E659" s="79"/>
      <c r="F659" s="79"/>
      <c r="G659" s="94"/>
      <c r="I659" s="86" t="e">
        <f t="shared" si="24"/>
        <v>#DIV/0!</v>
      </c>
      <c r="J659" s="87" t="e">
        <f t="shared" si="24"/>
        <v>#DIV/0!</v>
      </c>
      <c r="K659" s="87" t="e">
        <f t="shared" si="24"/>
        <v>#DIV/0!</v>
      </c>
      <c r="L659" s="87" t="e">
        <f t="shared" si="24"/>
        <v>#DIV/0!</v>
      </c>
      <c r="M659" s="88" t="e">
        <f t="shared" si="24"/>
        <v>#DIV/0!</v>
      </c>
      <c r="O659" s="121" t="str">
        <f t="shared" si="25"/>
        <v>סכנין</v>
      </c>
      <c r="P659" s="121" t="str">
        <f t="shared" si="25"/>
        <v>שפרעם</v>
      </c>
    </row>
    <row r="660" spans="1:16" x14ac:dyDescent="0.3">
      <c r="A660" s="60">
        <v>30</v>
      </c>
      <c r="B660" s="121">
        <v>5</v>
      </c>
      <c r="C660" s="79"/>
      <c r="D660" s="79"/>
      <c r="E660" s="79"/>
      <c r="F660" s="79"/>
      <c r="G660" s="94"/>
      <c r="I660" s="86" t="e">
        <f t="shared" si="24"/>
        <v>#DIV/0!</v>
      </c>
      <c r="J660" s="87" t="e">
        <f t="shared" si="24"/>
        <v>#DIV/0!</v>
      </c>
      <c r="K660" s="87" t="e">
        <f t="shared" si="24"/>
        <v>#DIV/0!</v>
      </c>
      <c r="L660" s="87" t="e">
        <f t="shared" si="24"/>
        <v>#DIV/0!</v>
      </c>
      <c r="M660" s="88" t="e">
        <f t="shared" si="24"/>
        <v>#DIV/0!</v>
      </c>
      <c r="O660" s="121" t="str">
        <f t="shared" si="25"/>
        <v>סכנין</v>
      </c>
      <c r="P660" s="121" t="str">
        <f t="shared" si="25"/>
        <v>קרית ים</v>
      </c>
    </row>
    <row r="661" spans="1:16" x14ac:dyDescent="0.3">
      <c r="A661" s="60">
        <v>30</v>
      </c>
      <c r="B661" s="121">
        <v>6</v>
      </c>
      <c r="C661" s="79"/>
      <c r="D661" s="79"/>
      <c r="E661" s="79"/>
      <c r="F661" s="79"/>
      <c r="G661" s="94"/>
      <c r="I661" s="86" t="e">
        <f t="shared" si="24"/>
        <v>#DIV/0!</v>
      </c>
      <c r="J661" s="87" t="e">
        <f t="shared" si="24"/>
        <v>#DIV/0!</v>
      </c>
      <c r="K661" s="87" t="e">
        <f t="shared" si="24"/>
        <v>#DIV/0!</v>
      </c>
      <c r="L661" s="87" t="e">
        <f t="shared" si="24"/>
        <v>#DIV/0!</v>
      </c>
      <c r="M661" s="88" t="e">
        <f t="shared" si="24"/>
        <v>#DIV/0!</v>
      </c>
      <c r="O661" s="121" t="str">
        <f t="shared" si="25"/>
        <v>סכנין</v>
      </c>
      <c r="P661" s="121" t="str">
        <f t="shared" si="25"/>
        <v>קרית מוצקין</v>
      </c>
    </row>
    <row r="662" spans="1:16" x14ac:dyDescent="0.3">
      <c r="A662" s="60">
        <v>30</v>
      </c>
      <c r="B662" s="121">
        <v>7</v>
      </c>
      <c r="C662" s="79"/>
      <c r="D662" s="79"/>
      <c r="E662" s="79"/>
      <c r="F662" s="79"/>
      <c r="G662" s="94"/>
      <c r="I662" s="86" t="e">
        <f t="shared" si="24"/>
        <v>#DIV/0!</v>
      </c>
      <c r="J662" s="87" t="e">
        <f t="shared" si="24"/>
        <v>#DIV/0!</v>
      </c>
      <c r="K662" s="87" t="e">
        <f t="shared" si="24"/>
        <v>#DIV/0!</v>
      </c>
      <c r="L662" s="87" t="e">
        <f t="shared" si="24"/>
        <v>#DIV/0!</v>
      </c>
      <c r="M662" s="88" t="e">
        <f t="shared" si="24"/>
        <v>#DIV/0!</v>
      </c>
      <c r="O662" s="121" t="str">
        <f t="shared" si="25"/>
        <v>סכנין</v>
      </c>
      <c r="P662" s="121" t="str">
        <f t="shared" si="25"/>
        <v>קרית ביאליק</v>
      </c>
    </row>
    <row r="663" spans="1:16" x14ac:dyDescent="0.3">
      <c r="A663" s="60">
        <v>30</v>
      </c>
      <c r="B663" s="121">
        <v>8</v>
      </c>
      <c r="C663" s="79"/>
      <c r="D663" s="79"/>
      <c r="E663" s="79"/>
      <c r="F663" s="79"/>
      <c r="G663" s="94"/>
      <c r="I663" s="86" t="e">
        <f t="shared" si="24"/>
        <v>#DIV/0!</v>
      </c>
      <c r="J663" s="87" t="e">
        <f t="shared" si="24"/>
        <v>#DIV/0!</v>
      </c>
      <c r="K663" s="87" t="e">
        <f t="shared" si="24"/>
        <v>#DIV/0!</v>
      </c>
      <c r="L663" s="87" t="e">
        <f t="shared" si="24"/>
        <v>#DIV/0!</v>
      </c>
      <c r="M663" s="88" t="e">
        <f t="shared" si="24"/>
        <v>#DIV/0!</v>
      </c>
      <c r="O663" s="121" t="str">
        <f t="shared" si="25"/>
        <v>סכנין</v>
      </c>
      <c r="P663" s="121" t="str">
        <f t="shared" si="25"/>
        <v>קרית חיים</v>
      </c>
    </row>
    <row r="664" spans="1:16" x14ac:dyDescent="0.3">
      <c r="A664" s="60">
        <v>30</v>
      </c>
      <c r="B664" s="121">
        <v>9</v>
      </c>
      <c r="C664" s="79"/>
      <c r="D664" s="79"/>
      <c r="E664" s="79"/>
      <c r="F664" s="79"/>
      <c r="G664" s="94"/>
      <c r="I664" s="86" t="e">
        <f t="shared" si="24"/>
        <v>#DIV/0!</v>
      </c>
      <c r="J664" s="87" t="e">
        <f t="shared" si="24"/>
        <v>#DIV/0!</v>
      </c>
      <c r="K664" s="87" t="e">
        <f t="shared" si="24"/>
        <v>#DIV/0!</v>
      </c>
      <c r="L664" s="87" t="e">
        <f t="shared" si="24"/>
        <v>#DIV/0!</v>
      </c>
      <c r="M664" s="88" t="e">
        <f t="shared" si="24"/>
        <v>#DIV/0!</v>
      </c>
      <c r="O664" s="121" t="str">
        <f t="shared" si="25"/>
        <v>סכנין</v>
      </c>
      <c r="P664" s="121" t="str">
        <f t="shared" si="25"/>
        <v>קרית אתא</v>
      </c>
    </row>
    <row r="665" spans="1:16" x14ac:dyDescent="0.3">
      <c r="A665" s="60">
        <v>30</v>
      </c>
      <c r="B665" s="121">
        <v>10</v>
      </c>
      <c r="C665" s="79"/>
      <c r="D665" s="79"/>
      <c r="E665" s="79"/>
      <c r="F665" s="79"/>
      <c r="G665" s="94"/>
      <c r="I665" s="86" t="e">
        <f t="shared" si="24"/>
        <v>#DIV/0!</v>
      </c>
      <c r="J665" s="87" t="e">
        <f t="shared" si="24"/>
        <v>#DIV/0!</v>
      </c>
      <c r="K665" s="87" t="e">
        <f t="shared" si="24"/>
        <v>#DIV/0!</v>
      </c>
      <c r="L665" s="87" t="e">
        <f t="shared" si="24"/>
        <v>#DIV/0!</v>
      </c>
      <c r="M665" s="88" t="e">
        <f t="shared" si="24"/>
        <v>#DIV/0!</v>
      </c>
      <c r="O665" s="121" t="str">
        <f t="shared" si="25"/>
        <v>סכנין</v>
      </c>
      <c r="P665" s="121" t="str">
        <f t="shared" si="25"/>
        <v>כפר מנדא</v>
      </c>
    </row>
    <row r="666" spans="1:16" x14ac:dyDescent="0.3">
      <c r="A666" s="60">
        <v>30</v>
      </c>
      <c r="B666" s="121">
        <v>11</v>
      </c>
      <c r="C666" s="79"/>
      <c r="D666" s="79"/>
      <c r="E666" s="79"/>
      <c r="F666" s="79"/>
      <c r="G666" s="94"/>
      <c r="I666" s="86" t="e">
        <f t="shared" si="24"/>
        <v>#DIV/0!</v>
      </c>
      <c r="J666" s="87" t="e">
        <f t="shared" si="24"/>
        <v>#DIV/0!</v>
      </c>
      <c r="K666" s="87" t="e">
        <f t="shared" si="24"/>
        <v>#DIV/0!</v>
      </c>
      <c r="L666" s="87" t="e">
        <f t="shared" si="24"/>
        <v>#DIV/0!</v>
      </c>
      <c r="M666" s="88" t="e">
        <f t="shared" si="24"/>
        <v>#DIV/0!</v>
      </c>
      <c r="O666" s="121" t="str">
        <f t="shared" si="25"/>
        <v>סכנין</v>
      </c>
      <c r="P666" s="121" t="str">
        <f t="shared" si="25"/>
        <v>זבולון</v>
      </c>
    </row>
    <row r="667" spans="1:16" x14ac:dyDescent="0.3">
      <c r="A667" s="60">
        <v>30</v>
      </c>
      <c r="B667" s="121">
        <v>12</v>
      </c>
      <c r="C667" s="79"/>
      <c r="D667" s="79"/>
      <c r="E667" s="79"/>
      <c r="F667" s="79"/>
      <c r="G667" s="94"/>
      <c r="I667" s="86" t="e">
        <f t="shared" si="24"/>
        <v>#DIV/0!</v>
      </c>
      <c r="J667" s="87" t="e">
        <f t="shared" si="24"/>
        <v>#DIV/0!</v>
      </c>
      <c r="K667" s="87" t="e">
        <f t="shared" si="24"/>
        <v>#DIV/0!</v>
      </c>
      <c r="L667" s="87" t="e">
        <f t="shared" si="24"/>
        <v>#DIV/0!</v>
      </c>
      <c r="M667" s="88" t="e">
        <f t="shared" si="24"/>
        <v>#DIV/0!</v>
      </c>
      <c r="O667" s="121" t="str">
        <f t="shared" si="25"/>
        <v>סכנין</v>
      </c>
      <c r="P667" s="121" t="str">
        <f t="shared" si="25"/>
        <v>חיפה מפרץ</v>
      </c>
    </row>
    <row r="668" spans="1:16" x14ac:dyDescent="0.3">
      <c r="A668" s="60">
        <v>30</v>
      </c>
      <c r="B668" s="121">
        <v>13</v>
      </c>
      <c r="C668" s="79"/>
      <c r="D668" s="79"/>
      <c r="E668" s="79"/>
      <c r="F668" s="79"/>
      <c r="G668" s="94"/>
      <c r="I668" s="86" t="e">
        <f t="shared" si="24"/>
        <v>#DIV/0!</v>
      </c>
      <c r="J668" s="87" t="e">
        <f t="shared" si="24"/>
        <v>#DIV/0!</v>
      </c>
      <c r="K668" s="87" t="e">
        <f t="shared" si="24"/>
        <v>#DIV/0!</v>
      </c>
      <c r="L668" s="87" t="e">
        <f t="shared" si="24"/>
        <v>#DIV/0!</v>
      </c>
      <c r="M668" s="88" t="e">
        <f t="shared" si="24"/>
        <v>#DIV/0!</v>
      </c>
      <c r="O668" s="121" t="str">
        <f t="shared" si="25"/>
        <v>סכנין</v>
      </c>
      <c r="P668" s="121" t="str">
        <f t="shared" si="25"/>
        <v>חיפה עיר תחתית</v>
      </c>
    </row>
    <row r="669" spans="1:16" x14ac:dyDescent="0.3">
      <c r="A669" s="60">
        <v>30</v>
      </c>
      <c r="B669" s="121">
        <v>14</v>
      </c>
      <c r="C669" s="79"/>
      <c r="D669" s="79"/>
      <c r="E669" s="79"/>
      <c r="F669" s="79"/>
      <c r="G669" s="94"/>
      <c r="I669" s="86" t="e">
        <f t="shared" si="24"/>
        <v>#DIV/0!</v>
      </c>
      <c r="J669" s="87" t="e">
        <f t="shared" si="24"/>
        <v>#DIV/0!</v>
      </c>
      <c r="K669" s="87" t="e">
        <f t="shared" si="24"/>
        <v>#DIV/0!</v>
      </c>
      <c r="L669" s="87" t="e">
        <f t="shared" si="24"/>
        <v>#DIV/0!</v>
      </c>
      <c r="M669" s="88" t="e">
        <f t="shared" si="24"/>
        <v>#DIV/0!</v>
      </c>
      <c r="O669" s="121" t="str">
        <f t="shared" si="25"/>
        <v>סכנין</v>
      </c>
      <c r="P669" s="121" t="str">
        <f t="shared" si="25"/>
        <v>חיפה הדר-כרמל</v>
      </c>
    </row>
    <row r="670" spans="1:16" x14ac:dyDescent="0.3">
      <c r="A670" s="60">
        <v>30</v>
      </c>
      <c r="B670" s="121">
        <v>15</v>
      </c>
      <c r="C670" s="79"/>
      <c r="D670" s="79"/>
      <c r="E670" s="79"/>
      <c r="F670" s="79"/>
      <c r="G670" s="94"/>
      <c r="I670" s="86" t="e">
        <f t="shared" si="24"/>
        <v>#DIV/0!</v>
      </c>
      <c r="J670" s="87" t="e">
        <f t="shared" si="24"/>
        <v>#DIV/0!</v>
      </c>
      <c r="K670" s="87" t="e">
        <f t="shared" si="24"/>
        <v>#DIV/0!</v>
      </c>
      <c r="L670" s="87" t="e">
        <f t="shared" si="24"/>
        <v>#DIV/0!</v>
      </c>
      <c r="M670" s="88" t="e">
        <f t="shared" si="24"/>
        <v>#DIV/0!</v>
      </c>
      <c r="O670" s="121" t="str">
        <f t="shared" si="25"/>
        <v>סכנין</v>
      </c>
      <c r="P670" s="121" t="str">
        <f t="shared" si="25"/>
        <v>חיפה מערב</v>
      </c>
    </row>
    <row r="671" spans="1:16" x14ac:dyDescent="0.3">
      <c r="A671" s="60">
        <v>30</v>
      </c>
      <c r="B671" s="121">
        <v>16</v>
      </c>
      <c r="C671" s="79"/>
      <c r="D671" s="79"/>
      <c r="E671" s="79"/>
      <c r="F671" s="79"/>
      <c r="G671" s="94"/>
      <c r="I671" s="86" t="e">
        <f t="shared" si="24"/>
        <v>#DIV/0!</v>
      </c>
      <c r="J671" s="87" t="e">
        <f t="shared" si="24"/>
        <v>#DIV/0!</v>
      </c>
      <c r="K671" s="87" t="e">
        <f t="shared" si="24"/>
        <v>#DIV/0!</v>
      </c>
      <c r="L671" s="87" t="e">
        <f t="shared" si="24"/>
        <v>#DIV/0!</v>
      </c>
      <c r="M671" s="88" t="e">
        <f t="shared" si="24"/>
        <v>#DIV/0!</v>
      </c>
      <c r="O671" s="121" t="str">
        <f t="shared" si="25"/>
        <v>סכנין</v>
      </c>
      <c r="P671" s="121" t="str">
        <f t="shared" si="25"/>
        <v>חיפה כרמל</v>
      </c>
    </row>
    <row r="672" spans="1:16" x14ac:dyDescent="0.3">
      <c r="A672" s="60">
        <v>30</v>
      </c>
      <c r="B672" s="121">
        <v>17</v>
      </c>
      <c r="C672" s="79"/>
      <c r="D672" s="79"/>
      <c r="E672" s="79"/>
      <c r="F672" s="79"/>
      <c r="G672" s="94"/>
      <c r="I672" s="86" t="e">
        <f t="shared" si="24"/>
        <v>#DIV/0!</v>
      </c>
      <c r="J672" s="87" t="e">
        <f t="shared" si="24"/>
        <v>#DIV/0!</v>
      </c>
      <c r="K672" s="87" t="e">
        <f t="shared" si="24"/>
        <v>#DIV/0!</v>
      </c>
      <c r="L672" s="87" t="e">
        <f t="shared" si="24"/>
        <v>#DIV/0!</v>
      </c>
      <c r="M672" s="88" t="e">
        <f t="shared" si="24"/>
        <v>#DIV/0!</v>
      </c>
      <c r="O672" s="121" t="str">
        <f t="shared" si="25"/>
        <v>סכנין</v>
      </c>
      <c r="P672" s="121" t="str">
        <f t="shared" si="25"/>
        <v>חיפה נווה שאנן</v>
      </c>
    </row>
    <row r="673" spans="1:16" x14ac:dyDescent="0.3">
      <c r="A673" s="60">
        <v>30</v>
      </c>
      <c r="B673" s="121">
        <v>18</v>
      </c>
      <c r="C673" s="79"/>
      <c r="D673" s="79"/>
      <c r="E673" s="79"/>
      <c r="F673" s="79"/>
      <c r="G673" s="94"/>
      <c r="I673" s="86" t="e">
        <f t="shared" si="24"/>
        <v>#DIV/0!</v>
      </c>
      <c r="J673" s="87" t="e">
        <f t="shared" si="24"/>
        <v>#DIV/0!</v>
      </c>
      <c r="K673" s="87" t="e">
        <f t="shared" si="24"/>
        <v>#DIV/0!</v>
      </c>
      <c r="L673" s="87" t="e">
        <f t="shared" si="24"/>
        <v>#DIV/0!</v>
      </c>
      <c r="M673" s="88" t="e">
        <f t="shared" si="24"/>
        <v>#DIV/0!</v>
      </c>
      <c r="O673" s="121" t="str">
        <f t="shared" si="25"/>
        <v>סכנין</v>
      </c>
      <c r="P673" s="121" t="str">
        <f t="shared" si="25"/>
        <v>נשר</v>
      </c>
    </row>
    <row r="674" spans="1:16" x14ac:dyDescent="0.3">
      <c r="A674" s="60">
        <v>30</v>
      </c>
      <c r="B674" s="121">
        <v>19</v>
      </c>
      <c r="C674" s="79"/>
      <c r="D674" s="79"/>
      <c r="E674" s="79"/>
      <c r="F674" s="79"/>
      <c r="G674" s="94"/>
      <c r="I674" s="86" t="e">
        <f t="shared" si="24"/>
        <v>#DIV/0!</v>
      </c>
      <c r="J674" s="87" t="e">
        <f t="shared" si="24"/>
        <v>#DIV/0!</v>
      </c>
      <c r="K674" s="87" t="e">
        <f t="shared" si="24"/>
        <v>#DIV/0!</v>
      </c>
      <c r="L674" s="87" t="e">
        <f t="shared" si="24"/>
        <v>#DIV/0!</v>
      </c>
      <c r="M674" s="88" t="e">
        <f t="shared" si="24"/>
        <v>#DIV/0!</v>
      </c>
      <c r="O674" s="121" t="str">
        <f t="shared" si="25"/>
        <v>סכנין</v>
      </c>
      <c r="P674" s="121" t="str">
        <f t="shared" si="25"/>
        <v>נצרת</v>
      </c>
    </row>
    <row r="675" spans="1:16" x14ac:dyDescent="0.3">
      <c r="A675" s="60">
        <v>30</v>
      </c>
      <c r="B675" s="121">
        <v>20</v>
      </c>
      <c r="C675" s="79"/>
      <c r="D675" s="79"/>
      <c r="E675" s="79"/>
      <c r="F675" s="79"/>
      <c r="G675" s="94"/>
      <c r="I675" s="86" t="e">
        <f t="shared" si="24"/>
        <v>#DIV/0!</v>
      </c>
      <c r="J675" s="87" t="e">
        <f t="shared" si="24"/>
        <v>#DIV/0!</v>
      </c>
      <c r="K675" s="87" t="e">
        <f t="shared" si="24"/>
        <v>#DIV/0!</v>
      </c>
      <c r="L675" s="87" t="e">
        <f t="shared" si="24"/>
        <v>#DIV/0!</v>
      </c>
      <c r="M675" s="88" t="e">
        <f t="shared" si="24"/>
        <v>#DIV/0!</v>
      </c>
      <c r="O675" s="121" t="str">
        <f t="shared" si="25"/>
        <v>סכנין</v>
      </c>
      <c r="P675" s="121" t="str">
        <f t="shared" si="25"/>
        <v>נצרת-עילית</v>
      </c>
    </row>
    <row r="676" spans="1:16" x14ac:dyDescent="0.3">
      <c r="A676" s="60">
        <v>30</v>
      </c>
      <c r="B676" s="121">
        <v>21</v>
      </c>
      <c r="C676" s="79"/>
      <c r="D676" s="79"/>
      <c r="E676" s="79"/>
      <c r="F676" s="79"/>
      <c r="G676" s="94"/>
      <c r="I676" s="86" t="e">
        <f t="shared" si="24"/>
        <v>#DIV/0!</v>
      </c>
      <c r="J676" s="87" t="e">
        <f t="shared" si="24"/>
        <v>#DIV/0!</v>
      </c>
      <c r="K676" s="87" t="e">
        <f t="shared" si="24"/>
        <v>#DIV/0!</v>
      </c>
      <c r="L676" s="87" t="e">
        <f t="shared" si="24"/>
        <v>#DIV/0!</v>
      </c>
      <c r="M676" s="88" t="e">
        <f t="shared" si="24"/>
        <v>#DIV/0!</v>
      </c>
      <c r="O676" s="121" t="str">
        <f t="shared" si="25"/>
        <v>סכנין</v>
      </c>
      <c r="P676" s="121" t="str">
        <f t="shared" si="25"/>
        <v>מגדל העמק</v>
      </c>
    </row>
    <row r="677" spans="1:16" x14ac:dyDescent="0.3">
      <c r="A677" s="60">
        <v>30</v>
      </c>
      <c r="B677" s="121">
        <v>22</v>
      </c>
      <c r="C677" s="79"/>
      <c r="D677" s="79"/>
      <c r="E677" s="79"/>
      <c r="F677" s="79"/>
      <c r="G677" s="94"/>
      <c r="I677" s="86" t="e">
        <f t="shared" si="24"/>
        <v>#DIV/0!</v>
      </c>
      <c r="J677" s="87" t="e">
        <f t="shared" si="24"/>
        <v>#DIV/0!</v>
      </c>
      <c r="K677" s="87" t="e">
        <f t="shared" si="24"/>
        <v>#DIV/0!</v>
      </c>
      <c r="L677" s="87" t="e">
        <f t="shared" si="24"/>
        <v>#DIV/0!</v>
      </c>
      <c r="M677" s="88" t="e">
        <f t="shared" si="24"/>
        <v>#DIV/0!</v>
      </c>
      <c r="O677" s="121" t="str">
        <f t="shared" si="25"/>
        <v>סכנין</v>
      </c>
      <c r="P677" s="121" t="str">
        <f t="shared" si="25"/>
        <v>יוקנעם</v>
      </c>
    </row>
    <row r="678" spans="1:16" x14ac:dyDescent="0.3">
      <c r="A678" s="60">
        <v>30</v>
      </c>
      <c r="B678" s="121">
        <v>23</v>
      </c>
      <c r="C678" s="79"/>
      <c r="D678" s="79"/>
      <c r="E678" s="79"/>
      <c r="F678" s="79"/>
      <c r="G678" s="94"/>
      <c r="I678" s="86" t="e">
        <f t="shared" si="24"/>
        <v>#DIV/0!</v>
      </c>
      <c r="J678" s="87" t="e">
        <f t="shared" si="24"/>
        <v>#DIV/0!</v>
      </c>
      <c r="K678" s="87" t="e">
        <f t="shared" si="24"/>
        <v>#DIV/0!</v>
      </c>
      <c r="L678" s="87" t="e">
        <f t="shared" si="24"/>
        <v>#DIV/0!</v>
      </c>
      <c r="M678" s="88" t="e">
        <f t="shared" si="24"/>
        <v>#DIV/0!</v>
      </c>
      <c r="O678" s="121" t="str">
        <f t="shared" si="25"/>
        <v>סכנין</v>
      </c>
      <c r="P678" s="121" t="str">
        <f t="shared" si="25"/>
        <v>דלית אל כרמל</v>
      </c>
    </row>
    <row r="679" spans="1:16" x14ac:dyDescent="0.3">
      <c r="A679" s="60">
        <v>30</v>
      </c>
      <c r="B679" s="121">
        <v>24</v>
      </c>
      <c r="C679" s="79"/>
      <c r="D679" s="79"/>
      <c r="E679" s="79"/>
      <c r="F679" s="79"/>
      <c r="G679" s="94"/>
      <c r="I679" s="86" t="e">
        <f t="shared" si="24"/>
        <v>#DIV/0!</v>
      </c>
      <c r="J679" s="87" t="e">
        <f t="shared" si="24"/>
        <v>#DIV/0!</v>
      </c>
      <c r="K679" s="87" t="e">
        <f t="shared" si="24"/>
        <v>#DIV/0!</v>
      </c>
      <c r="L679" s="87" t="e">
        <f t="shared" si="24"/>
        <v>#DIV/0!</v>
      </c>
      <c r="M679" s="88" t="e">
        <f t="shared" si="24"/>
        <v>#DIV/0!</v>
      </c>
      <c r="O679" s="121" t="str">
        <f t="shared" si="25"/>
        <v>סכנין</v>
      </c>
      <c r="P679" s="121" t="str">
        <f t="shared" si="25"/>
        <v>חוף הכרמל</v>
      </c>
    </row>
    <row r="680" spans="1:16" x14ac:dyDescent="0.3">
      <c r="A680" s="60">
        <v>30</v>
      </c>
      <c r="B680" s="121">
        <v>25</v>
      </c>
      <c r="C680" s="79"/>
      <c r="D680" s="79"/>
      <c r="E680" s="79"/>
      <c r="F680" s="79"/>
      <c r="G680" s="94"/>
      <c r="I680" s="86" t="e">
        <f t="shared" si="24"/>
        <v>#DIV/0!</v>
      </c>
      <c r="J680" s="87" t="e">
        <f t="shared" si="24"/>
        <v>#DIV/0!</v>
      </c>
      <c r="K680" s="87" t="e">
        <f t="shared" si="24"/>
        <v>#DIV/0!</v>
      </c>
      <c r="L680" s="87" t="e">
        <f t="shared" si="24"/>
        <v>#DIV/0!</v>
      </c>
      <c r="M680" s="88" t="e">
        <f t="shared" si="24"/>
        <v>#DIV/0!</v>
      </c>
      <c r="O680" s="121" t="str">
        <f t="shared" si="25"/>
        <v>סכנין</v>
      </c>
      <c r="P680" s="121" t="str">
        <f t="shared" si="25"/>
        <v>זכרון יעקב</v>
      </c>
    </row>
    <row r="681" spans="1:16" x14ac:dyDescent="0.3">
      <c r="A681" s="123">
        <v>30</v>
      </c>
      <c r="B681" s="124">
        <v>30</v>
      </c>
      <c r="C681" s="95"/>
      <c r="D681" s="95"/>
      <c r="E681" s="95"/>
      <c r="F681" s="95"/>
      <c r="G681" s="96"/>
      <c r="I681" s="89" t="e">
        <f t="shared" si="24"/>
        <v>#DIV/0!</v>
      </c>
      <c r="J681" s="90" t="e">
        <f t="shared" si="24"/>
        <v>#DIV/0!</v>
      </c>
      <c r="K681" s="90" t="e">
        <f t="shared" si="24"/>
        <v>#DIV/0!</v>
      </c>
      <c r="L681" s="90" t="e">
        <f t="shared" si="24"/>
        <v>#DIV/0!</v>
      </c>
      <c r="M681" s="91" t="e">
        <f t="shared" si="24"/>
        <v>#DIV/0!</v>
      </c>
      <c r="O681" s="121" t="str">
        <f t="shared" si="25"/>
        <v>סכנין</v>
      </c>
      <c r="P681" s="121" t="str">
        <f t="shared" si="25"/>
        <v>סכנין</v>
      </c>
    </row>
    <row r="682" spans="1:16" x14ac:dyDescent="0.3">
      <c r="A682" s="164" t="s">
        <v>44</v>
      </c>
      <c r="B682" s="164"/>
      <c r="C682" s="92">
        <f>SUM(C6:C681)</f>
        <v>0</v>
      </c>
      <c r="D682" s="92">
        <f t="shared" ref="D682:G682" si="26">SUM(D6:D681)</f>
        <v>0</v>
      </c>
      <c r="E682" s="92">
        <f t="shared" si="26"/>
        <v>0</v>
      </c>
      <c r="F682" s="92">
        <f t="shared" si="26"/>
        <v>0</v>
      </c>
      <c r="G682" s="92">
        <f t="shared" si="26"/>
        <v>0</v>
      </c>
    </row>
    <row r="683" spans="1:16" x14ac:dyDescent="0.3">
      <c r="A683" s="153" t="s">
        <v>62</v>
      </c>
      <c r="B683" s="153"/>
      <c r="C683" s="93" t="e">
        <f>C682/SUM(C682:G682)</f>
        <v>#DIV/0!</v>
      </c>
      <c r="D683" s="93" t="e">
        <f>D682/SUM(C682:G682)</f>
        <v>#DIV/0!</v>
      </c>
      <c r="E683" s="93" t="e">
        <f>E682/SUM(C682:G682)</f>
        <v>#DIV/0!</v>
      </c>
      <c r="F683" s="93" t="e">
        <f>F682/SUM(C682:G682)</f>
        <v>#DIV/0!</v>
      </c>
      <c r="G683" s="93" t="e">
        <f>G682/SUM(C682:G682)</f>
        <v>#DIV/0!</v>
      </c>
    </row>
  </sheetData>
  <mergeCells count="9">
    <mergeCell ref="E4:E5"/>
    <mergeCell ref="F4:F5"/>
    <mergeCell ref="G4:G5"/>
    <mergeCell ref="A682:B682"/>
    <mergeCell ref="A683:B683"/>
    <mergeCell ref="A4:A5"/>
    <mergeCell ref="B4:B5"/>
    <mergeCell ref="C4:C5"/>
    <mergeCell ref="D4:D5"/>
  </mergeCells>
  <hyperlinks>
    <hyperlink ref="A1" location="'Table Of Contents'!A1" display="Return to ToC" xr:uid="{00000000-0004-0000-0C00-000000000000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T683"/>
  <sheetViews>
    <sheetView workbookViewId="0">
      <pane xSplit="2" ySplit="5" topLeftCell="C6" activePane="bottomRight" state="frozen"/>
      <selection activeCell="D14" sqref="D14"/>
      <selection pane="topRight" activeCell="D14" sqref="D14"/>
      <selection pane="bottomLeft" activeCell="D14" sqref="D14"/>
      <selection pane="bottomRight"/>
    </sheetView>
  </sheetViews>
  <sheetFormatPr defaultColWidth="9" defaultRowHeight="14.4" x14ac:dyDescent="0.3"/>
  <cols>
    <col min="1" max="1" width="8.33203125" style="61" customWidth="1"/>
    <col min="2" max="2" width="3" style="61" bestFit="1" customWidth="1"/>
    <col min="3" max="3" width="7.88671875" style="61" bestFit="1" customWidth="1"/>
    <col min="4" max="4" width="9.77734375" style="61" bestFit="1" customWidth="1"/>
    <col min="5" max="7" width="7.88671875" style="61" bestFit="1" customWidth="1"/>
    <col min="8" max="8" width="9" style="79"/>
    <col min="9" max="9" width="7.88671875" style="61" bestFit="1" customWidth="1"/>
    <col min="10" max="10" width="9.77734375" style="61" bestFit="1" customWidth="1"/>
    <col min="11" max="13" width="7.88671875" style="61" bestFit="1" customWidth="1"/>
    <col min="14" max="14" width="8" style="61" bestFit="1" customWidth="1"/>
    <col min="15" max="16384" width="9" style="61"/>
  </cols>
  <sheetData>
    <row r="1" spans="1:20" ht="27" thickBot="1" x14ac:dyDescent="0.35">
      <c r="A1" s="8" t="s">
        <v>2</v>
      </c>
      <c r="H1" s="61"/>
      <c r="I1" s="76"/>
    </row>
    <row r="2" spans="1:20" ht="21" x14ac:dyDescent="0.3">
      <c r="A2" s="112"/>
      <c r="B2" s="112"/>
      <c r="C2" s="112"/>
      <c r="D2" s="112"/>
      <c r="E2" s="112"/>
      <c r="F2" s="112"/>
      <c r="G2" s="112"/>
      <c r="H2" s="77"/>
      <c r="I2" s="112"/>
      <c r="J2" s="112"/>
      <c r="K2" s="112"/>
      <c r="L2" s="112"/>
      <c r="M2" s="112"/>
      <c r="O2" s="77"/>
    </row>
    <row r="3" spans="1:20" ht="6.75" customHeight="1" x14ac:dyDescent="0.3">
      <c r="A3" s="78"/>
      <c r="H3" s="61"/>
      <c r="I3" s="78"/>
    </row>
    <row r="4" spans="1:20" ht="28.8" x14ac:dyDescent="0.3">
      <c r="A4" s="155" t="s">
        <v>54</v>
      </c>
      <c r="B4" s="151" t="s">
        <v>55</v>
      </c>
      <c r="C4" s="158" t="s">
        <v>56</v>
      </c>
      <c r="D4" s="160" t="s">
        <v>57</v>
      </c>
      <c r="E4" s="160" t="s">
        <v>58</v>
      </c>
      <c r="F4" s="160" t="s">
        <v>59</v>
      </c>
      <c r="G4" s="162" t="s">
        <v>60</v>
      </c>
      <c r="I4" s="80" t="s">
        <v>56</v>
      </c>
      <c r="J4" s="81" t="s">
        <v>57</v>
      </c>
      <c r="K4" s="81" t="s">
        <v>58</v>
      </c>
      <c r="L4" s="81" t="s">
        <v>59</v>
      </c>
      <c r="M4" s="82" t="s">
        <v>60</v>
      </c>
    </row>
    <row r="5" spans="1:20" x14ac:dyDescent="0.3">
      <c r="A5" s="156"/>
      <c r="B5" s="161"/>
      <c r="C5" s="159"/>
      <c r="D5" s="161"/>
      <c r="E5" s="161"/>
      <c r="F5" s="161"/>
      <c r="G5" s="157"/>
      <c r="I5" s="83" t="s">
        <v>61</v>
      </c>
      <c r="J5" s="84" t="s">
        <v>61</v>
      </c>
      <c r="K5" s="84" t="s">
        <v>61</v>
      </c>
      <c r="L5" s="84" t="s">
        <v>61</v>
      </c>
      <c r="M5" s="85" t="s">
        <v>61</v>
      </c>
      <c r="O5" s="121" t="s">
        <v>54</v>
      </c>
      <c r="P5" s="121" t="s">
        <v>55</v>
      </c>
      <c r="S5" s="120" t="s">
        <v>148</v>
      </c>
      <c r="T5" s="120" t="s">
        <v>149</v>
      </c>
    </row>
    <row r="6" spans="1:20" x14ac:dyDescent="0.3">
      <c r="A6" s="61">
        <v>1</v>
      </c>
      <c r="B6" s="61">
        <v>1</v>
      </c>
      <c r="C6" s="97"/>
      <c r="D6" s="79"/>
      <c r="E6" s="79"/>
      <c r="F6" s="79"/>
      <c r="G6" s="94"/>
      <c r="I6" s="86" t="e">
        <f>C6/SUM($C6:$G6)</f>
        <v>#DIV/0!</v>
      </c>
      <c r="J6" s="87" t="e">
        <f t="shared" ref="J6:M21" si="0">D6/SUM($C6:$G6)</f>
        <v>#DIV/0!</v>
      </c>
      <c r="K6" s="87" t="e">
        <f t="shared" si="0"/>
        <v>#DIV/0!</v>
      </c>
      <c r="L6" s="87" t="e">
        <f t="shared" si="0"/>
        <v>#DIV/0!</v>
      </c>
      <c r="M6" s="88" t="e">
        <f t="shared" si="0"/>
        <v>#DIV/0!</v>
      </c>
      <c r="O6" s="121" t="str">
        <f>VLOOKUP(A6,$S$6:$T$31,2,0)</f>
        <v>נהריה</v>
      </c>
      <c r="P6" s="121" t="str">
        <f t="shared" ref="P6:P69" si="1">VLOOKUP(B6,$S$6:$T$31,2,0)</f>
        <v>נהריה</v>
      </c>
      <c r="S6" s="120">
        <v>1</v>
      </c>
      <c r="T6" s="120" t="s">
        <v>150</v>
      </c>
    </row>
    <row r="7" spans="1:20" x14ac:dyDescent="0.3">
      <c r="A7" s="61">
        <v>1</v>
      </c>
      <c r="B7" s="61">
        <v>2</v>
      </c>
      <c r="C7" s="97"/>
      <c r="D7" s="79"/>
      <c r="E7" s="79"/>
      <c r="F7" s="79"/>
      <c r="G7" s="94"/>
      <c r="I7" s="86" t="e">
        <f t="shared" ref="I7:M69" si="2">C7/SUM($C7:$G7)</f>
        <v>#DIV/0!</v>
      </c>
      <c r="J7" s="87" t="e">
        <f t="shared" si="0"/>
        <v>#DIV/0!</v>
      </c>
      <c r="K7" s="87" t="e">
        <f t="shared" si="0"/>
        <v>#DIV/0!</v>
      </c>
      <c r="L7" s="87" t="e">
        <f t="shared" si="0"/>
        <v>#DIV/0!</v>
      </c>
      <c r="M7" s="88" t="e">
        <f t="shared" si="0"/>
        <v>#DIV/0!</v>
      </c>
      <c r="O7" s="121" t="s">
        <v>150</v>
      </c>
      <c r="P7" s="121" t="str">
        <f t="shared" si="1"/>
        <v>עכו</v>
      </c>
      <c r="S7" s="120">
        <v>2</v>
      </c>
      <c r="T7" s="120" t="s">
        <v>151</v>
      </c>
    </row>
    <row r="8" spans="1:20" x14ac:dyDescent="0.3">
      <c r="A8" s="61">
        <v>1</v>
      </c>
      <c r="B8" s="61">
        <v>3</v>
      </c>
      <c r="C8" s="97"/>
      <c r="D8" s="79"/>
      <c r="E8" s="79"/>
      <c r="F8" s="79"/>
      <c r="G8" s="94"/>
      <c r="I8" s="86" t="e">
        <f t="shared" si="2"/>
        <v>#DIV/0!</v>
      </c>
      <c r="J8" s="87" t="e">
        <f t="shared" si="0"/>
        <v>#DIV/0!</v>
      </c>
      <c r="K8" s="87" t="e">
        <f t="shared" si="0"/>
        <v>#DIV/0!</v>
      </c>
      <c r="L8" s="87" t="e">
        <f t="shared" si="0"/>
        <v>#DIV/0!</v>
      </c>
      <c r="M8" s="88" t="e">
        <f t="shared" si="0"/>
        <v>#DIV/0!</v>
      </c>
      <c r="O8" s="121" t="str">
        <f t="shared" ref="O8:P71" si="3">VLOOKUP(A8,$S$6:$T$31,2,0)</f>
        <v>נהריה</v>
      </c>
      <c r="P8" s="121" t="str">
        <f t="shared" si="1"/>
        <v>כרמיאל</v>
      </c>
      <c r="S8" s="120">
        <v>3</v>
      </c>
      <c r="T8" s="120" t="s">
        <v>152</v>
      </c>
    </row>
    <row r="9" spans="1:20" x14ac:dyDescent="0.3">
      <c r="A9" s="61">
        <v>1</v>
      </c>
      <c r="B9" s="61">
        <v>4</v>
      </c>
      <c r="C9" s="97"/>
      <c r="D9" s="79"/>
      <c r="E9" s="79"/>
      <c r="F9" s="79"/>
      <c r="G9" s="94"/>
      <c r="I9" s="86" t="e">
        <f t="shared" si="2"/>
        <v>#DIV/0!</v>
      </c>
      <c r="J9" s="87" t="e">
        <f t="shared" si="0"/>
        <v>#DIV/0!</v>
      </c>
      <c r="K9" s="87" t="e">
        <f t="shared" si="0"/>
        <v>#DIV/0!</v>
      </c>
      <c r="L9" s="87" t="e">
        <f t="shared" si="0"/>
        <v>#DIV/0!</v>
      </c>
      <c r="M9" s="88" t="e">
        <f t="shared" si="0"/>
        <v>#DIV/0!</v>
      </c>
      <c r="O9" s="121" t="str">
        <f t="shared" si="3"/>
        <v>נהריה</v>
      </c>
      <c r="P9" s="121" t="str">
        <f t="shared" si="1"/>
        <v>שפרעם</v>
      </c>
      <c r="S9" s="120">
        <v>4</v>
      </c>
      <c r="T9" s="120" t="s">
        <v>153</v>
      </c>
    </row>
    <row r="10" spans="1:20" x14ac:dyDescent="0.3">
      <c r="A10" s="61">
        <v>1</v>
      </c>
      <c r="B10" s="61">
        <v>5</v>
      </c>
      <c r="C10" s="97"/>
      <c r="D10" s="79"/>
      <c r="E10" s="79"/>
      <c r="F10" s="79"/>
      <c r="G10" s="94"/>
      <c r="I10" s="86" t="e">
        <f t="shared" si="2"/>
        <v>#DIV/0!</v>
      </c>
      <c r="J10" s="87" t="e">
        <f t="shared" si="0"/>
        <v>#DIV/0!</v>
      </c>
      <c r="K10" s="87" t="e">
        <f t="shared" si="0"/>
        <v>#DIV/0!</v>
      </c>
      <c r="L10" s="87" t="e">
        <f t="shared" si="0"/>
        <v>#DIV/0!</v>
      </c>
      <c r="M10" s="88" t="e">
        <f t="shared" si="0"/>
        <v>#DIV/0!</v>
      </c>
      <c r="O10" s="121" t="str">
        <f t="shared" si="3"/>
        <v>נהריה</v>
      </c>
      <c r="P10" s="121" t="str">
        <f t="shared" si="1"/>
        <v>קרית ים</v>
      </c>
      <c r="S10" s="120">
        <v>5</v>
      </c>
      <c r="T10" s="120" t="s">
        <v>154</v>
      </c>
    </row>
    <row r="11" spans="1:20" x14ac:dyDescent="0.3">
      <c r="A11" s="61">
        <v>1</v>
      </c>
      <c r="B11" s="61">
        <v>6</v>
      </c>
      <c r="C11" s="97"/>
      <c r="D11" s="79"/>
      <c r="E11" s="79"/>
      <c r="F11" s="79"/>
      <c r="G11" s="94"/>
      <c r="I11" s="86" t="e">
        <f t="shared" si="2"/>
        <v>#DIV/0!</v>
      </c>
      <c r="J11" s="87" t="e">
        <f t="shared" si="0"/>
        <v>#DIV/0!</v>
      </c>
      <c r="K11" s="87" t="e">
        <f t="shared" si="0"/>
        <v>#DIV/0!</v>
      </c>
      <c r="L11" s="87" t="e">
        <f t="shared" si="0"/>
        <v>#DIV/0!</v>
      </c>
      <c r="M11" s="88" t="e">
        <f t="shared" si="0"/>
        <v>#DIV/0!</v>
      </c>
      <c r="O11" s="121" t="str">
        <f t="shared" si="3"/>
        <v>נהריה</v>
      </c>
      <c r="P11" s="121" t="str">
        <f t="shared" si="1"/>
        <v>קרית מוצקין</v>
      </c>
      <c r="S11" s="120">
        <v>6</v>
      </c>
      <c r="T11" s="120" t="s">
        <v>155</v>
      </c>
    </row>
    <row r="12" spans="1:20" x14ac:dyDescent="0.3">
      <c r="A12" s="61">
        <v>1</v>
      </c>
      <c r="B12" s="61">
        <v>7</v>
      </c>
      <c r="C12" s="97"/>
      <c r="D12" s="79"/>
      <c r="E12" s="79"/>
      <c r="F12" s="79"/>
      <c r="G12" s="94"/>
      <c r="I12" s="86" t="e">
        <f t="shared" si="2"/>
        <v>#DIV/0!</v>
      </c>
      <c r="J12" s="87" t="e">
        <f t="shared" si="0"/>
        <v>#DIV/0!</v>
      </c>
      <c r="K12" s="87" t="e">
        <f t="shared" si="0"/>
        <v>#DIV/0!</v>
      </c>
      <c r="L12" s="87" t="e">
        <f t="shared" si="0"/>
        <v>#DIV/0!</v>
      </c>
      <c r="M12" s="88" t="e">
        <f t="shared" si="0"/>
        <v>#DIV/0!</v>
      </c>
      <c r="O12" s="121" t="str">
        <f t="shared" si="3"/>
        <v>נהריה</v>
      </c>
      <c r="P12" s="121" t="str">
        <f t="shared" si="1"/>
        <v>קרית ביאליק</v>
      </c>
      <c r="S12" s="120">
        <v>7</v>
      </c>
      <c r="T12" s="120" t="s">
        <v>156</v>
      </c>
    </row>
    <row r="13" spans="1:20" x14ac:dyDescent="0.3">
      <c r="A13" s="61">
        <v>1</v>
      </c>
      <c r="B13" s="61">
        <v>8</v>
      </c>
      <c r="C13" s="97"/>
      <c r="D13" s="79"/>
      <c r="E13" s="79"/>
      <c r="F13" s="79"/>
      <c r="G13" s="94"/>
      <c r="I13" s="86" t="e">
        <f t="shared" si="2"/>
        <v>#DIV/0!</v>
      </c>
      <c r="J13" s="87" t="e">
        <f t="shared" si="0"/>
        <v>#DIV/0!</v>
      </c>
      <c r="K13" s="87" t="e">
        <f t="shared" si="0"/>
        <v>#DIV/0!</v>
      </c>
      <c r="L13" s="87" t="e">
        <f t="shared" si="0"/>
        <v>#DIV/0!</v>
      </c>
      <c r="M13" s="88" t="e">
        <f t="shared" si="0"/>
        <v>#DIV/0!</v>
      </c>
      <c r="O13" s="121" t="str">
        <f t="shared" si="3"/>
        <v>נהריה</v>
      </c>
      <c r="P13" s="121" t="str">
        <f t="shared" si="1"/>
        <v>קרית חיים</v>
      </c>
      <c r="S13" s="120">
        <v>8</v>
      </c>
      <c r="T13" s="120" t="s">
        <v>157</v>
      </c>
    </row>
    <row r="14" spans="1:20" x14ac:dyDescent="0.3">
      <c r="A14" s="61">
        <v>1</v>
      </c>
      <c r="B14" s="61">
        <v>9</v>
      </c>
      <c r="C14" s="97"/>
      <c r="D14" s="79"/>
      <c r="E14" s="79"/>
      <c r="F14" s="79"/>
      <c r="G14" s="94"/>
      <c r="I14" s="86" t="e">
        <f t="shared" si="2"/>
        <v>#DIV/0!</v>
      </c>
      <c r="J14" s="87" t="e">
        <f t="shared" si="0"/>
        <v>#DIV/0!</v>
      </c>
      <c r="K14" s="87" t="e">
        <f t="shared" si="0"/>
        <v>#DIV/0!</v>
      </c>
      <c r="L14" s="87" t="e">
        <f t="shared" si="0"/>
        <v>#DIV/0!</v>
      </c>
      <c r="M14" s="88" t="e">
        <f t="shared" si="0"/>
        <v>#DIV/0!</v>
      </c>
      <c r="O14" s="121" t="str">
        <f t="shared" si="3"/>
        <v>נהריה</v>
      </c>
      <c r="P14" s="121" t="str">
        <f t="shared" si="1"/>
        <v>קרית אתא</v>
      </c>
      <c r="S14" s="120">
        <v>9</v>
      </c>
      <c r="T14" s="120" t="s">
        <v>158</v>
      </c>
    </row>
    <row r="15" spans="1:20" x14ac:dyDescent="0.3">
      <c r="A15" s="61">
        <v>1</v>
      </c>
      <c r="B15" s="61">
        <v>10</v>
      </c>
      <c r="C15" s="97"/>
      <c r="D15" s="79"/>
      <c r="E15" s="79"/>
      <c r="F15" s="79"/>
      <c r="G15" s="94"/>
      <c r="I15" s="86" t="e">
        <f t="shared" si="2"/>
        <v>#DIV/0!</v>
      </c>
      <c r="J15" s="87" t="e">
        <f t="shared" si="0"/>
        <v>#DIV/0!</v>
      </c>
      <c r="K15" s="87" t="e">
        <f t="shared" si="0"/>
        <v>#DIV/0!</v>
      </c>
      <c r="L15" s="87" t="e">
        <f t="shared" si="0"/>
        <v>#DIV/0!</v>
      </c>
      <c r="M15" s="88" t="e">
        <f t="shared" si="0"/>
        <v>#DIV/0!</v>
      </c>
      <c r="O15" s="121" t="str">
        <f t="shared" si="3"/>
        <v>נהריה</v>
      </c>
      <c r="P15" s="121" t="str">
        <f t="shared" si="1"/>
        <v>כפר מנדא</v>
      </c>
      <c r="S15" s="120">
        <v>10</v>
      </c>
      <c r="T15" s="120" t="s">
        <v>159</v>
      </c>
    </row>
    <row r="16" spans="1:20" x14ac:dyDescent="0.3">
      <c r="A16" s="61">
        <v>1</v>
      </c>
      <c r="B16" s="61">
        <v>11</v>
      </c>
      <c r="C16" s="97"/>
      <c r="D16" s="79"/>
      <c r="E16" s="79"/>
      <c r="F16" s="79"/>
      <c r="G16" s="94"/>
      <c r="I16" s="86" t="e">
        <f t="shared" si="2"/>
        <v>#DIV/0!</v>
      </c>
      <c r="J16" s="87" t="e">
        <f t="shared" si="0"/>
        <v>#DIV/0!</v>
      </c>
      <c r="K16" s="87" t="e">
        <f t="shared" si="0"/>
        <v>#DIV/0!</v>
      </c>
      <c r="L16" s="87" t="e">
        <f t="shared" si="0"/>
        <v>#DIV/0!</v>
      </c>
      <c r="M16" s="88" t="e">
        <f t="shared" si="0"/>
        <v>#DIV/0!</v>
      </c>
      <c r="O16" s="121" t="str">
        <f t="shared" si="3"/>
        <v>נהריה</v>
      </c>
      <c r="P16" s="121" t="str">
        <f t="shared" si="1"/>
        <v>זבולון</v>
      </c>
      <c r="S16" s="120">
        <v>11</v>
      </c>
      <c r="T16" s="120" t="s">
        <v>160</v>
      </c>
    </row>
    <row r="17" spans="1:20" x14ac:dyDescent="0.3">
      <c r="A17" s="61">
        <v>1</v>
      </c>
      <c r="B17" s="61">
        <v>12</v>
      </c>
      <c r="C17" s="97"/>
      <c r="D17" s="79"/>
      <c r="E17" s="79"/>
      <c r="F17" s="79"/>
      <c r="G17" s="94"/>
      <c r="I17" s="86" t="e">
        <f t="shared" si="2"/>
        <v>#DIV/0!</v>
      </c>
      <c r="J17" s="87" t="e">
        <f t="shared" si="0"/>
        <v>#DIV/0!</v>
      </c>
      <c r="K17" s="87" t="e">
        <f t="shared" si="0"/>
        <v>#DIV/0!</v>
      </c>
      <c r="L17" s="87" t="e">
        <f t="shared" si="0"/>
        <v>#DIV/0!</v>
      </c>
      <c r="M17" s="88" t="e">
        <f t="shared" si="0"/>
        <v>#DIV/0!</v>
      </c>
      <c r="O17" s="121" t="str">
        <f t="shared" si="3"/>
        <v>נהריה</v>
      </c>
      <c r="P17" s="121" t="str">
        <f t="shared" si="1"/>
        <v>חיפה מפרץ</v>
      </c>
      <c r="S17" s="120">
        <v>12</v>
      </c>
      <c r="T17" s="120" t="s">
        <v>161</v>
      </c>
    </row>
    <row r="18" spans="1:20" x14ac:dyDescent="0.3">
      <c r="A18" s="61">
        <v>1</v>
      </c>
      <c r="B18" s="61">
        <v>13</v>
      </c>
      <c r="C18" s="97"/>
      <c r="D18" s="79"/>
      <c r="E18" s="79"/>
      <c r="F18" s="79"/>
      <c r="G18" s="94"/>
      <c r="I18" s="86" t="e">
        <f t="shared" si="2"/>
        <v>#DIV/0!</v>
      </c>
      <c r="J18" s="87" t="e">
        <f t="shared" si="0"/>
        <v>#DIV/0!</v>
      </c>
      <c r="K18" s="87" t="e">
        <f t="shared" si="0"/>
        <v>#DIV/0!</v>
      </c>
      <c r="L18" s="87" t="e">
        <f t="shared" si="0"/>
        <v>#DIV/0!</v>
      </c>
      <c r="M18" s="88" t="e">
        <f t="shared" si="0"/>
        <v>#DIV/0!</v>
      </c>
      <c r="O18" s="121" t="str">
        <f t="shared" si="3"/>
        <v>נהריה</v>
      </c>
      <c r="P18" s="121" t="str">
        <f t="shared" si="1"/>
        <v>חיפה עיר תחתית</v>
      </c>
      <c r="S18" s="120">
        <v>13</v>
      </c>
      <c r="T18" s="120" t="s">
        <v>162</v>
      </c>
    </row>
    <row r="19" spans="1:20" x14ac:dyDescent="0.3">
      <c r="A19" s="61">
        <v>1</v>
      </c>
      <c r="B19" s="61">
        <v>14</v>
      </c>
      <c r="C19" s="97"/>
      <c r="D19" s="79"/>
      <c r="E19" s="79"/>
      <c r="F19" s="79"/>
      <c r="G19" s="94"/>
      <c r="I19" s="86" t="e">
        <f t="shared" si="2"/>
        <v>#DIV/0!</v>
      </c>
      <c r="J19" s="87" t="e">
        <f t="shared" si="0"/>
        <v>#DIV/0!</v>
      </c>
      <c r="K19" s="87" t="e">
        <f t="shared" si="0"/>
        <v>#DIV/0!</v>
      </c>
      <c r="L19" s="87" t="e">
        <f t="shared" si="0"/>
        <v>#DIV/0!</v>
      </c>
      <c r="M19" s="88" t="e">
        <f t="shared" si="0"/>
        <v>#DIV/0!</v>
      </c>
      <c r="O19" s="121" t="str">
        <f t="shared" si="3"/>
        <v>נהריה</v>
      </c>
      <c r="P19" s="121" t="str">
        <f t="shared" si="1"/>
        <v>חיפה הדר-כרמל</v>
      </c>
      <c r="S19" s="120">
        <v>14</v>
      </c>
      <c r="T19" s="120" t="s">
        <v>163</v>
      </c>
    </row>
    <row r="20" spans="1:20" x14ac:dyDescent="0.3">
      <c r="A20" s="61">
        <v>1</v>
      </c>
      <c r="B20" s="61">
        <v>15</v>
      </c>
      <c r="C20" s="97"/>
      <c r="D20" s="79"/>
      <c r="E20" s="79"/>
      <c r="F20" s="79"/>
      <c r="G20" s="94"/>
      <c r="I20" s="86" t="e">
        <f t="shared" si="2"/>
        <v>#DIV/0!</v>
      </c>
      <c r="J20" s="87" t="e">
        <f t="shared" si="0"/>
        <v>#DIV/0!</v>
      </c>
      <c r="K20" s="87" t="e">
        <f t="shared" si="0"/>
        <v>#DIV/0!</v>
      </c>
      <c r="L20" s="87" t="e">
        <f t="shared" si="0"/>
        <v>#DIV/0!</v>
      </c>
      <c r="M20" s="88" t="e">
        <f t="shared" si="0"/>
        <v>#DIV/0!</v>
      </c>
      <c r="O20" s="121" t="str">
        <f t="shared" si="3"/>
        <v>נהריה</v>
      </c>
      <c r="P20" s="121" t="str">
        <f t="shared" si="1"/>
        <v>חיפה מערב</v>
      </c>
      <c r="S20" s="120">
        <v>15</v>
      </c>
      <c r="T20" s="120" t="s">
        <v>164</v>
      </c>
    </row>
    <row r="21" spans="1:20" x14ac:dyDescent="0.3">
      <c r="A21" s="61">
        <v>1</v>
      </c>
      <c r="B21" s="61">
        <v>16</v>
      </c>
      <c r="C21" s="97"/>
      <c r="D21" s="79"/>
      <c r="E21" s="79"/>
      <c r="F21" s="79"/>
      <c r="G21" s="94"/>
      <c r="I21" s="86" t="e">
        <f t="shared" si="2"/>
        <v>#DIV/0!</v>
      </c>
      <c r="J21" s="87" t="e">
        <f t="shared" si="0"/>
        <v>#DIV/0!</v>
      </c>
      <c r="K21" s="87" t="e">
        <f t="shared" si="0"/>
        <v>#DIV/0!</v>
      </c>
      <c r="L21" s="87" t="e">
        <f t="shared" si="0"/>
        <v>#DIV/0!</v>
      </c>
      <c r="M21" s="88" t="e">
        <f t="shared" si="0"/>
        <v>#DIV/0!</v>
      </c>
      <c r="O21" s="121" t="str">
        <f t="shared" si="3"/>
        <v>נהריה</v>
      </c>
      <c r="P21" s="121" t="str">
        <f t="shared" si="1"/>
        <v>חיפה כרמל</v>
      </c>
      <c r="S21" s="120">
        <v>16</v>
      </c>
      <c r="T21" s="120" t="s">
        <v>165</v>
      </c>
    </row>
    <row r="22" spans="1:20" x14ac:dyDescent="0.3">
      <c r="A22" s="61">
        <v>1</v>
      </c>
      <c r="B22" s="61">
        <v>17</v>
      </c>
      <c r="C22" s="97"/>
      <c r="D22" s="79"/>
      <c r="E22" s="79"/>
      <c r="F22" s="79"/>
      <c r="G22" s="94"/>
      <c r="I22" s="86" t="e">
        <f t="shared" si="2"/>
        <v>#DIV/0!</v>
      </c>
      <c r="J22" s="87" t="e">
        <f t="shared" si="2"/>
        <v>#DIV/0!</v>
      </c>
      <c r="K22" s="87" t="e">
        <f t="shared" si="2"/>
        <v>#DIV/0!</v>
      </c>
      <c r="L22" s="87" t="e">
        <f t="shared" si="2"/>
        <v>#DIV/0!</v>
      </c>
      <c r="M22" s="88" t="e">
        <f t="shared" si="2"/>
        <v>#DIV/0!</v>
      </c>
      <c r="O22" s="121" t="str">
        <f t="shared" si="3"/>
        <v>נהריה</v>
      </c>
      <c r="P22" s="121" t="str">
        <f t="shared" si="1"/>
        <v>חיפה נווה שאנן</v>
      </c>
      <c r="S22" s="120">
        <v>17</v>
      </c>
      <c r="T22" s="120" t="s">
        <v>166</v>
      </c>
    </row>
    <row r="23" spans="1:20" x14ac:dyDescent="0.3">
      <c r="A23" s="61">
        <v>1</v>
      </c>
      <c r="B23" s="61">
        <v>18</v>
      </c>
      <c r="C23" s="97"/>
      <c r="D23" s="79"/>
      <c r="E23" s="79"/>
      <c r="F23" s="79"/>
      <c r="G23" s="94"/>
      <c r="I23" s="86" t="e">
        <f t="shared" si="2"/>
        <v>#DIV/0!</v>
      </c>
      <c r="J23" s="87" t="e">
        <f t="shared" si="2"/>
        <v>#DIV/0!</v>
      </c>
      <c r="K23" s="87" t="e">
        <f t="shared" si="2"/>
        <v>#DIV/0!</v>
      </c>
      <c r="L23" s="87" t="e">
        <f t="shared" si="2"/>
        <v>#DIV/0!</v>
      </c>
      <c r="M23" s="88" t="e">
        <f t="shared" si="2"/>
        <v>#DIV/0!</v>
      </c>
      <c r="O23" s="121" t="str">
        <f t="shared" si="3"/>
        <v>נהריה</v>
      </c>
      <c r="P23" s="121" t="str">
        <f t="shared" si="1"/>
        <v>נשר</v>
      </c>
      <c r="S23" s="120">
        <v>18</v>
      </c>
      <c r="T23" s="120" t="s">
        <v>167</v>
      </c>
    </row>
    <row r="24" spans="1:20" x14ac:dyDescent="0.3">
      <c r="A24" s="61">
        <v>1</v>
      </c>
      <c r="B24" s="61">
        <v>19</v>
      </c>
      <c r="C24" s="97"/>
      <c r="D24" s="79"/>
      <c r="E24" s="79"/>
      <c r="F24" s="79"/>
      <c r="G24" s="94"/>
      <c r="I24" s="86" t="e">
        <f t="shared" si="2"/>
        <v>#DIV/0!</v>
      </c>
      <c r="J24" s="87" t="e">
        <f t="shared" si="2"/>
        <v>#DIV/0!</v>
      </c>
      <c r="K24" s="87" t="e">
        <f t="shared" si="2"/>
        <v>#DIV/0!</v>
      </c>
      <c r="L24" s="87" t="e">
        <f t="shared" si="2"/>
        <v>#DIV/0!</v>
      </c>
      <c r="M24" s="88" t="e">
        <f t="shared" si="2"/>
        <v>#DIV/0!</v>
      </c>
      <c r="O24" s="121" t="str">
        <f t="shared" si="3"/>
        <v>נהריה</v>
      </c>
      <c r="P24" s="121" t="str">
        <f t="shared" si="1"/>
        <v>נצרת</v>
      </c>
      <c r="S24" s="120">
        <v>19</v>
      </c>
      <c r="T24" s="120" t="s">
        <v>168</v>
      </c>
    </row>
    <row r="25" spans="1:20" x14ac:dyDescent="0.3">
      <c r="A25" s="61">
        <v>1</v>
      </c>
      <c r="B25" s="61">
        <v>20</v>
      </c>
      <c r="C25" s="97"/>
      <c r="D25" s="79"/>
      <c r="E25" s="79"/>
      <c r="F25" s="79"/>
      <c r="G25" s="94"/>
      <c r="I25" s="86" t="e">
        <f t="shared" si="2"/>
        <v>#DIV/0!</v>
      </c>
      <c r="J25" s="87" t="e">
        <f t="shared" si="2"/>
        <v>#DIV/0!</v>
      </c>
      <c r="K25" s="87" t="e">
        <f t="shared" si="2"/>
        <v>#DIV/0!</v>
      </c>
      <c r="L25" s="87" t="e">
        <f t="shared" si="2"/>
        <v>#DIV/0!</v>
      </c>
      <c r="M25" s="88" t="e">
        <f t="shared" si="2"/>
        <v>#DIV/0!</v>
      </c>
      <c r="O25" s="121" t="str">
        <f t="shared" si="3"/>
        <v>נהריה</v>
      </c>
      <c r="P25" s="121" t="str">
        <f t="shared" si="1"/>
        <v>נצרת-עילית</v>
      </c>
      <c r="S25" s="120">
        <v>20</v>
      </c>
      <c r="T25" s="120" t="s">
        <v>169</v>
      </c>
    </row>
    <row r="26" spans="1:20" x14ac:dyDescent="0.3">
      <c r="A26" s="61">
        <v>1</v>
      </c>
      <c r="B26" s="61">
        <v>21</v>
      </c>
      <c r="C26" s="97"/>
      <c r="D26" s="79"/>
      <c r="E26" s="79"/>
      <c r="F26" s="79"/>
      <c r="G26" s="94"/>
      <c r="I26" s="86" t="e">
        <f t="shared" si="2"/>
        <v>#DIV/0!</v>
      </c>
      <c r="J26" s="87" t="e">
        <f t="shared" si="2"/>
        <v>#DIV/0!</v>
      </c>
      <c r="K26" s="87" t="e">
        <f t="shared" si="2"/>
        <v>#DIV/0!</v>
      </c>
      <c r="L26" s="87" t="e">
        <f t="shared" si="2"/>
        <v>#DIV/0!</v>
      </c>
      <c r="M26" s="88" t="e">
        <f t="shared" si="2"/>
        <v>#DIV/0!</v>
      </c>
      <c r="O26" s="121" t="str">
        <f t="shared" si="3"/>
        <v>נהריה</v>
      </c>
      <c r="P26" s="121" t="str">
        <f t="shared" si="1"/>
        <v>מגדל העמק</v>
      </c>
      <c r="S26" s="120">
        <v>21</v>
      </c>
      <c r="T26" s="120" t="s">
        <v>170</v>
      </c>
    </row>
    <row r="27" spans="1:20" x14ac:dyDescent="0.3">
      <c r="A27" s="61">
        <v>1</v>
      </c>
      <c r="B27" s="61">
        <v>22</v>
      </c>
      <c r="C27" s="97"/>
      <c r="D27" s="79"/>
      <c r="E27" s="79"/>
      <c r="F27" s="79"/>
      <c r="G27" s="94"/>
      <c r="I27" s="86" t="e">
        <f t="shared" si="2"/>
        <v>#DIV/0!</v>
      </c>
      <c r="J27" s="87" t="e">
        <f t="shared" si="2"/>
        <v>#DIV/0!</v>
      </c>
      <c r="K27" s="87" t="e">
        <f t="shared" si="2"/>
        <v>#DIV/0!</v>
      </c>
      <c r="L27" s="87" t="e">
        <f t="shared" si="2"/>
        <v>#DIV/0!</v>
      </c>
      <c r="M27" s="88" t="e">
        <f t="shared" si="2"/>
        <v>#DIV/0!</v>
      </c>
      <c r="O27" s="121" t="str">
        <f t="shared" si="3"/>
        <v>נהריה</v>
      </c>
      <c r="P27" s="121" t="str">
        <f t="shared" si="1"/>
        <v>יוקנעם</v>
      </c>
      <c r="S27" s="120">
        <v>22</v>
      </c>
      <c r="T27" s="120" t="s">
        <v>171</v>
      </c>
    </row>
    <row r="28" spans="1:20" x14ac:dyDescent="0.3">
      <c r="A28" s="61">
        <v>1</v>
      </c>
      <c r="B28" s="61">
        <v>23</v>
      </c>
      <c r="C28" s="97"/>
      <c r="D28" s="79"/>
      <c r="E28" s="79"/>
      <c r="F28" s="79"/>
      <c r="G28" s="94"/>
      <c r="I28" s="86" t="e">
        <f t="shared" si="2"/>
        <v>#DIV/0!</v>
      </c>
      <c r="J28" s="87" t="e">
        <f t="shared" si="2"/>
        <v>#DIV/0!</v>
      </c>
      <c r="K28" s="87" t="e">
        <f t="shared" si="2"/>
        <v>#DIV/0!</v>
      </c>
      <c r="L28" s="87" t="e">
        <f t="shared" si="2"/>
        <v>#DIV/0!</v>
      </c>
      <c r="M28" s="88" t="e">
        <f t="shared" si="2"/>
        <v>#DIV/0!</v>
      </c>
      <c r="O28" s="121" t="str">
        <f t="shared" si="3"/>
        <v>נהריה</v>
      </c>
      <c r="P28" s="121" t="str">
        <f t="shared" si="1"/>
        <v>דלית אל כרמל</v>
      </c>
      <c r="S28" s="120">
        <v>23</v>
      </c>
      <c r="T28" s="120" t="s">
        <v>172</v>
      </c>
    </row>
    <row r="29" spans="1:20" x14ac:dyDescent="0.3">
      <c r="A29" s="61">
        <v>1</v>
      </c>
      <c r="B29" s="61">
        <v>24</v>
      </c>
      <c r="C29" s="97"/>
      <c r="D29" s="79"/>
      <c r="E29" s="79"/>
      <c r="F29" s="79"/>
      <c r="G29" s="94"/>
      <c r="I29" s="86" t="e">
        <f t="shared" si="2"/>
        <v>#DIV/0!</v>
      </c>
      <c r="J29" s="87" t="e">
        <f t="shared" si="2"/>
        <v>#DIV/0!</v>
      </c>
      <c r="K29" s="87" t="e">
        <f t="shared" si="2"/>
        <v>#DIV/0!</v>
      </c>
      <c r="L29" s="87" t="e">
        <f t="shared" si="2"/>
        <v>#DIV/0!</v>
      </c>
      <c r="M29" s="88" t="e">
        <f t="shared" si="2"/>
        <v>#DIV/0!</v>
      </c>
      <c r="O29" s="121" t="str">
        <f t="shared" si="3"/>
        <v>נהריה</v>
      </c>
      <c r="P29" s="121" t="str">
        <f t="shared" si="1"/>
        <v>חוף הכרמל</v>
      </c>
      <c r="S29" s="120">
        <v>24</v>
      </c>
      <c r="T29" s="120" t="s">
        <v>173</v>
      </c>
    </row>
    <row r="30" spans="1:20" x14ac:dyDescent="0.3">
      <c r="A30" s="61">
        <v>1</v>
      </c>
      <c r="B30" s="61">
        <v>25</v>
      </c>
      <c r="C30" s="97"/>
      <c r="D30" s="79"/>
      <c r="E30" s="79"/>
      <c r="F30" s="79"/>
      <c r="G30" s="94"/>
      <c r="I30" s="86" t="e">
        <f t="shared" si="2"/>
        <v>#DIV/0!</v>
      </c>
      <c r="J30" s="87" t="e">
        <f t="shared" si="2"/>
        <v>#DIV/0!</v>
      </c>
      <c r="K30" s="87" t="e">
        <f t="shared" si="2"/>
        <v>#DIV/0!</v>
      </c>
      <c r="L30" s="87" t="e">
        <f t="shared" si="2"/>
        <v>#DIV/0!</v>
      </c>
      <c r="M30" s="88" t="e">
        <f t="shared" si="2"/>
        <v>#DIV/0!</v>
      </c>
      <c r="O30" s="121" t="str">
        <f t="shared" si="3"/>
        <v>נהריה</v>
      </c>
      <c r="P30" s="121" t="str">
        <f t="shared" si="1"/>
        <v>זכרון יעקב</v>
      </c>
      <c r="S30" s="120">
        <v>25</v>
      </c>
      <c r="T30" s="120" t="s">
        <v>174</v>
      </c>
    </row>
    <row r="31" spans="1:20" x14ac:dyDescent="0.3">
      <c r="A31" s="61">
        <v>1</v>
      </c>
      <c r="B31" s="61">
        <v>30</v>
      </c>
      <c r="C31" s="97"/>
      <c r="D31" s="79"/>
      <c r="E31" s="79"/>
      <c r="F31" s="79"/>
      <c r="G31" s="94"/>
      <c r="I31" s="86" t="e">
        <f t="shared" si="2"/>
        <v>#DIV/0!</v>
      </c>
      <c r="J31" s="87" t="e">
        <f t="shared" si="2"/>
        <v>#DIV/0!</v>
      </c>
      <c r="K31" s="87" t="e">
        <f t="shared" si="2"/>
        <v>#DIV/0!</v>
      </c>
      <c r="L31" s="87" t="e">
        <f t="shared" si="2"/>
        <v>#DIV/0!</v>
      </c>
      <c r="M31" s="88" t="e">
        <f t="shared" si="2"/>
        <v>#DIV/0!</v>
      </c>
      <c r="O31" s="121" t="str">
        <f t="shared" si="3"/>
        <v>נהריה</v>
      </c>
      <c r="P31" s="121" t="str">
        <f t="shared" si="1"/>
        <v>סכנין</v>
      </c>
      <c r="S31" s="120">
        <v>30</v>
      </c>
      <c r="T31" s="120" t="s">
        <v>175</v>
      </c>
    </row>
    <row r="32" spans="1:20" x14ac:dyDescent="0.3">
      <c r="A32" s="61">
        <v>2</v>
      </c>
      <c r="B32" s="61">
        <v>1</v>
      </c>
      <c r="C32" s="97"/>
      <c r="D32" s="79"/>
      <c r="E32" s="79"/>
      <c r="F32" s="79"/>
      <c r="G32" s="94"/>
      <c r="I32" s="86" t="e">
        <f t="shared" si="2"/>
        <v>#DIV/0!</v>
      </c>
      <c r="J32" s="87" t="e">
        <f t="shared" si="2"/>
        <v>#DIV/0!</v>
      </c>
      <c r="K32" s="87" t="e">
        <f t="shared" si="2"/>
        <v>#DIV/0!</v>
      </c>
      <c r="L32" s="87" t="e">
        <f t="shared" si="2"/>
        <v>#DIV/0!</v>
      </c>
      <c r="M32" s="88" t="e">
        <f t="shared" si="2"/>
        <v>#DIV/0!</v>
      </c>
      <c r="O32" s="121" t="str">
        <f t="shared" si="3"/>
        <v>עכו</v>
      </c>
      <c r="P32" s="121" t="str">
        <f t="shared" si="1"/>
        <v>נהריה</v>
      </c>
    </row>
    <row r="33" spans="1:16" x14ac:dyDescent="0.3">
      <c r="A33" s="61">
        <v>2</v>
      </c>
      <c r="B33" s="61">
        <v>2</v>
      </c>
      <c r="C33" s="97"/>
      <c r="D33" s="79"/>
      <c r="E33" s="79"/>
      <c r="F33" s="79"/>
      <c r="G33" s="94"/>
      <c r="I33" s="86" t="e">
        <f t="shared" si="2"/>
        <v>#DIV/0!</v>
      </c>
      <c r="J33" s="87" t="e">
        <f t="shared" si="2"/>
        <v>#DIV/0!</v>
      </c>
      <c r="K33" s="87" t="e">
        <f t="shared" si="2"/>
        <v>#DIV/0!</v>
      </c>
      <c r="L33" s="87" t="e">
        <f t="shared" si="2"/>
        <v>#DIV/0!</v>
      </c>
      <c r="M33" s="88" t="e">
        <f t="shared" si="2"/>
        <v>#DIV/0!</v>
      </c>
      <c r="O33" s="121" t="str">
        <f t="shared" si="3"/>
        <v>עכו</v>
      </c>
      <c r="P33" s="121" t="str">
        <f t="shared" si="1"/>
        <v>עכו</v>
      </c>
    </row>
    <row r="34" spans="1:16" x14ac:dyDescent="0.3">
      <c r="A34" s="61">
        <v>2</v>
      </c>
      <c r="B34" s="61">
        <v>3</v>
      </c>
      <c r="C34" s="97"/>
      <c r="D34" s="79"/>
      <c r="E34" s="79"/>
      <c r="F34" s="79"/>
      <c r="G34" s="94"/>
      <c r="I34" s="86" t="e">
        <f t="shared" si="2"/>
        <v>#DIV/0!</v>
      </c>
      <c r="J34" s="87" t="e">
        <f t="shared" si="2"/>
        <v>#DIV/0!</v>
      </c>
      <c r="K34" s="87" t="e">
        <f t="shared" si="2"/>
        <v>#DIV/0!</v>
      </c>
      <c r="L34" s="87" t="e">
        <f t="shared" si="2"/>
        <v>#DIV/0!</v>
      </c>
      <c r="M34" s="88" t="e">
        <f t="shared" si="2"/>
        <v>#DIV/0!</v>
      </c>
      <c r="O34" s="121" t="str">
        <f t="shared" si="3"/>
        <v>עכו</v>
      </c>
      <c r="P34" s="121" t="str">
        <f t="shared" si="1"/>
        <v>כרמיאל</v>
      </c>
    </row>
    <row r="35" spans="1:16" x14ac:dyDescent="0.3">
      <c r="A35" s="61">
        <v>2</v>
      </c>
      <c r="B35" s="61">
        <v>4</v>
      </c>
      <c r="C35" s="97"/>
      <c r="D35" s="79"/>
      <c r="E35" s="79"/>
      <c r="F35" s="79"/>
      <c r="G35" s="94"/>
      <c r="I35" s="86" t="e">
        <f t="shared" si="2"/>
        <v>#DIV/0!</v>
      </c>
      <c r="J35" s="87" t="e">
        <f t="shared" si="2"/>
        <v>#DIV/0!</v>
      </c>
      <c r="K35" s="87" t="e">
        <f t="shared" si="2"/>
        <v>#DIV/0!</v>
      </c>
      <c r="L35" s="87" t="e">
        <f t="shared" si="2"/>
        <v>#DIV/0!</v>
      </c>
      <c r="M35" s="88" t="e">
        <f t="shared" si="2"/>
        <v>#DIV/0!</v>
      </c>
      <c r="O35" s="121" t="str">
        <f t="shared" si="3"/>
        <v>עכו</v>
      </c>
      <c r="P35" s="121" t="str">
        <f t="shared" si="1"/>
        <v>שפרעם</v>
      </c>
    </row>
    <row r="36" spans="1:16" x14ac:dyDescent="0.3">
      <c r="A36" s="61">
        <v>2</v>
      </c>
      <c r="B36" s="61">
        <v>5</v>
      </c>
      <c r="C36" s="97"/>
      <c r="D36" s="79"/>
      <c r="E36" s="79"/>
      <c r="F36" s="79"/>
      <c r="G36" s="94"/>
      <c r="I36" s="86" t="e">
        <f t="shared" si="2"/>
        <v>#DIV/0!</v>
      </c>
      <c r="J36" s="87" t="e">
        <f t="shared" si="2"/>
        <v>#DIV/0!</v>
      </c>
      <c r="K36" s="87" t="e">
        <f t="shared" si="2"/>
        <v>#DIV/0!</v>
      </c>
      <c r="L36" s="87" t="e">
        <f t="shared" si="2"/>
        <v>#DIV/0!</v>
      </c>
      <c r="M36" s="88" t="e">
        <f t="shared" si="2"/>
        <v>#DIV/0!</v>
      </c>
      <c r="O36" s="121" t="str">
        <f t="shared" si="3"/>
        <v>עכו</v>
      </c>
      <c r="P36" s="121" t="str">
        <f t="shared" si="1"/>
        <v>קרית ים</v>
      </c>
    </row>
    <row r="37" spans="1:16" x14ac:dyDescent="0.3">
      <c r="A37" s="61">
        <v>2</v>
      </c>
      <c r="B37" s="61">
        <v>6</v>
      </c>
      <c r="C37" s="97"/>
      <c r="D37" s="79"/>
      <c r="E37" s="79"/>
      <c r="F37" s="79"/>
      <c r="G37" s="94"/>
      <c r="I37" s="86" t="e">
        <f t="shared" si="2"/>
        <v>#DIV/0!</v>
      </c>
      <c r="J37" s="87" t="e">
        <f t="shared" si="2"/>
        <v>#DIV/0!</v>
      </c>
      <c r="K37" s="87" t="e">
        <f t="shared" si="2"/>
        <v>#DIV/0!</v>
      </c>
      <c r="L37" s="87" t="e">
        <f t="shared" si="2"/>
        <v>#DIV/0!</v>
      </c>
      <c r="M37" s="88" t="e">
        <f t="shared" si="2"/>
        <v>#DIV/0!</v>
      </c>
      <c r="O37" s="121" t="str">
        <f t="shared" si="3"/>
        <v>עכו</v>
      </c>
      <c r="P37" s="121" t="str">
        <f t="shared" si="1"/>
        <v>קרית מוצקין</v>
      </c>
    </row>
    <row r="38" spans="1:16" x14ac:dyDescent="0.3">
      <c r="A38" s="61">
        <v>2</v>
      </c>
      <c r="B38" s="61">
        <v>7</v>
      </c>
      <c r="C38" s="97"/>
      <c r="D38" s="79"/>
      <c r="E38" s="79"/>
      <c r="F38" s="79"/>
      <c r="G38" s="94"/>
      <c r="I38" s="86" t="e">
        <f t="shared" si="2"/>
        <v>#DIV/0!</v>
      </c>
      <c r="J38" s="87" t="e">
        <f t="shared" si="2"/>
        <v>#DIV/0!</v>
      </c>
      <c r="K38" s="87" t="e">
        <f t="shared" si="2"/>
        <v>#DIV/0!</v>
      </c>
      <c r="L38" s="87" t="e">
        <f t="shared" si="2"/>
        <v>#DIV/0!</v>
      </c>
      <c r="M38" s="88" t="e">
        <f t="shared" si="2"/>
        <v>#DIV/0!</v>
      </c>
      <c r="O38" s="121" t="str">
        <f t="shared" si="3"/>
        <v>עכו</v>
      </c>
      <c r="P38" s="121" t="str">
        <f t="shared" si="1"/>
        <v>קרית ביאליק</v>
      </c>
    </row>
    <row r="39" spans="1:16" x14ac:dyDescent="0.3">
      <c r="A39" s="61">
        <v>2</v>
      </c>
      <c r="B39" s="61">
        <v>8</v>
      </c>
      <c r="C39" s="97"/>
      <c r="D39" s="79"/>
      <c r="E39" s="79"/>
      <c r="F39" s="79"/>
      <c r="G39" s="94"/>
      <c r="I39" s="86" t="e">
        <f t="shared" si="2"/>
        <v>#DIV/0!</v>
      </c>
      <c r="J39" s="87" t="e">
        <f t="shared" si="2"/>
        <v>#DIV/0!</v>
      </c>
      <c r="K39" s="87" t="e">
        <f t="shared" si="2"/>
        <v>#DIV/0!</v>
      </c>
      <c r="L39" s="87" t="e">
        <f t="shared" si="2"/>
        <v>#DIV/0!</v>
      </c>
      <c r="M39" s="88" t="e">
        <f t="shared" si="2"/>
        <v>#DIV/0!</v>
      </c>
      <c r="O39" s="121" t="str">
        <f t="shared" si="3"/>
        <v>עכו</v>
      </c>
      <c r="P39" s="121" t="str">
        <f t="shared" si="1"/>
        <v>קרית חיים</v>
      </c>
    </row>
    <row r="40" spans="1:16" x14ac:dyDescent="0.3">
      <c r="A40" s="61">
        <v>2</v>
      </c>
      <c r="B40" s="61">
        <v>9</v>
      </c>
      <c r="C40" s="97"/>
      <c r="D40" s="79"/>
      <c r="E40" s="79"/>
      <c r="F40" s="79"/>
      <c r="G40" s="94"/>
      <c r="I40" s="86" t="e">
        <f t="shared" si="2"/>
        <v>#DIV/0!</v>
      </c>
      <c r="J40" s="87" t="e">
        <f t="shared" si="2"/>
        <v>#DIV/0!</v>
      </c>
      <c r="K40" s="87" t="e">
        <f t="shared" si="2"/>
        <v>#DIV/0!</v>
      </c>
      <c r="L40" s="87" t="e">
        <f t="shared" si="2"/>
        <v>#DIV/0!</v>
      </c>
      <c r="M40" s="88" t="e">
        <f t="shared" si="2"/>
        <v>#DIV/0!</v>
      </c>
      <c r="O40" s="121" t="str">
        <f t="shared" si="3"/>
        <v>עכו</v>
      </c>
      <c r="P40" s="121" t="str">
        <f t="shared" si="1"/>
        <v>קרית אתא</v>
      </c>
    </row>
    <row r="41" spans="1:16" x14ac:dyDescent="0.3">
      <c r="A41" s="61">
        <v>2</v>
      </c>
      <c r="B41" s="61">
        <v>10</v>
      </c>
      <c r="C41" s="97"/>
      <c r="D41" s="79"/>
      <c r="E41" s="79"/>
      <c r="F41" s="79"/>
      <c r="G41" s="94"/>
      <c r="I41" s="86" t="e">
        <f t="shared" si="2"/>
        <v>#DIV/0!</v>
      </c>
      <c r="J41" s="87" t="e">
        <f t="shared" si="2"/>
        <v>#DIV/0!</v>
      </c>
      <c r="K41" s="87" t="e">
        <f t="shared" si="2"/>
        <v>#DIV/0!</v>
      </c>
      <c r="L41" s="87" t="e">
        <f t="shared" si="2"/>
        <v>#DIV/0!</v>
      </c>
      <c r="M41" s="88" t="e">
        <f t="shared" si="2"/>
        <v>#DIV/0!</v>
      </c>
      <c r="O41" s="121" t="str">
        <f t="shared" si="3"/>
        <v>עכו</v>
      </c>
      <c r="P41" s="121" t="str">
        <f t="shared" si="1"/>
        <v>כפר מנדא</v>
      </c>
    </row>
    <row r="42" spans="1:16" x14ac:dyDescent="0.3">
      <c r="A42" s="61">
        <v>2</v>
      </c>
      <c r="B42" s="61">
        <v>11</v>
      </c>
      <c r="C42" s="97"/>
      <c r="D42" s="79"/>
      <c r="E42" s="79"/>
      <c r="F42" s="79"/>
      <c r="G42" s="94"/>
      <c r="I42" s="86" t="e">
        <f t="shared" si="2"/>
        <v>#DIV/0!</v>
      </c>
      <c r="J42" s="87" t="e">
        <f t="shared" si="2"/>
        <v>#DIV/0!</v>
      </c>
      <c r="K42" s="87" t="e">
        <f t="shared" si="2"/>
        <v>#DIV/0!</v>
      </c>
      <c r="L42" s="87" t="e">
        <f t="shared" si="2"/>
        <v>#DIV/0!</v>
      </c>
      <c r="M42" s="88" t="e">
        <f t="shared" si="2"/>
        <v>#DIV/0!</v>
      </c>
      <c r="O42" s="121" t="str">
        <f t="shared" si="3"/>
        <v>עכו</v>
      </c>
      <c r="P42" s="121" t="str">
        <f t="shared" si="1"/>
        <v>זבולון</v>
      </c>
    </row>
    <row r="43" spans="1:16" x14ac:dyDescent="0.3">
      <c r="A43" s="61">
        <v>2</v>
      </c>
      <c r="B43" s="61">
        <v>12</v>
      </c>
      <c r="C43" s="97"/>
      <c r="D43" s="79"/>
      <c r="E43" s="79"/>
      <c r="F43" s="79"/>
      <c r="G43" s="94"/>
      <c r="I43" s="86" t="e">
        <f t="shared" si="2"/>
        <v>#DIV/0!</v>
      </c>
      <c r="J43" s="87" t="e">
        <f t="shared" si="2"/>
        <v>#DIV/0!</v>
      </c>
      <c r="K43" s="87" t="e">
        <f t="shared" si="2"/>
        <v>#DIV/0!</v>
      </c>
      <c r="L43" s="87" t="e">
        <f t="shared" si="2"/>
        <v>#DIV/0!</v>
      </c>
      <c r="M43" s="88" t="e">
        <f t="shared" si="2"/>
        <v>#DIV/0!</v>
      </c>
      <c r="O43" s="121" t="str">
        <f t="shared" si="3"/>
        <v>עכו</v>
      </c>
      <c r="P43" s="121" t="str">
        <f t="shared" si="1"/>
        <v>חיפה מפרץ</v>
      </c>
    </row>
    <row r="44" spans="1:16" x14ac:dyDescent="0.3">
      <c r="A44" s="61">
        <v>2</v>
      </c>
      <c r="B44" s="61">
        <v>13</v>
      </c>
      <c r="C44" s="97"/>
      <c r="D44" s="79"/>
      <c r="E44" s="79"/>
      <c r="F44" s="79"/>
      <c r="G44" s="94"/>
      <c r="I44" s="86" t="e">
        <f t="shared" si="2"/>
        <v>#DIV/0!</v>
      </c>
      <c r="J44" s="87" t="e">
        <f t="shared" si="2"/>
        <v>#DIV/0!</v>
      </c>
      <c r="K44" s="87" t="e">
        <f t="shared" si="2"/>
        <v>#DIV/0!</v>
      </c>
      <c r="L44" s="87" t="e">
        <f t="shared" si="2"/>
        <v>#DIV/0!</v>
      </c>
      <c r="M44" s="88" t="e">
        <f t="shared" si="2"/>
        <v>#DIV/0!</v>
      </c>
      <c r="O44" s="121" t="str">
        <f t="shared" si="3"/>
        <v>עכו</v>
      </c>
      <c r="P44" s="121" t="str">
        <f t="shared" si="1"/>
        <v>חיפה עיר תחתית</v>
      </c>
    </row>
    <row r="45" spans="1:16" x14ac:dyDescent="0.3">
      <c r="A45" s="61">
        <v>2</v>
      </c>
      <c r="B45" s="61">
        <v>14</v>
      </c>
      <c r="C45" s="97"/>
      <c r="D45" s="79"/>
      <c r="E45" s="79"/>
      <c r="F45" s="79"/>
      <c r="G45" s="94"/>
      <c r="I45" s="86" t="e">
        <f t="shared" si="2"/>
        <v>#DIV/0!</v>
      </c>
      <c r="J45" s="87" t="e">
        <f t="shared" si="2"/>
        <v>#DIV/0!</v>
      </c>
      <c r="K45" s="87" t="e">
        <f t="shared" si="2"/>
        <v>#DIV/0!</v>
      </c>
      <c r="L45" s="87" t="e">
        <f t="shared" si="2"/>
        <v>#DIV/0!</v>
      </c>
      <c r="M45" s="88" t="e">
        <f t="shared" si="2"/>
        <v>#DIV/0!</v>
      </c>
      <c r="O45" s="121" t="str">
        <f t="shared" si="3"/>
        <v>עכו</v>
      </c>
      <c r="P45" s="121" t="str">
        <f t="shared" si="1"/>
        <v>חיפה הדר-כרמל</v>
      </c>
    </row>
    <row r="46" spans="1:16" x14ac:dyDescent="0.3">
      <c r="A46" s="61">
        <v>2</v>
      </c>
      <c r="B46" s="61">
        <v>15</v>
      </c>
      <c r="C46" s="97"/>
      <c r="D46" s="79"/>
      <c r="E46" s="79"/>
      <c r="F46" s="79"/>
      <c r="G46" s="94"/>
      <c r="I46" s="86" t="e">
        <f t="shared" si="2"/>
        <v>#DIV/0!</v>
      </c>
      <c r="J46" s="87" t="e">
        <f t="shared" si="2"/>
        <v>#DIV/0!</v>
      </c>
      <c r="K46" s="87" t="e">
        <f t="shared" si="2"/>
        <v>#DIV/0!</v>
      </c>
      <c r="L46" s="87" t="e">
        <f t="shared" si="2"/>
        <v>#DIV/0!</v>
      </c>
      <c r="M46" s="88" t="e">
        <f t="shared" si="2"/>
        <v>#DIV/0!</v>
      </c>
      <c r="O46" s="121" t="str">
        <f t="shared" si="3"/>
        <v>עכו</v>
      </c>
      <c r="P46" s="121" t="str">
        <f t="shared" si="1"/>
        <v>חיפה מערב</v>
      </c>
    </row>
    <row r="47" spans="1:16" x14ac:dyDescent="0.3">
      <c r="A47" s="61">
        <v>2</v>
      </c>
      <c r="B47" s="61">
        <v>16</v>
      </c>
      <c r="C47" s="97"/>
      <c r="D47" s="79"/>
      <c r="E47" s="79"/>
      <c r="F47" s="79"/>
      <c r="G47" s="94"/>
      <c r="I47" s="86" t="e">
        <f t="shared" si="2"/>
        <v>#DIV/0!</v>
      </c>
      <c r="J47" s="87" t="e">
        <f t="shared" si="2"/>
        <v>#DIV/0!</v>
      </c>
      <c r="K47" s="87" t="e">
        <f t="shared" si="2"/>
        <v>#DIV/0!</v>
      </c>
      <c r="L47" s="87" t="e">
        <f t="shared" si="2"/>
        <v>#DIV/0!</v>
      </c>
      <c r="M47" s="88" t="e">
        <f t="shared" si="2"/>
        <v>#DIV/0!</v>
      </c>
      <c r="O47" s="121" t="str">
        <f t="shared" si="3"/>
        <v>עכו</v>
      </c>
      <c r="P47" s="121" t="str">
        <f t="shared" si="1"/>
        <v>חיפה כרמל</v>
      </c>
    </row>
    <row r="48" spans="1:16" x14ac:dyDescent="0.3">
      <c r="A48" s="61">
        <v>2</v>
      </c>
      <c r="B48" s="61">
        <v>17</v>
      </c>
      <c r="C48" s="97"/>
      <c r="D48" s="79"/>
      <c r="E48" s="79"/>
      <c r="F48" s="79"/>
      <c r="G48" s="94"/>
      <c r="I48" s="86" t="e">
        <f t="shared" si="2"/>
        <v>#DIV/0!</v>
      </c>
      <c r="J48" s="87" t="e">
        <f t="shared" si="2"/>
        <v>#DIV/0!</v>
      </c>
      <c r="K48" s="87" t="e">
        <f t="shared" si="2"/>
        <v>#DIV/0!</v>
      </c>
      <c r="L48" s="87" t="e">
        <f t="shared" si="2"/>
        <v>#DIV/0!</v>
      </c>
      <c r="M48" s="88" t="e">
        <f t="shared" si="2"/>
        <v>#DIV/0!</v>
      </c>
      <c r="O48" s="121" t="str">
        <f t="shared" si="3"/>
        <v>עכו</v>
      </c>
      <c r="P48" s="121" t="str">
        <f t="shared" si="1"/>
        <v>חיפה נווה שאנן</v>
      </c>
    </row>
    <row r="49" spans="1:16" x14ac:dyDescent="0.3">
      <c r="A49" s="61">
        <v>2</v>
      </c>
      <c r="B49" s="61">
        <v>18</v>
      </c>
      <c r="C49" s="97"/>
      <c r="D49" s="79"/>
      <c r="E49" s="79"/>
      <c r="F49" s="79"/>
      <c r="G49" s="94"/>
      <c r="I49" s="86" t="e">
        <f t="shared" si="2"/>
        <v>#DIV/0!</v>
      </c>
      <c r="J49" s="87" t="e">
        <f t="shared" si="2"/>
        <v>#DIV/0!</v>
      </c>
      <c r="K49" s="87" t="e">
        <f t="shared" si="2"/>
        <v>#DIV/0!</v>
      </c>
      <c r="L49" s="87" t="e">
        <f t="shared" si="2"/>
        <v>#DIV/0!</v>
      </c>
      <c r="M49" s="88" t="e">
        <f t="shared" si="2"/>
        <v>#DIV/0!</v>
      </c>
      <c r="O49" s="121" t="str">
        <f t="shared" si="3"/>
        <v>עכו</v>
      </c>
      <c r="P49" s="121" t="str">
        <f t="shared" si="1"/>
        <v>נשר</v>
      </c>
    </row>
    <row r="50" spans="1:16" x14ac:dyDescent="0.3">
      <c r="A50" s="61">
        <v>2</v>
      </c>
      <c r="B50" s="61">
        <v>19</v>
      </c>
      <c r="C50" s="97"/>
      <c r="D50" s="79"/>
      <c r="E50" s="79"/>
      <c r="F50" s="79"/>
      <c r="G50" s="94"/>
      <c r="I50" s="86" t="e">
        <f t="shared" si="2"/>
        <v>#DIV/0!</v>
      </c>
      <c r="J50" s="87" t="e">
        <f t="shared" si="2"/>
        <v>#DIV/0!</v>
      </c>
      <c r="K50" s="87" t="e">
        <f t="shared" si="2"/>
        <v>#DIV/0!</v>
      </c>
      <c r="L50" s="87" t="e">
        <f t="shared" si="2"/>
        <v>#DIV/0!</v>
      </c>
      <c r="M50" s="88" t="e">
        <f t="shared" si="2"/>
        <v>#DIV/0!</v>
      </c>
      <c r="O50" s="121" t="str">
        <f t="shared" si="3"/>
        <v>עכו</v>
      </c>
      <c r="P50" s="121" t="str">
        <f t="shared" si="1"/>
        <v>נצרת</v>
      </c>
    </row>
    <row r="51" spans="1:16" x14ac:dyDescent="0.3">
      <c r="A51" s="61">
        <v>2</v>
      </c>
      <c r="B51" s="61">
        <v>20</v>
      </c>
      <c r="C51" s="97"/>
      <c r="D51" s="79"/>
      <c r="E51" s="79"/>
      <c r="F51" s="79"/>
      <c r="G51" s="94"/>
      <c r="I51" s="86" t="e">
        <f t="shared" si="2"/>
        <v>#DIV/0!</v>
      </c>
      <c r="J51" s="87" t="e">
        <f t="shared" si="2"/>
        <v>#DIV/0!</v>
      </c>
      <c r="K51" s="87" t="e">
        <f t="shared" si="2"/>
        <v>#DIV/0!</v>
      </c>
      <c r="L51" s="87" t="e">
        <f t="shared" si="2"/>
        <v>#DIV/0!</v>
      </c>
      <c r="M51" s="88" t="e">
        <f t="shared" si="2"/>
        <v>#DIV/0!</v>
      </c>
      <c r="O51" s="121" t="str">
        <f t="shared" si="3"/>
        <v>עכו</v>
      </c>
      <c r="P51" s="121" t="str">
        <f t="shared" si="1"/>
        <v>נצרת-עילית</v>
      </c>
    </row>
    <row r="52" spans="1:16" x14ac:dyDescent="0.3">
      <c r="A52" s="61">
        <v>2</v>
      </c>
      <c r="B52" s="61">
        <v>21</v>
      </c>
      <c r="C52" s="97"/>
      <c r="D52" s="79"/>
      <c r="E52" s="79"/>
      <c r="F52" s="79"/>
      <c r="G52" s="94"/>
      <c r="I52" s="86" t="e">
        <f t="shared" si="2"/>
        <v>#DIV/0!</v>
      </c>
      <c r="J52" s="87" t="e">
        <f t="shared" si="2"/>
        <v>#DIV/0!</v>
      </c>
      <c r="K52" s="87" t="e">
        <f t="shared" si="2"/>
        <v>#DIV/0!</v>
      </c>
      <c r="L52" s="87" t="e">
        <f t="shared" si="2"/>
        <v>#DIV/0!</v>
      </c>
      <c r="M52" s="88" t="e">
        <f t="shared" si="2"/>
        <v>#DIV/0!</v>
      </c>
      <c r="O52" s="121" t="str">
        <f t="shared" si="3"/>
        <v>עכו</v>
      </c>
      <c r="P52" s="121" t="str">
        <f t="shared" si="1"/>
        <v>מגדל העמק</v>
      </c>
    </row>
    <row r="53" spans="1:16" x14ac:dyDescent="0.3">
      <c r="A53" s="61">
        <v>2</v>
      </c>
      <c r="B53" s="61">
        <v>22</v>
      </c>
      <c r="C53" s="97"/>
      <c r="D53" s="79"/>
      <c r="E53" s="79"/>
      <c r="F53" s="79"/>
      <c r="G53" s="94"/>
      <c r="I53" s="86" t="e">
        <f t="shared" si="2"/>
        <v>#DIV/0!</v>
      </c>
      <c r="J53" s="87" t="e">
        <f t="shared" si="2"/>
        <v>#DIV/0!</v>
      </c>
      <c r="K53" s="87" t="e">
        <f t="shared" si="2"/>
        <v>#DIV/0!</v>
      </c>
      <c r="L53" s="87" t="e">
        <f t="shared" si="2"/>
        <v>#DIV/0!</v>
      </c>
      <c r="M53" s="88" t="e">
        <f t="shared" si="2"/>
        <v>#DIV/0!</v>
      </c>
      <c r="O53" s="121" t="str">
        <f t="shared" si="3"/>
        <v>עכו</v>
      </c>
      <c r="P53" s="121" t="str">
        <f t="shared" si="1"/>
        <v>יוקנעם</v>
      </c>
    </row>
    <row r="54" spans="1:16" x14ac:dyDescent="0.3">
      <c r="A54" s="61">
        <v>2</v>
      </c>
      <c r="B54" s="61">
        <v>23</v>
      </c>
      <c r="C54" s="97"/>
      <c r="D54" s="79"/>
      <c r="E54" s="79"/>
      <c r="F54" s="79"/>
      <c r="G54" s="94"/>
      <c r="I54" s="86" t="e">
        <f t="shared" si="2"/>
        <v>#DIV/0!</v>
      </c>
      <c r="J54" s="87" t="e">
        <f t="shared" si="2"/>
        <v>#DIV/0!</v>
      </c>
      <c r="K54" s="87" t="e">
        <f t="shared" si="2"/>
        <v>#DIV/0!</v>
      </c>
      <c r="L54" s="87" t="e">
        <f t="shared" si="2"/>
        <v>#DIV/0!</v>
      </c>
      <c r="M54" s="88" t="e">
        <f t="shared" si="2"/>
        <v>#DIV/0!</v>
      </c>
      <c r="O54" s="121" t="str">
        <f t="shared" si="3"/>
        <v>עכו</v>
      </c>
      <c r="P54" s="121" t="str">
        <f t="shared" si="1"/>
        <v>דלית אל כרמל</v>
      </c>
    </row>
    <row r="55" spans="1:16" x14ac:dyDescent="0.3">
      <c r="A55" s="61">
        <v>2</v>
      </c>
      <c r="B55" s="61">
        <v>24</v>
      </c>
      <c r="C55" s="97"/>
      <c r="D55" s="79"/>
      <c r="E55" s="79"/>
      <c r="F55" s="79"/>
      <c r="G55" s="94"/>
      <c r="I55" s="86" t="e">
        <f t="shared" si="2"/>
        <v>#DIV/0!</v>
      </c>
      <c r="J55" s="87" t="e">
        <f t="shared" si="2"/>
        <v>#DIV/0!</v>
      </c>
      <c r="K55" s="87" t="e">
        <f t="shared" si="2"/>
        <v>#DIV/0!</v>
      </c>
      <c r="L55" s="87" t="e">
        <f t="shared" si="2"/>
        <v>#DIV/0!</v>
      </c>
      <c r="M55" s="88" t="e">
        <f t="shared" si="2"/>
        <v>#DIV/0!</v>
      </c>
      <c r="O55" s="121" t="str">
        <f t="shared" si="3"/>
        <v>עכו</v>
      </c>
      <c r="P55" s="121" t="str">
        <f t="shared" si="1"/>
        <v>חוף הכרמל</v>
      </c>
    </row>
    <row r="56" spans="1:16" x14ac:dyDescent="0.3">
      <c r="A56" s="61">
        <v>2</v>
      </c>
      <c r="B56" s="61">
        <v>25</v>
      </c>
      <c r="C56" s="97"/>
      <c r="D56" s="79"/>
      <c r="E56" s="79"/>
      <c r="F56" s="79"/>
      <c r="G56" s="94"/>
      <c r="I56" s="86" t="e">
        <f t="shared" si="2"/>
        <v>#DIV/0!</v>
      </c>
      <c r="J56" s="87" t="e">
        <f t="shared" si="2"/>
        <v>#DIV/0!</v>
      </c>
      <c r="K56" s="87" t="e">
        <f t="shared" si="2"/>
        <v>#DIV/0!</v>
      </c>
      <c r="L56" s="87" t="e">
        <f t="shared" si="2"/>
        <v>#DIV/0!</v>
      </c>
      <c r="M56" s="88" t="e">
        <f t="shared" si="2"/>
        <v>#DIV/0!</v>
      </c>
      <c r="O56" s="121" t="str">
        <f t="shared" si="3"/>
        <v>עכו</v>
      </c>
      <c r="P56" s="121" t="str">
        <f t="shared" si="1"/>
        <v>זכרון יעקב</v>
      </c>
    </row>
    <row r="57" spans="1:16" x14ac:dyDescent="0.3">
      <c r="A57" s="61">
        <v>2</v>
      </c>
      <c r="B57" s="61">
        <v>30</v>
      </c>
      <c r="C57" s="97"/>
      <c r="D57" s="79"/>
      <c r="E57" s="79"/>
      <c r="F57" s="79"/>
      <c r="G57" s="94"/>
      <c r="I57" s="86" t="e">
        <f t="shared" si="2"/>
        <v>#DIV/0!</v>
      </c>
      <c r="J57" s="87" t="e">
        <f t="shared" si="2"/>
        <v>#DIV/0!</v>
      </c>
      <c r="K57" s="87" t="e">
        <f t="shared" si="2"/>
        <v>#DIV/0!</v>
      </c>
      <c r="L57" s="87" t="e">
        <f t="shared" si="2"/>
        <v>#DIV/0!</v>
      </c>
      <c r="M57" s="88" t="e">
        <f t="shared" si="2"/>
        <v>#DIV/0!</v>
      </c>
      <c r="O57" s="121" t="str">
        <f t="shared" si="3"/>
        <v>עכו</v>
      </c>
      <c r="P57" s="121" t="str">
        <f t="shared" si="1"/>
        <v>סכנין</v>
      </c>
    </row>
    <row r="58" spans="1:16" x14ac:dyDescent="0.3">
      <c r="A58" s="61">
        <v>3</v>
      </c>
      <c r="B58" s="61">
        <v>1</v>
      </c>
      <c r="C58" s="97"/>
      <c r="D58" s="79"/>
      <c r="E58" s="79"/>
      <c r="F58" s="79"/>
      <c r="G58" s="94"/>
      <c r="I58" s="86" t="e">
        <f t="shared" si="2"/>
        <v>#DIV/0!</v>
      </c>
      <c r="J58" s="87" t="e">
        <f t="shared" si="2"/>
        <v>#DIV/0!</v>
      </c>
      <c r="K58" s="87" t="e">
        <f t="shared" si="2"/>
        <v>#DIV/0!</v>
      </c>
      <c r="L58" s="87" t="e">
        <f t="shared" si="2"/>
        <v>#DIV/0!</v>
      </c>
      <c r="M58" s="88" t="e">
        <f t="shared" si="2"/>
        <v>#DIV/0!</v>
      </c>
      <c r="O58" s="121" t="str">
        <f t="shared" si="3"/>
        <v>כרמיאל</v>
      </c>
      <c r="P58" s="121" t="str">
        <f t="shared" si="1"/>
        <v>נהריה</v>
      </c>
    </row>
    <row r="59" spans="1:16" x14ac:dyDescent="0.3">
      <c r="A59" s="61">
        <v>3</v>
      </c>
      <c r="B59" s="61">
        <v>2</v>
      </c>
      <c r="C59" s="97"/>
      <c r="D59" s="79"/>
      <c r="E59" s="79"/>
      <c r="F59" s="79"/>
      <c r="G59" s="94"/>
      <c r="I59" s="86" t="e">
        <f t="shared" si="2"/>
        <v>#DIV/0!</v>
      </c>
      <c r="J59" s="87" t="e">
        <f t="shared" si="2"/>
        <v>#DIV/0!</v>
      </c>
      <c r="K59" s="87" t="e">
        <f t="shared" si="2"/>
        <v>#DIV/0!</v>
      </c>
      <c r="L59" s="87" t="e">
        <f t="shared" si="2"/>
        <v>#DIV/0!</v>
      </c>
      <c r="M59" s="88" t="e">
        <f t="shared" si="2"/>
        <v>#DIV/0!</v>
      </c>
      <c r="O59" s="121" t="str">
        <f t="shared" si="3"/>
        <v>כרמיאל</v>
      </c>
      <c r="P59" s="121" t="str">
        <f t="shared" si="1"/>
        <v>עכו</v>
      </c>
    </row>
    <row r="60" spans="1:16" x14ac:dyDescent="0.3">
      <c r="A60" s="61">
        <v>3</v>
      </c>
      <c r="B60" s="61">
        <v>3</v>
      </c>
      <c r="C60" s="97"/>
      <c r="D60" s="79"/>
      <c r="E60" s="79"/>
      <c r="F60" s="79"/>
      <c r="G60" s="94"/>
      <c r="I60" s="86" t="e">
        <f t="shared" si="2"/>
        <v>#DIV/0!</v>
      </c>
      <c r="J60" s="87" t="e">
        <f t="shared" si="2"/>
        <v>#DIV/0!</v>
      </c>
      <c r="K60" s="87" t="e">
        <f t="shared" si="2"/>
        <v>#DIV/0!</v>
      </c>
      <c r="L60" s="87" t="e">
        <f t="shared" si="2"/>
        <v>#DIV/0!</v>
      </c>
      <c r="M60" s="88" t="e">
        <f t="shared" si="2"/>
        <v>#DIV/0!</v>
      </c>
      <c r="O60" s="121" t="str">
        <f t="shared" si="3"/>
        <v>כרמיאל</v>
      </c>
      <c r="P60" s="121" t="str">
        <f t="shared" si="1"/>
        <v>כרמיאל</v>
      </c>
    </row>
    <row r="61" spans="1:16" x14ac:dyDescent="0.3">
      <c r="A61" s="61">
        <v>3</v>
      </c>
      <c r="B61" s="61">
        <v>4</v>
      </c>
      <c r="C61" s="97"/>
      <c r="D61" s="79"/>
      <c r="E61" s="79"/>
      <c r="F61" s="79"/>
      <c r="G61" s="94"/>
      <c r="I61" s="86" t="e">
        <f t="shared" si="2"/>
        <v>#DIV/0!</v>
      </c>
      <c r="J61" s="87" t="e">
        <f t="shared" si="2"/>
        <v>#DIV/0!</v>
      </c>
      <c r="K61" s="87" t="e">
        <f t="shared" si="2"/>
        <v>#DIV/0!</v>
      </c>
      <c r="L61" s="87" t="e">
        <f t="shared" si="2"/>
        <v>#DIV/0!</v>
      </c>
      <c r="M61" s="88" t="e">
        <f t="shared" si="2"/>
        <v>#DIV/0!</v>
      </c>
      <c r="O61" s="121" t="str">
        <f t="shared" si="3"/>
        <v>כרמיאל</v>
      </c>
      <c r="P61" s="121" t="str">
        <f t="shared" si="1"/>
        <v>שפרעם</v>
      </c>
    </row>
    <row r="62" spans="1:16" x14ac:dyDescent="0.3">
      <c r="A62" s="61">
        <v>3</v>
      </c>
      <c r="B62" s="61">
        <v>5</v>
      </c>
      <c r="C62" s="97"/>
      <c r="D62" s="79"/>
      <c r="E62" s="79"/>
      <c r="F62" s="79"/>
      <c r="G62" s="94"/>
      <c r="I62" s="86" t="e">
        <f>C62/SUM($C62:$G62)</f>
        <v>#DIV/0!</v>
      </c>
      <c r="J62" s="87" t="e">
        <f t="shared" si="2"/>
        <v>#DIV/0!</v>
      </c>
      <c r="K62" s="87" t="e">
        <f t="shared" si="2"/>
        <v>#DIV/0!</v>
      </c>
      <c r="L62" s="87" t="e">
        <f t="shared" si="2"/>
        <v>#DIV/0!</v>
      </c>
      <c r="M62" s="88" t="e">
        <f t="shared" si="2"/>
        <v>#DIV/0!</v>
      </c>
      <c r="O62" s="121" t="str">
        <f t="shared" si="3"/>
        <v>כרמיאל</v>
      </c>
      <c r="P62" s="121" t="str">
        <f t="shared" si="1"/>
        <v>קרית ים</v>
      </c>
    </row>
    <row r="63" spans="1:16" x14ac:dyDescent="0.3">
      <c r="A63" s="61">
        <v>3</v>
      </c>
      <c r="B63" s="61">
        <v>6</v>
      </c>
      <c r="C63" s="97"/>
      <c r="D63" s="79"/>
      <c r="E63" s="79"/>
      <c r="F63" s="79"/>
      <c r="G63" s="94"/>
      <c r="I63" s="86" t="e">
        <f t="shared" si="2"/>
        <v>#DIV/0!</v>
      </c>
      <c r="J63" s="87" t="e">
        <f t="shared" si="2"/>
        <v>#DIV/0!</v>
      </c>
      <c r="K63" s="87" t="e">
        <f t="shared" si="2"/>
        <v>#DIV/0!</v>
      </c>
      <c r="L63" s="87" t="e">
        <f t="shared" si="2"/>
        <v>#DIV/0!</v>
      </c>
      <c r="M63" s="88" t="e">
        <f t="shared" si="2"/>
        <v>#DIV/0!</v>
      </c>
      <c r="O63" s="121" t="str">
        <f t="shared" si="3"/>
        <v>כרמיאל</v>
      </c>
      <c r="P63" s="121" t="str">
        <f t="shared" si="1"/>
        <v>קרית מוצקין</v>
      </c>
    </row>
    <row r="64" spans="1:16" x14ac:dyDescent="0.3">
      <c r="A64" s="61">
        <v>3</v>
      </c>
      <c r="B64" s="61">
        <v>7</v>
      </c>
      <c r="C64" s="97"/>
      <c r="D64" s="79"/>
      <c r="E64" s="79"/>
      <c r="F64" s="79"/>
      <c r="G64" s="94"/>
      <c r="I64" s="86" t="e">
        <f t="shared" si="2"/>
        <v>#DIV/0!</v>
      </c>
      <c r="J64" s="87" t="e">
        <f t="shared" si="2"/>
        <v>#DIV/0!</v>
      </c>
      <c r="K64" s="87" t="e">
        <f t="shared" si="2"/>
        <v>#DIV/0!</v>
      </c>
      <c r="L64" s="87" t="e">
        <f t="shared" si="2"/>
        <v>#DIV/0!</v>
      </c>
      <c r="M64" s="88" t="e">
        <f t="shared" si="2"/>
        <v>#DIV/0!</v>
      </c>
      <c r="O64" s="121" t="str">
        <f t="shared" si="3"/>
        <v>כרמיאל</v>
      </c>
      <c r="P64" s="121" t="str">
        <f t="shared" si="1"/>
        <v>קרית ביאליק</v>
      </c>
    </row>
    <row r="65" spans="1:16" x14ac:dyDescent="0.3">
      <c r="A65" s="61">
        <v>3</v>
      </c>
      <c r="B65" s="61">
        <v>8</v>
      </c>
      <c r="C65" s="97"/>
      <c r="D65" s="79"/>
      <c r="E65" s="79"/>
      <c r="F65" s="79"/>
      <c r="G65" s="94"/>
      <c r="I65" s="86" t="e">
        <f t="shared" si="2"/>
        <v>#DIV/0!</v>
      </c>
      <c r="J65" s="87" t="e">
        <f t="shared" si="2"/>
        <v>#DIV/0!</v>
      </c>
      <c r="K65" s="87" t="e">
        <f t="shared" si="2"/>
        <v>#DIV/0!</v>
      </c>
      <c r="L65" s="87" t="e">
        <f t="shared" si="2"/>
        <v>#DIV/0!</v>
      </c>
      <c r="M65" s="88" t="e">
        <f t="shared" si="2"/>
        <v>#DIV/0!</v>
      </c>
      <c r="O65" s="121" t="str">
        <f t="shared" si="3"/>
        <v>כרמיאל</v>
      </c>
      <c r="P65" s="121" t="str">
        <f t="shared" si="1"/>
        <v>קרית חיים</v>
      </c>
    </row>
    <row r="66" spans="1:16" x14ac:dyDescent="0.3">
      <c r="A66" s="61">
        <v>3</v>
      </c>
      <c r="B66" s="61">
        <v>9</v>
      </c>
      <c r="C66" s="97"/>
      <c r="D66" s="79"/>
      <c r="E66" s="79"/>
      <c r="F66" s="79"/>
      <c r="G66" s="94"/>
      <c r="I66" s="86" t="e">
        <f t="shared" si="2"/>
        <v>#DIV/0!</v>
      </c>
      <c r="J66" s="87" t="e">
        <f t="shared" si="2"/>
        <v>#DIV/0!</v>
      </c>
      <c r="K66" s="87" t="e">
        <f t="shared" si="2"/>
        <v>#DIV/0!</v>
      </c>
      <c r="L66" s="87" t="e">
        <f t="shared" si="2"/>
        <v>#DIV/0!</v>
      </c>
      <c r="M66" s="88" t="e">
        <f t="shared" si="2"/>
        <v>#DIV/0!</v>
      </c>
      <c r="O66" s="121" t="str">
        <f t="shared" si="3"/>
        <v>כרמיאל</v>
      </c>
      <c r="P66" s="121" t="str">
        <f t="shared" si="1"/>
        <v>קרית אתא</v>
      </c>
    </row>
    <row r="67" spans="1:16" x14ac:dyDescent="0.3">
      <c r="A67" s="61">
        <v>3</v>
      </c>
      <c r="B67" s="61">
        <v>10</v>
      </c>
      <c r="C67" s="97"/>
      <c r="D67" s="79"/>
      <c r="E67" s="79"/>
      <c r="F67" s="79"/>
      <c r="G67" s="94"/>
      <c r="I67" s="86" t="e">
        <f t="shared" si="2"/>
        <v>#DIV/0!</v>
      </c>
      <c r="J67" s="87" t="e">
        <f t="shared" si="2"/>
        <v>#DIV/0!</v>
      </c>
      <c r="K67" s="87" t="e">
        <f t="shared" si="2"/>
        <v>#DIV/0!</v>
      </c>
      <c r="L67" s="87" t="e">
        <f t="shared" si="2"/>
        <v>#DIV/0!</v>
      </c>
      <c r="M67" s="88" t="e">
        <f t="shared" si="2"/>
        <v>#DIV/0!</v>
      </c>
      <c r="O67" s="121" t="str">
        <f t="shared" si="3"/>
        <v>כרמיאל</v>
      </c>
      <c r="P67" s="121" t="str">
        <f t="shared" si="1"/>
        <v>כפר מנדא</v>
      </c>
    </row>
    <row r="68" spans="1:16" x14ac:dyDescent="0.3">
      <c r="A68" s="61">
        <v>3</v>
      </c>
      <c r="B68" s="61">
        <v>11</v>
      </c>
      <c r="C68" s="97"/>
      <c r="D68" s="79"/>
      <c r="E68" s="79"/>
      <c r="F68" s="79"/>
      <c r="G68" s="94"/>
      <c r="I68" s="86" t="e">
        <f t="shared" si="2"/>
        <v>#DIV/0!</v>
      </c>
      <c r="J68" s="87" t="e">
        <f t="shared" si="2"/>
        <v>#DIV/0!</v>
      </c>
      <c r="K68" s="87" t="e">
        <f t="shared" si="2"/>
        <v>#DIV/0!</v>
      </c>
      <c r="L68" s="87" t="e">
        <f t="shared" si="2"/>
        <v>#DIV/0!</v>
      </c>
      <c r="M68" s="88" t="e">
        <f t="shared" si="2"/>
        <v>#DIV/0!</v>
      </c>
      <c r="O68" s="121" t="str">
        <f t="shared" si="3"/>
        <v>כרמיאל</v>
      </c>
      <c r="P68" s="121" t="str">
        <f t="shared" si="1"/>
        <v>זבולון</v>
      </c>
    </row>
    <row r="69" spans="1:16" x14ac:dyDescent="0.3">
      <c r="A69" s="61">
        <v>3</v>
      </c>
      <c r="B69" s="61">
        <v>12</v>
      </c>
      <c r="C69" s="97"/>
      <c r="D69" s="79"/>
      <c r="E69" s="79"/>
      <c r="F69" s="79"/>
      <c r="G69" s="94"/>
      <c r="I69" s="86" t="e">
        <f t="shared" si="2"/>
        <v>#DIV/0!</v>
      </c>
      <c r="J69" s="87" t="e">
        <f t="shared" si="2"/>
        <v>#DIV/0!</v>
      </c>
      <c r="K69" s="87" t="e">
        <f t="shared" si="2"/>
        <v>#DIV/0!</v>
      </c>
      <c r="L69" s="87" t="e">
        <f t="shared" si="2"/>
        <v>#DIV/0!</v>
      </c>
      <c r="M69" s="88" t="e">
        <f t="shared" si="2"/>
        <v>#DIV/0!</v>
      </c>
      <c r="O69" s="121" t="str">
        <f t="shared" si="3"/>
        <v>כרמיאל</v>
      </c>
      <c r="P69" s="121" t="str">
        <f t="shared" si="1"/>
        <v>חיפה מפרץ</v>
      </c>
    </row>
    <row r="70" spans="1:16" x14ac:dyDescent="0.3">
      <c r="A70" s="61">
        <v>3</v>
      </c>
      <c r="B70" s="61">
        <v>13</v>
      </c>
      <c r="C70" s="97"/>
      <c r="D70" s="79"/>
      <c r="E70" s="79"/>
      <c r="F70" s="79"/>
      <c r="G70" s="94"/>
      <c r="I70" s="86" t="e">
        <f t="shared" ref="I70:M120" si="4">C70/SUM($C70:$G70)</f>
        <v>#DIV/0!</v>
      </c>
      <c r="J70" s="87" t="e">
        <f t="shared" si="4"/>
        <v>#DIV/0!</v>
      </c>
      <c r="K70" s="87" t="e">
        <f t="shared" si="4"/>
        <v>#DIV/0!</v>
      </c>
      <c r="L70" s="87" t="e">
        <f t="shared" si="4"/>
        <v>#DIV/0!</v>
      </c>
      <c r="M70" s="88" t="e">
        <f t="shared" si="4"/>
        <v>#DIV/0!</v>
      </c>
      <c r="O70" s="121" t="str">
        <f t="shared" si="3"/>
        <v>כרמיאל</v>
      </c>
      <c r="P70" s="121" t="str">
        <f t="shared" si="3"/>
        <v>חיפה עיר תחתית</v>
      </c>
    </row>
    <row r="71" spans="1:16" x14ac:dyDescent="0.3">
      <c r="A71" s="61">
        <v>3</v>
      </c>
      <c r="B71" s="61">
        <v>14</v>
      </c>
      <c r="C71" s="97"/>
      <c r="D71" s="79"/>
      <c r="E71" s="79"/>
      <c r="F71" s="79"/>
      <c r="G71" s="94"/>
      <c r="I71" s="86" t="e">
        <f t="shared" si="4"/>
        <v>#DIV/0!</v>
      </c>
      <c r="J71" s="87" t="e">
        <f t="shared" si="4"/>
        <v>#DIV/0!</v>
      </c>
      <c r="K71" s="87" t="e">
        <f t="shared" si="4"/>
        <v>#DIV/0!</v>
      </c>
      <c r="L71" s="87" t="e">
        <f t="shared" si="4"/>
        <v>#DIV/0!</v>
      </c>
      <c r="M71" s="88" t="e">
        <f t="shared" si="4"/>
        <v>#DIV/0!</v>
      </c>
      <c r="O71" s="121" t="str">
        <f t="shared" si="3"/>
        <v>כרמיאל</v>
      </c>
      <c r="P71" s="121" t="str">
        <f t="shared" si="3"/>
        <v>חיפה הדר-כרמל</v>
      </c>
    </row>
    <row r="72" spans="1:16" x14ac:dyDescent="0.3">
      <c r="A72" s="61">
        <v>3</v>
      </c>
      <c r="B72" s="61">
        <v>15</v>
      </c>
      <c r="C72" s="97"/>
      <c r="D72" s="79"/>
      <c r="E72" s="79"/>
      <c r="F72" s="79"/>
      <c r="G72" s="94"/>
      <c r="I72" s="86" t="e">
        <f t="shared" si="4"/>
        <v>#DIV/0!</v>
      </c>
      <c r="J72" s="87" t="e">
        <f t="shared" si="4"/>
        <v>#DIV/0!</v>
      </c>
      <c r="K72" s="87" t="e">
        <f t="shared" si="4"/>
        <v>#DIV/0!</v>
      </c>
      <c r="L72" s="87" t="e">
        <f t="shared" si="4"/>
        <v>#DIV/0!</v>
      </c>
      <c r="M72" s="88" t="e">
        <f t="shared" si="4"/>
        <v>#DIV/0!</v>
      </c>
      <c r="O72" s="121" t="str">
        <f t="shared" ref="O72:P135" si="5">VLOOKUP(A72,$S$6:$T$31,2,0)</f>
        <v>כרמיאל</v>
      </c>
      <c r="P72" s="121" t="str">
        <f t="shared" si="5"/>
        <v>חיפה מערב</v>
      </c>
    </row>
    <row r="73" spans="1:16" x14ac:dyDescent="0.3">
      <c r="A73" s="61">
        <v>3</v>
      </c>
      <c r="B73" s="61">
        <v>16</v>
      </c>
      <c r="C73" s="97"/>
      <c r="D73" s="79"/>
      <c r="E73" s="79"/>
      <c r="F73" s="79"/>
      <c r="G73" s="94"/>
      <c r="I73" s="86" t="e">
        <f t="shared" si="4"/>
        <v>#DIV/0!</v>
      </c>
      <c r="J73" s="87" t="e">
        <f t="shared" si="4"/>
        <v>#DIV/0!</v>
      </c>
      <c r="K73" s="87" t="e">
        <f t="shared" si="4"/>
        <v>#DIV/0!</v>
      </c>
      <c r="L73" s="87" t="e">
        <f t="shared" si="4"/>
        <v>#DIV/0!</v>
      </c>
      <c r="M73" s="88" t="e">
        <f t="shared" si="4"/>
        <v>#DIV/0!</v>
      </c>
      <c r="O73" s="121" t="str">
        <f t="shared" si="5"/>
        <v>כרמיאל</v>
      </c>
      <c r="P73" s="121" t="str">
        <f t="shared" si="5"/>
        <v>חיפה כרמל</v>
      </c>
    </row>
    <row r="74" spans="1:16" x14ac:dyDescent="0.3">
      <c r="A74" s="61">
        <v>3</v>
      </c>
      <c r="B74" s="61">
        <v>17</v>
      </c>
      <c r="C74" s="97"/>
      <c r="D74" s="79"/>
      <c r="E74" s="79"/>
      <c r="F74" s="79"/>
      <c r="G74" s="94"/>
      <c r="I74" s="86" t="e">
        <f t="shared" si="4"/>
        <v>#DIV/0!</v>
      </c>
      <c r="J74" s="87" t="e">
        <f t="shared" si="4"/>
        <v>#DIV/0!</v>
      </c>
      <c r="K74" s="87" t="e">
        <f t="shared" si="4"/>
        <v>#DIV/0!</v>
      </c>
      <c r="L74" s="87" t="e">
        <f t="shared" si="4"/>
        <v>#DIV/0!</v>
      </c>
      <c r="M74" s="88" t="e">
        <f t="shared" si="4"/>
        <v>#DIV/0!</v>
      </c>
      <c r="O74" s="121" t="str">
        <f t="shared" si="5"/>
        <v>כרמיאל</v>
      </c>
      <c r="P74" s="121" t="str">
        <f t="shared" si="5"/>
        <v>חיפה נווה שאנן</v>
      </c>
    </row>
    <row r="75" spans="1:16" x14ac:dyDescent="0.3">
      <c r="A75" s="61">
        <v>3</v>
      </c>
      <c r="B75" s="61">
        <v>18</v>
      </c>
      <c r="C75" s="97"/>
      <c r="D75" s="79"/>
      <c r="E75" s="79"/>
      <c r="F75" s="79"/>
      <c r="G75" s="94"/>
      <c r="I75" s="86" t="e">
        <f t="shared" si="4"/>
        <v>#DIV/0!</v>
      </c>
      <c r="J75" s="87" t="e">
        <f t="shared" si="4"/>
        <v>#DIV/0!</v>
      </c>
      <c r="K75" s="87" t="e">
        <f t="shared" si="4"/>
        <v>#DIV/0!</v>
      </c>
      <c r="L75" s="87" t="e">
        <f t="shared" si="4"/>
        <v>#DIV/0!</v>
      </c>
      <c r="M75" s="88" t="e">
        <f t="shared" si="4"/>
        <v>#DIV/0!</v>
      </c>
      <c r="O75" s="121" t="str">
        <f t="shared" si="5"/>
        <v>כרמיאל</v>
      </c>
      <c r="P75" s="121" t="str">
        <f t="shared" si="5"/>
        <v>נשר</v>
      </c>
    </row>
    <row r="76" spans="1:16" x14ac:dyDescent="0.3">
      <c r="A76" s="61">
        <v>3</v>
      </c>
      <c r="B76" s="61">
        <v>19</v>
      </c>
      <c r="C76" s="97"/>
      <c r="D76" s="79"/>
      <c r="E76" s="79"/>
      <c r="F76" s="79"/>
      <c r="G76" s="94"/>
      <c r="I76" s="86" t="e">
        <f t="shared" si="4"/>
        <v>#DIV/0!</v>
      </c>
      <c r="J76" s="87" t="e">
        <f t="shared" si="4"/>
        <v>#DIV/0!</v>
      </c>
      <c r="K76" s="87" t="e">
        <f t="shared" si="4"/>
        <v>#DIV/0!</v>
      </c>
      <c r="L76" s="87" t="e">
        <f t="shared" si="4"/>
        <v>#DIV/0!</v>
      </c>
      <c r="M76" s="88" t="e">
        <f t="shared" si="4"/>
        <v>#DIV/0!</v>
      </c>
      <c r="O76" s="121" t="str">
        <f t="shared" si="5"/>
        <v>כרמיאל</v>
      </c>
      <c r="P76" s="121" t="str">
        <f t="shared" si="5"/>
        <v>נצרת</v>
      </c>
    </row>
    <row r="77" spans="1:16" x14ac:dyDescent="0.3">
      <c r="A77" s="61">
        <v>3</v>
      </c>
      <c r="B77" s="61">
        <v>20</v>
      </c>
      <c r="C77" s="97"/>
      <c r="D77" s="79"/>
      <c r="E77" s="79"/>
      <c r="F77" s="79"/>
      <c r="G77" s="94"/>
      <c r="I77" s="86" t="e">
        <f t="shared" si="4"/>
        <v>#DIV/0!</v>
      </c>
      <c r="J77" s="87" t="e">
        <f t="shared" si="4"/>
        <v>#DIV/0!</v>
      </c>
      <c r="K77" s="87" t="e">
        <f t="shared" si="4"/>
        <v>#DIV/0!</v>
      </c>
      <c r="L77" s="87" t="e">
        <f t="shared" si="4"/>
        <v>#DIV/0!</v>
      </c>
      <c r="M77" s="88" t="e">
        <f t="shared" si="4"/>
        <v>#DIV/0!</v>
      </c>
      <c r="O77" s="121" t="str">
        <f t="shared" si="5"/>
        <v>כרמיאל</v>
      </c>
      <c r="P77" s="121" t="str">
        <f t="shared" si="5"/>
        <v>נצרת-עילית</v>
      </c>
    </row>
    <row r="78" spans="1:16" x14ac:dyDescent="0.3">
      <c r="A78" s="61">
        <v>3</v>
      </c>
      <c r="B78" s="61">
        <v>21</v>
      </c>
      <c r="C78" s="97"/>
      <c r="D78" s="79"/>
      <c r="E78" s="79"/>
      <c r="F78" s="79"/>
      <c r="G78" s="94"/>
      <c r="I78" s="86" t="e">
        <f t="shared" si="4"/>
        <v>#DIV/0!</v>
      </c>
      <c r="J78" s="87" t="e">
        <f t="shared" si="4"/>
        <v>#DIV/0!</v>
      </c>
      <c r="K78" s="87" t="e">
        <f t="shared" si="4"/>
        <v>#DIV/0!</v>
      </c>
      <c r="L78" s="87" t="e">
        <f t="shared" si="4"/>
        <v>#DIV/0!</v>
      </c>
      <c r="M78" s="88" t="e">
        <f t="shared" si="4"/>
        <v>#DIV/0!</v>
      </c>
      <c r="O78" s="121" t="str">
        <f t="shared" si="5"/>
        <v>כרמיאל</v>
      </c>
      <c r="P78" s="121" t="str">
        <f t="shared" si="5"/>
        <v>מגדל העמק</v>
      </c>
    </row>
    <row r="79" spans="1:16" x14ac:dyDescent="0.3">
      <c r="A79" s="61">
        <v>3</v>
      </c>
      <c r="B79" s="61">
        <v>22</v>
      </c>
      <c r="C79" s="97"/>
      <c r="D79" s="79"/>
      <c r="E79" s="79"/>
      <c r="F79" s="79"/>
      <c r="G79" s="94"/>
      <c r="I79" s="86" t="e">
        <f t="shared" si="4"/>
        <v>#DIV/0!</v>
      </c>
      <c r="J79" s="87" t="e">
        <f t="shared" si="4"/>
        <v>#DIV/0!</v>
      </c>
      <c r="K79" s="87" t="e">
        <f t="shared" si="4"/>
        <v>#DIV/0!</v>
      </c>
      <c r="L79" s="87" t="e">
        <f t="shared" si="4"/>
        <v>#DIV/0!</v>
      </c>
      <c r="M79" s="88" t="e">
        <f t="shared" si="4"/>
        <v>#DIV/0!</v>
      </c>
      <c r="O79" s="121" t="str">
        <f t="shared" si="5"/>
        <v>כרמיאל</v>
      </c>
      <c r="P79" s="121" t="str">
        <f t="shared" si="5"/>
        <v>יוקנעם</v>
      </c>
    </row>
    <row r="80" spans="1:16" x14ac:dyDescent="0.3">
      <c r="A80" s="61">
        <v>3</v>
      </c>
      <c r="B80" s="61">
        <v>23</v>
      </c>
      <c r="C80" s="97"/>
      <c r="D80" s="79"/>
      <c r="E80" s="79"/>
      <c r="F80" s="79"/>
      <c r="G80" s="94"/>
      <c r="I80" s="86" t="e">
        <f t="shared" si="4"/>
        <v>#DIV/0!</v>
      </c>
      <c r="J80" s="87" t="e">
        <f t="shared" si="4"/>
        <v>#DIV/0!</v>
      </c>
      <c r="K80" s="87" t="e">
        <f t="shared" si="4"/>
        <v>#DIV/0!</v>
      </c>
      <c r="L80" s="87" t="e">
        <f t="shared" si="4"/>
        <v>#DIV/0!</v>
      </c>
      <c r="M80" s="88" t="e">
        <f t="shared" si="4"/>
        <v>#DIV/0!</v>
      </c>
      <c r="O80" s="121" t="str">
        <f t="shared" si="5"/>
        <v>כרמיאל</v>
      </c>
      <c r="P80" s="121" t="str">
        <f t="shared" si="5"/>
        <v>דלית אל כרמל</v>
      </c>
    </row>
    <row r="81" spans="1:16" x14ac:dyDescent="0.3">
      <c r="A81" s="61">
        <v>3</v>
      </c>
      <c r="B81" s="61">
        <v>24</v>
      </c>
      <c r="C81" s="97"/>
      <c r="D81" s="79"/>
      <c r="E81" s="79"/>
      <c r="F81" s="79"/>
      <c r="G81" s="94"/>
      <c r="I81" s="86" t="e">
        <f t="shared" si="4"/>
        <v>#DIV/0!</v>
      </c>
      <c r="J81" s="87" t="e">
        <f t="shared" si="4"/>
        <v>#DIV/0!</v>
      </c>
      <c r="K81" s="87" t="e">
        <f t="shared" si="4"/>
        <v>#DIV/0!</v>
      </c>
      <c r="L81" s="87" t="e">
        <f t="shared" si="4"/>
        <v>#DIV/0!</v>
      </c>
      <c r="M81" s="88" t="e">
        <f t="shared" si="4"/>
        <v>#DIV/0!</v>
      </c>
      <c r="O81" s="121" t="str">
        <f t="shared" si="5"/>
        <v>כרמיאל</v>
      </c>
      <c r="P81" s="121" t="str">
        <f t="shared" si="5"/>
        <v>חוף הכרמל</v>
      </c>
    </row>
    <row r="82" spans="1:16" x14ac:dyDescent="0.3">
      <c r="A82" s="61">
        <v>3</v>
      </c>
      <c r="B82" s="61">
        <v>25</v>
      </c>
      <c r="C82" s="97"/>
      <c r="D82" s="79"/>
      <c r="E82" s="79"/>
      <c r="F82" s="79"/>
      <c r="G82" s="94"/>
      <c r="I82" s="86" t="e">
        <f t="shared" si="4"/>
        <v>#DIV/0!</v>
      </c>
      <c r="J82" s="87" t="e">
        <f t="shared" si="4"/>
        <v>#DIV/0!</v>
      </c>
      <c r="K82" s="87" t="e">
        <f t="shared" si="4"/>
        <v>#DIV/0!</v>
      </c>
      <c r="L82" s="87" t="e">
        <f t="shared" si="4"/>
        <v>#DIV/0!</v>
      </c>
      <c r="M82" s="88" t="e">
        <f t="shared" si="4"/>
        <v>#DIV/0!</v>
      </c>
      <c r="O82" s="121" t="str">
        <f t="shared" si="5"/>
        <v>כרמיאל</v>
      </c>
      <c r="P82" s="121" t="str">
        <f t="shared" si="5"/>
        <v>זכרון יעקב</v>
      </c>
    </row>
    <row r="83" spans="1:16" x14ac:dyDescent="0.3">
      <c r="A83" s="61">
        <v>3</v>
      </c>
      <c r="B83" s="61">
        <v>30</v>
      </c>
      <c r="C83" s="97"/>
      <c r="D83" s="79"/>
      <c r="E83" s="79"/>
      <c r="F83" s="79"/>
      <c r="G83" s="94"/>
      <c r="I83" s="86" t="e">
        <f t="shared" si="4"/>
        <v>#DIV/0!</v>
      </c>
      <c r="J83" s="87" t="e">
        <f t="shared" si="4"/>
        <v>#DIV/0!</v>
      </c>
      <c r="K83" s="87" t="e">
        <f t="shared" si="4"/>
        <v>#DIV/0!</v>
      </c>
      <c r="L83" s="87" t="e">
        <f t="shared" si="4"/>
        <v>#DIV/0!</v>
      </c>
      <c r="M83" s="88" t="e">
        <f t="shared" si="4"/>
        <v>#DIV/0!</v>
      </c>
      <c r="O83" s="121" t="str">
        <f t="shared" si="5"/>
        <v>כרמיאל</v>
      </c>
      <c r="P83" s="121" t="str">
        <f t="shared" si="5"/>
        <v>סכנין</v>
      </c>
    </row>
    <row r="84" spans="1:16" x14ac:dyDescent="0.3">
      <c r="A84" s="61">
        <v>4</v>
      </c>
      <c r="B84" s="61">
        <v>1</v>
      </c>
      <c r="C84" s="97"/>
      <c r="D84" s="79"/>
      <c r="E84" s="79"/>
      <c r="F84" s="79"/>
      <c r="G84" s="94"/>
      <c r="I84" s="86" t="e">
        <f t="shared" si="4"/>
        <v>#DIV/0!</v>
      </c>
      <c r="J84" s="87" t="e">
        <f t="shared" si="4"/>
        <v>#DIV/0!</v>
      </c>
      <c r="K84" s="87" t="e">
        <f t="shared" si="4"/>
        <v>#DIV/0!</v>
      </c>
      <c r="L84" s="87" t="e">
        <f t="shared" si="4"/>
        <v>#DIV/0!</v>
      </c>
      <c r="M84" s="88" t="e">
        <f t="shared" si="4"/>
        <v>#DIV/0!</v>
      </c>
      <c r="O84" s="121" t="str">
        <f t="shared" si="5"/>
        <v>שפרעם</v>
      </c>
      <c r="P84" s="121" t="str">
        <f t="shared" si="5"/>
        <v>נהריה</v>
      </c>
    </row>
    <row r="85" spans="1:16" x14ac:dyDescent="0.3">
      <c r="A85" s="61">
        <v>4</v>
      </c>
      <c r="B85" s="61">
        <v>2</v>
      </c>
      <c r="C85" s="97"/>
      <c r="D85" s="79"/>
      <c r="E85" s="79"/>
      <c r="F85" s="79"/>
      <c r="G85" s="94"/>
      <c r="I85" s="86" t="e">
        <f t="shared" si="4"/>
        <v>#DIV/0!</v>
      </c>
      <c r="J85" s="87" t="e">
        <f t="shared" si="4"/>
        <v>#DIV/0!</v>
      </c>
      <c r="K85" s="87" t="e">
        <f t="shared" si="4"/>
        <v>#DIV/0!</v>
      </c>
      <c r="L85" s="87" t="e">
        <f t="shared" si="4"/>
        <v>#DIV/0!</v>
      </c>
      <c r="M85" s="88" t="e">
        <f t="shared" si="4"/>
        <v>#DIV/0!</v>
      </c>
      <c r="O85" s="121" t="str">
        <f t="shared" si="5"/>
        <v>שפרעם</v>
      </c>
      <c r="P85" s="121" t="str">
        <f t="shared" si="5"/>
        <v>עכו</v>
      </c>
    </row>
    <row r="86" spans="1:16" x14ac:dyDescent="0.3">
      <c r="A86" s="61">
        <v>4</v>
      </c>
      <c r="B86" s="61">
        <v>3</v>
      </c>
      <c r="C86" s="97"/>
      <c r="D86" s="79"/>
      <c r="E86" s="79"/>
      <c r="F86" s="79"/>
      <c r="G86" s="94"/>
      <c r="I86" s="86" t="e">
        <f t="shared" si="4"/>
        <v>#DIV/0!</v>
      </c>
      <c r="J86" s="87" t="e">
        <f t="shared" si="4"/>
        <v>#DIV/0!</v>
      </c>
      <c r="K86" s="87" t="e">
        <f t="shared" si="4"/>
        <v>#DIV/0!</v>
      </c>
      <c r="L86" s="87" t="e">
        <f t="shared" si="4"/>
        <v>#DIV/0!</v>
      </c>
      <c r="M86" s="88" t="e">
        <f t="shared" si="4"/>
        <v>#DIV/0!</v>
      </c>
      <c r="O86" s="121" t="str">
        <f t="shared" si="5"/>
        <v>שפרעם</v>
      </c>
      <c r="P86" s="121" t="str">
        <f t="shared" si="5"/>
        <v>כרמיאל</v>
      </c>
    </row>
    <row r="87" spans="1:16" x14ac:dyDescent="0.3">
      <c r="A87" s="61">
        <v>4</v>
      </c>
      <c r="B87" s="61">
        <v>4</v>
      </c>
      <c r="C87" s="97"/>
      <c r="D87" s="79"/>
      <c r="E87" s="79"/>
      <c r="F87" s="79"/>
      <c r="G87" s="94"/>
      <c r="I87" s="86" t="e">
        <f t="shared" si="4"/>
        <v>#DIV/0!</v>
      </c>
      <c r="J87" s="87" t="e">
        <f t="shared" si="4"/>
        <v>#DIV/0!</v>
      </c>
      <c r="K87" s="87" t="e">
        <f t="shared" si="4"/>
        <v>#DIV/0!</v>
      </c>
      <c r="L87" s="87" t="e">
        <f t="shared" si="4"/>
        <v>#DIV/0!</v>
      </c>
      <c r="M87" s="88" t="e">
        <f t="shared" si="4"/>
        <v>#DIV/0!</v>
      </c>
      <c r="O87" s="121" t="str">
        <f t="shared" si="5"/>
        <v>שפרעם</v>
      </c>
      <c r="P87" s="121" t="str">
        <f t="shared" si="5"/>
        <v>שפרעם</v>
      </c>
    </row>
    <row r="88" spans="1:16" x14ac:dyDescent="0.3">
      <c r="A88" s="61">
        <v>4</v>
      </c>
      <c r="B88" s="61">
        <v>5</v>
      </c>
      <c r="C88" s="97"/>
      <c r="D88" s="79"/>
      <c r="E88" s="79"/>
      <c r="F88" s="79"/>
      <c r="G88" s="94"/>
      <c r="I88" s="86" t="e">
        <f t="shared" si="4"/>
        <v>#DIV/0!</v>
      </c>
      <c r="J88" s="87" t="e">
        <f t="shared" si="4"/>
        <v>#DIV/0!</v>
      </c>
      <c r="K88" s="87" t="e">
        <f t="shared" si="4"/>
        <v>#DIV/0!</v>
      </c>
      <c r="L88" s="87" t="e">
        <f t="shared" si="4"/>
        <v>#DIV/0!</v>
      </c>
      <c r="M88" s="88" t="e">
        <f t="shared" si="4"/>
        <v>#DIV/0!</v>
      </c>
      <c r="O88" s="121" t="str">
        <f t="shared" si="5"/>
        <v>שפרעם</v>
      </c>
      <c r="P88" s="121" t="str">
        <f t="shared" si="5"/>
        <v>קרית ים</v>
      </c>
    </row>
    <row r="89" spans="1:16" x14ac:dyDescent="0.3">
      <c r="A89" s="61">
        <v>4</v>
      </c>
      <c r="B89" s="61">
        <v>6</v>
      </c>
      <c r="C89" s="97"/>
      <c r="D89" s="79"/>
      <c r="E89" s="79"/>
      <c r="F89" s="79"/>
      <c r="G89" s="94"/>
      <c r="I89" s="86" t="e">
        <f t="shared" si="4"/>
        <v>#DIV/0!</v>
      </c>
      <c r="J89" s="87" t="e">
        <f t="shared" si="4"/>
        <v>#DIV/0!</v>
      </c>
      <c r="K89" s="87" t="e">
        <f t="shared" si="4"/>
        <v>#DIV/0!</v>
      </c>
      <c r="L89" s="87" t="e">
        <f t="shared" si="4"/>
        <v>#DIV/0!</v>
      </c>
      <c r="M89" s="88" t="e">
        <f t="shared" si="4"/>
        <v>#DIV/0!</v>
      </c>
      <c r="O89" s="121" t="str">
        <f t="shared" si="5"/>
        <v>שפרעם</v>
      </c>
      <c r="P89" s="121" t="str">
        <f t="shared" si="5"/>
        <v>קרית מוצקין</v>
      </c>
    </row>
    <row r="90" spans="1:16" x14ac:dyDescent="0.3">
      <c r="A90" s="61">
        <v>4</v>
      </c>
      <c r="B90" s="61">
        <v>7</v>
      </c>
      <c r="C90" s="97"/>
      <c r="D90" s="79"/>
      <c r="E90" s="79"/>
      <c r="F90" s="79"/>
      <c r="G90" s="94"/>
      <c r="I90" s="86" t="e">
        <f t="shared" si="4"/>
        <v>#DIV/0!</v>
      </c>
      <c r="J90" s="87" t="e">
        <f t="shared" si="4"/>
        <v>#DIV/0!</v>
      </c>
      <c r="K90" s="87" t="e">
        <f t="shared" si="4"/>
        <v>#DIV/0!</v>
      </c>
      <c r="L90" s="87" t="e">
        <f t="shared" si="4"/>
        <v>#DIV/0!</v>
      </c>
      <c r="M90" s="88" t="e">
        <f t="shared" si="4"/>
        <v>#DIV/0!</v>
      </c>
      <c r="O90" s="121" t="str">
        <f t="shared" si="5"/>
        <v>שפרעם</v>
      </c>
      <c r="P90" s="121" t="str">
        <f t="shared" si="5"/>
        <v>קרית ביאליק</v>
      </c>
    </row>
    <row r="91" spans="1:16" x14ac:dyDescent="0.3">
      <c r="A91" s="61">
        <v>4</v>
      </c>
      <c r="B91" s="61">
        <v>8</v>
      </c>
      <c r="C91" s="97"/>
      <c r="D91" s="79"/>
      <c r="E91" s="79"/>
      <c r="F91" s="79"/>
      <c r="G91" s="94"/>
      <c r="I91" s="86" t="e">
        <f t="shared" si="4"/>
        <v>#DIV/0!</v>
      </c>
      <c r="J91" s="87" t="e">
        <f t="shared" si="4"/>
        <v>#DIV/0!</v>
      </c>
      <c r="K91" s="87" t="e">
        <f t="shared" si="4"/>
        <v>#DIV/0!</v>
      </c>
      <c r="L91" s="87" t="e">
        <f t="shared" si="4"/>
        <v>#DIV/0!</v>
      </c>
      <c r="M91" s="88" t="e">
        <f t="shared" si="4"/>
        <v>#DIV/0!</v>
      </c>
      <c r="O91" s="121" t="str">
        <f t="shared" si="5"/>
        <v>שפרעם</v>
      </c>
      <c r="P91" s="121" t="str">
        <f t="shared" si="5"/>
        <v>קרית חיים</v>
      </c>
    </row>
    <row r="92" spans="1:16" x14ac:dyDescent="0.3">
      <c r="A92" s="61">
        <v>4</v>
      </c>
      <c r="B92" s="61">
        <v>9</v>
      </c>
      <c r="C92" s="97"/>
      <c r="D92" s="79"/>
      <c r="E92" s="79"/>
      <c r="F92" s="79"/>
      <c r="G92" s="94"/>
      <c r="I92" s="86" t="e">
        <f t="shared" si="4"/>
        <v>#DIV/0!</v>
      </c>
      <c r="J92" s="87" t="e">
        <f t="shared" si="4"/>
        <v>#DIV/0!</v>
      </c>
      <c r="K92" s="87" t="e">
        <f t="shared" si="4"/>
        <v>#DIV/0!</v>
      </c>
      <c r="L92" s="87" t="e">
        <f t="shared" si="4"/>
        <v>#DIV/0!</v>
      </c>
      <c r="M92" s="88" t="e">
        <f t="shared" si="4"/>
        <v>#DIV/0!</v>
      </c>
      <c r="O92" s="121" t="str">
        <f t="shared" si="5"/>
        <v>שפרעם</v>
      </c>
      <c r="P92" s="121" t="str">
        <f t="shared" si="5"/>
        <v>קרית אתא</v>
      </c>
    </row>
    <row r="93" spans="1:16" x14ac:dyDescent="0.3">
      <c r="A93" s="61">
        <v>4</v>
      </c>
      <c r="B93" s="61">
        <v>10</v>
      </c>
      <c r="C93" s="97"/>
      <c r="D93" s="79"/>
      <c r="E93" s="79"/>
      <c r="F93" s="79"/>
      <c r="G93" s="94"/>
      <c r="I93" s="86" t="e">
        <f t="shared" si="4"/>
        <v>#DIV/0!</v>
      </c>
      <c r="J93" s="87" t="e">
        <f t="shared" si="4"/>
        <v>#DIV/0!</v>
      </c>
      <c r="K93" s="87" t="e">
        <f t="shared" si="4"/>
        <v>#DIV/0!</v>
      </c>
      <c r="L93" s="87" t="e">
        <f t="shared" si="4"/>
        <v>#DIV/0!</v>
      </c>
      <c r="M93" s="88" t="e">
        <f t="shared" si="4"/>
        <v>#DIV/0!</v>
      </c>
      <c r="O93" s="121" t="str">
        <f t="shared" si="5"/>
        <v>שפרעם</v>
      </c>
      <c r="P93" s="121" t="str">
        <f t="shared" si="5"/>
        <v>כפר מנדא</v>
      </c>
    </row>
    <row r="94" spans="1:16" x14ac:dyDescent="0.3">
      <c r="A94" s="61">
        <v>4</v>
      </c>
      <c r="B94" s="61">
        <v>11</v>
      </c>
      <c r="C94" s="97"/>
      <c r="D94" s="79"/>
      <c r="E94" s="79"/>
      <c r="F94" s="79"/>
      <c r="G94" s="94"/>
      <c r="I94" s="86" t="e">
        <f t="shared" si="4"/>
        <v>#DIV/0!</v>
      </c>
      <c r="J94" s="87" t="e">
        <f t="shared" si="4"/>
        <v>#DIV/0!</v>
      </c>
      <c r="K94" s="87" t="e">
        <f t="shared" si="4"/>
        <v>#DIV/0!</v>
      </c>
      <c r="L94" s="87" t="e">
        <f t="shared" si="4"/>
        <v>#DIV/0!</v>
      </c>
      <c r="M94" s="88" t="e">
        <f t="shared" si="4"/>
        <v>#DIV/0!</v>
      </c>
      <c r="O94" s="121" t="str">
        <f t="shared" si="5"/>
        <v>שפרעם</v>
      </c>
      <c r="P94" s="121" t="str">
        <f t="shared" si="5"/>
        <v>זבולון</v>
      </c>
    </row>
    <row r="95" spans="1:16" x14ac:dyDescent="0.3">
      <c r="A95" s="61">
        <v>4</v>
      </c>
      <c r="B95" s="61">
        <v>12</v>
      </c>
      <c r="C95" s="97"/>
      <c r="D95" s="79"/>
      <c r="E95" s="79"/>
      <c r="F95" s="79"/>
      <c r="G95" s="94"/>
      <c r="I95" s="86" t="e">
        <f t="shared" si="4"/>
        <v>#DIV/0!</v>
      </c>
      <c r="J95" s="87" t="e">
        <f t="shared" si="4"/>
        <v>#DIV/0!</v>
      </c>
      <c r="K95" s="87" t="e">
        <f t="shared" si="4"/>
        <v>#DIV/0!</v>
      </c>
      <c r="L95" s="87" t="e">
        <f t="shared" si="4"/>
        <v>#DIV/0!</v>
      </c>
      <c r="M95" s="88" t="e">
        <f t="shared" si="4"/>
        <v>#DIV/0!</v>
      </c>
      <c r="O95" s="121" t="str">
        <f t="shared" si="5"/>
        <v>שפרעם</v>
      </c>
      <c r="P95" s="121" t="str">
        <f t="shared" si="5"/>
        <v>חיפה מפרץ</v>
      </c>
    </row>
    <row r="96" spans="1:16" x14ac:dyDescent="0.3">
      <c r="A96" s="61">
        <v>4</v>
      </c>
      <c r="B96" s="61">
        <v>13</v>
      </c>
      <c r="C96" s="97"/>
      <c r="D96" s="79"/>
      <c r="E96" s="79"/>
      <c r="F96" s="79"/>
      <c r="G96" s="94"/>
      <c r="I96" s="86" t="e">
        <f t="shared" si="4"/>
        <v>#DIV/0!</v>
      </c>
      <c r="J96" s="87" t="e">
        <f t="shared" si="4"/>
        <v>#DIV/0!</v>
      </c>
      <c r="K96" s="87" t="e">
        <f t="shared" si="4"/>
        <v>#DIV/0!</v>
      </c>
      <c r="L96" s="87" t="e">
        <f t="shared" si="4"/>
        <v>#DIV/0!</v>
      </c>
      <c r="M96" s="88" t="e">
        <f t="shared" si="4"/>
        <v>#DIV/0!</v>
      </c>
      <c r="O96" s="121" t="str">
        <f t="shared" si="5"/>
        <v>שפרעם</v>
      </c>
      <c r="P96" s="121" t="str">
        <f t="shared" si="5"/>
        <v>חיפה עיר תחתית</v>
      </c>
    </row>
    <row r="97" spans="1:16" x14ac:dyDescent="0.3">
      <c r="A97" s="61">
        <v>4</v>
      </c>
      <c r="B97" s="61">
        <v>14</v>
      </c>
      <c r="C97" s="97"/>
      <c r="D97" s="79"/>
      <c r="E97" s="79"/>
      <c r="F97" s="79"/>
      <c r="G97" s="94"/>
      <c r="I97" s="86" t="e">
        <f t="shared" si="4"/>
        <v>#DIV/0!</v>
      </c>
      <c r="J97" s="87" t="e">
        <f t="shared" si="4"/>
        <v>#DIV/0!</v>
      </c>
      <c r="K97" s="87" t="e">
        <f t="shared" si="4"/>
        <v>#DIV/0!</v>
      </c>
      <c r="L97" s="87" t="e">
        <f t="shared" si="4"/>
        <v>#DIV/0!</v>
      </c>
      <c r="M97" s="88" t="e">
        <f t="shared" si="4"/>
        <v>#DIV/0!</v>
      </c>
      <c r="O97" s="121" t="str">
        <f t="shared" si="5"/>
        <v>שפרעם</v>
      </c>
      <c r="P97" s="121" t="str">
        <f t="shared" si="5"/>
        <v>חיפה הדר-כרמל</v>
      </c>
    </row>
    <row r="98" spans="1:16" x14ac:dyDescent="0.3">
      <c r="A98" s="61">
        <v>4</v>
      </c>
      <c r="B98" s="61">
        <v>15</v>
      </c>
      <c r="C98" s="97"/>
      <c r="D98" s="79"/>
      <c r="E98" s="79"/>
      <c r="F98" s="79"/>
      <c r="G98" s="94"/>
      <c r="I98" s="86" t="e">
        <f t="shared" si="4"/>
        <v>#DIV/0!</v>
      </c>
      <c r="J98" s="87" t="e">
        <f t="shared" si="4"/>
        <v>#DIV/0!</v>
      </c>
      <c r="K98" s="87" t="e">
        <f t="shared" si="4"/>
        <v>#DIV/0!</v>
      </c>
      <c r="L98" s="87" t="e">
        <f t="shared" si="4"/>
        <v>#DIV/0!</v>
      </c>
      <c r="M98" s="88" t="e">
        <f t="shared" si="4"/>
        <v>#DIV/0!</v>
      </c>
      <c r="O98" s="121" t="str">
        <f t="shared" si="5"/>
        <v>שפרעם</v>
      </c>
      <c r="P98" s="121" t="str">
        <f t="shared" si="5"/>
        <v>חיפה מערב</v>
      </c>
    </row>
    <row r="99" spans="1:16" x14ac:dyDescent="0.3">
      <c r="A99" s="61">
        <v>4</v>
      </c>
      <c r="B99" s="61">
        <v>16</v>
      </c>
      <c r="C99" s="97"/>
      <c r="D99" s="79"/>
      <c r="E99" s="79"/>
      <c r="F99" s="79"/>
      <c r="G99" s="94"/>
      <c r="I99" s="86" t="e">
        <f t="shared" si="4"/>
        <v>#DIV/0!</v>
      </c>
      <c r="J99" s="87" t="e">
        <f t="shared" si="4"/>
        <v>#DIV/0!</v>
      </c>
      <c r="K99" s="87" t="e">
        <f t="shared" si="4"/>
        <v>#DIV/0!</v>
      </c>
      <c r="L99" s="87" t="e">
        <f t="shared" si="4"/>
        <v>#DIV/0!</v>
      </c>
      <c r="M99" s="88" t="e">
        <f t="shared" si="4"/>
        <v>#DIV/0!</v>
      </c>
      <c r="O99" s="121" t="str">
        <f t="shared" si="5"/>
        <v>שפרעם</v>
      </c>
      <c r="P99" s="121" t="str">
        <f t="shared" si="5"/>
        <v>חיפה כרמל</v>
      </c>
    </row>
    <row r="100" spans="1:16" x14ac:dyDescent="0.3">
      <c r="A100" s="61">
        <v>4</v>
      </c>
      <c r="B100" s="61">
        <v>17</v>
      </c>
      <c r="C100" s="97"/>
      <c r="D100" s="79"/>
      <c r="E100" s="79"/>
      <c r="F100" s="79"/>
      <c r="G100" s="94"/>
      <c r="I100" s="86" t="e">
        <f t="shared" si="4"/>
        <v>#DIV/0!</v>
      </c>
      <c r="J100" s="87" t="e">
        <f t="shared" si="4"/>
        <v>#DIV/0!</v>
      </c>
      <c r="K100" s="87" t="e">
        <f t="shared" si="4"/>
        <v>#DIV/0!</v>
      </c>
      <c r="L100" s="87" t="e">
        <f t="shared" si="4"/>
        <v>#DIV/0!</v>
      </c>
      <c r="M100" s="88" t="e">
        <f t="shared" si="4"/>
        <v>#DIV/0!</v>
      </c>
      <c r="O100" s="121" t="str">
        <f t="shared" si="5"/>
        <v>שפרעם</v>
      </c>
      <c r="P100" s="121" t="str">
        <f t="shared" si="5"/>
        <v>חיפה נווה שאנן</v>
      </c>
    </row>
    <row r="101" spans="1:16" x14ac:dyDescent="0.3">
      <c r="A101" s="61">
        <v>4</v>
      </c>
      <c r="B101" s="61">
        <v>18</v>
      </c>
      <c r="C101" s="97"/>
      <c r="D101" s="79"/>
      <c r="E101" s="79"/>
      <c r="F101" s="79"/>
      <c r="G101" s="94"/>
      <c r="I101" s="86" t="e">
        <f t="shared" si="4"/>
        <v>#DIV/0!</v>
      </c>
      <c r="J101" s="87" t="e">
        <f t="shared" si="4"/>
        <v>#DIV/0!</v>
      </c>
      <c r="K101" s="87" t="e">
        <f t="shared" si="4"/>
        <v>#DIV/0!</v>
      </c>
      <c r="L101" s="87" t="e">
        <f t="shared" si="4"/>
        <v>#DIV/0!</v>
      </c>
      <c r="M101" s="88" t="e">
        <f t="shared" si="4"/>
        <v>#DIV/0!</v>
      </c>
      <c r="O101" s="121" t="str">
        <f t="shared" si="5"/>
        <v>שפרעם</v>
      </c>
      <c r="P101" s="121" t="str">
        <f t="shared" si="5"/>
        <v>נשר</v>
      </c>
    </row>
    <row r="102" spans="1:16" x14ac:dyDescent="0.3">
      <c r="A102" s="61">
        <v>4</v>
      </c>
      <c r="B102" s="61">
        <v>19</v>
      </c>
      <c r="C102" s="97"/>
      <c r="D102" s="79"/>
      <c r="E102" s="79"/>
      <c r="F102" s="79"/>
      <c r="G102" s="94"/>
      <c r="I102" s="86" t="e">
        <f t="shared" si="4"/>
        <v>#DIV/0!</v>
      </c>
      <c r="J102" s="87" t="e">
        <f t="shared" si="4"/>
        <v>#DIV/0!</v>
      </c>
      <c r="K102" s="87" t="e">
        <f t="shared" si="4"/>
        <v>#DIV/0!</v>
      </c>
      <c r="L102" s="87" t="e">
        <f t="shared" si="4"/>
        <v>#DIV/0!</v>
      </c>
      <c r="M102" s="88" t="e">
        <f t="shared" si="4"/>
        <v>#DIV/0!</v>
      </c>
      <c r="O102" s="121" t="str">
        <f t="shared" si="5"/>
        <v>שפרעם</v>
      </c>
      <c r="P102" s="121" t="str">
        <f t="shared" si="5"/>
        <v>נצרת</v>
      </c>
    </row>
    <row r="103" spans="1:16" x14ac:dyDescent="0.3">
      <c r="A103" s="61">
        <v>4</v>
      </c>
      <c r="B103" s="61">
        <v>20</v>
      </c>
      <c r="C103" s="97"/>
      <c r="D103" s="79"/>
      <c r="E103" s="79"/>
      <c r="F103" s="79"/>
      <c r="G103" s="94"/>
      <c r="I103" s="86" t="e">
        <f t="shared" si="4"/>
        <v>#DIV/0!</v>
      </c>
      <c r="J103" s="87" t="e">
        <f t="shared" si="4"/>
        <v>#DIV/0!</v>
      </c>
      <c r="K103" s="87" t="e">
        <f t="shared" si="4"/>
        <v>#DIV/0!</v>
      </c>
      <c r="L103" s="87" t="e">
        <f t="shared" si="4"/>
        <v>#DIV/0!</v>
      </c>
      <c r="M103" s="88" t="e">
        <f t="shared" si="4"/>
        <v>#DIV/0!</v>
      </c>
      <c r="O103" s="121" t="str">
        <f t="shared" si="5"/>
        <v>שפרעם</v>
      </c>
      <c r="P103" s="121" t="str">
        <f t="shared" si="5"/>
        <v>נצרת-עילית</v>
      </c>
    </row>
    <row r="104" spans="1:16" x14ac:dyDescent="0.3">
      <c r="A104" s="61">
        <v>4</v>
      </c>
      <c r="B104" s="61">
        <v>21</v>
      </c>
      <c r="C104" s="97"/>
      <c r="D104" s="79"/>
      <c r="E104" s="79"/>
      <c r="F104" s="79"/>
      <c r="G104" s="94"/>
      <c r="I104" s="86" t="e">
        <f t="shared" si="4"/>
        <v>#DIV/0!</v>
      </c>
      <c r="J104" s="87" t="e">
        <f t="shared" si="4"/>
        <v>#DIV/0!</v>
      </c>
      <c r="K104" s="87" t="e">
        <f t="shared" si="4"/>
        <v>#DIV/0!</v>
      </c>
      <c r="L104" s="87" t="e">
        <f t="shared" si="4"/>
        <v>#DIV/0!</v>
      </c>
      <c r="M104" s="88" t="e">
        <f t="shared" si="4"/>
        <v>#DIV/0!</v>
      </c>
      <c r="O104" s="121" t="str">
        <f t="shared" si="5"/>
        <v>שפרעם</v>
      </c>
      <c r="P104" s="121" t="str">
        <f t="shared" si="5"/>
        <v>מגדל העמק</v>
      </c>
    </row>
    <row r="105" spans="1:16" x14ac:dyDescent="0.3">
      <c r="A105" s="61">
        <v>4</v>
      </c>
      <c r="B105" s="61">
        <v>22</v>
      </c>
      <c r="C105" s="97"/>
      <c r="D105" s="79"/>
      <c r="E105" s="79"/>
      <c r="F105" s="79"/>
      <c r="G105" s="94"/>
      <c r="I105" s="86" t="e">
        <f t="shared" si="4"/>
        <v>#DIV/0!</v>
      </c>
      <c r="J105" s="87" t="e">
        <f t="shared" si="4"/>
        <v>#DIV/0!</v>
      </c>
      <c r="K105" s="87" t="e">
        <f t="shared" si="4"/>
        <v>#DIV/0!</v>
      </c>
      <c r="L105" s="87" t="e">
        <f t="shared" si="4"/>
        <v>#DIV/0!</v>
      </c>
      <c r="M105" s="88" t="e">
        <f t="shared" si="4"/>
        <v>#DIV/0!</v>
      </c>
      <c r="O105" s="121" t="str">
        <f t="shared" si="5"/>
        <v>שפרעם</v>
      </c>
      <c r="P105" s="121" t="str">
        <f t="shared" si="5"/>
        <v>יוקנעם</v>
      </c>
    </row>
    <row r="106" spans="1:16" x14ac:dyDescent="0.3">
      <c r="A106" s="61">
        <v>4</v>
      </c>
      <c r="B106" s="61">
        <v>23</v>
      </c>
      <c r="C106" s="97"/>
      <c r="D106" s="79"/>
      <c r="E106" s="79"/>
      <c r="F106" s="79"/>
      <c r="G106" s="94"/>
      <c r="I106" s="86" t="e">
        <f t="shared" si="4"/>
        <v>#DIV/0!</v>
      </c>
      <c r="J106" s="87" t="e">
        <f t="shared" si="4"/>
        <v>#DIV/0!</v>
      </c>
      <c r="K106" s="87" t="e">
        <f t="shared" si="4"/>
        <v>#DIV/0!</v>
      </c>
      <c r="L106" s="87" t="e">
        <f t="shared" si="4"/>
        <v>#DIV/0!</v>
      </c>
      <c r="M106" s="88" t="e">
        <f t="shared" si="4"/>
        <v>#DIV/0!</v>
      </c>
      <c r="O106" s="121" t="str">
        <f t="shared" si="5"/>
        <v>שפרעם</v>
      </c>
      <c r="P106" s="121" t="str">
        <f t="shared" si="5"/>
        <v>דלית אל כרמל</v>
      </c>
    </row>
    <row r="107" spans="1:16" x14ac:dyDescent="0.3">
      <c r="A107" s="61">
        <v>4</v>
      </c>
      <c r="B107" s="61">
        <v>24</v>
      </c>
      <c r="C107" s="97"/>
      <c r="D107" s="79"/>
      <c r="E107" s="79"/>
      <c r="F107" s="79"/>
      <c r="G107" s="94"/>
      <c r="I107" s="86" t="e">
        <f t="shared" si="4"/>
        <v>#DIV/0!</v>
      </c>
      <c r="J107" s="87" t="e">
        <f t="shared" si="4"/>
        <v>#DIV/0!</v>
      </c>
      <c r="K107" s="87" t="e">
        <f t="shared" si="4"/>
        <v>#DIV/0!</v>
      </c>
      <c r="L107" s="87" t="e">
        <f t="shared" si="4"/>
        <v>#DIV/0!</v>
      </c>
      <c r="M107" s="88" t="e">
        <f t="shared" si="4"/>
        <v>#DIV/0!</v>
      </c>
      <c r="O107" s="121" t="str">
        <f t="shared" si="5"/>
        <v>שפרעם</v>
      </c>
      <c r="P107" s="121" t="str">
        <f t="shared" si="5"/>
        <v>חוף הכרמל</v>
      </c>
    </row>
    <row r="108" spans="1:16" x14ac:dyDescent="0.3">
      <c r="A108" s="61">
        <v>4</v>
      </c>
      <c r="B108" s="61">
        <v>25</v>
      </c>
      <c r="C108" s="97"/>
      <c r="D108" s="79"/>
      <c r="E108" s="79"/>
      <c r="F108" s="79"/>
      <c r="G108" s="94"/>
      <c r="I108" s="86" t="e">
        <f t="shared" si="4"/>
        <v>#DIV/0!</v>
      </c>
      <c r="J108" s="87" t="e">
        <f t="shared" si="4"/>
        <v>#DIV/0!</v>
      </c>
      <c r="K108" s="87" t="e">
        <f t="shared" si="4"/>
        <v>#DIV/0!</v>
      </c>
      <c r="L108" s="87" t="e">
        <f t="shared" si="4"/>
        <v>#DIV/0!</v>
      </c>
      <c r="M108" s="88" t="e">
        <f t="shared" si="4"/>
        <v>#DIV/0!</v>
      </c>
      <c r="O108" s="121" t="str">
        <f t="shared" si="5"/>
        <v>שפרעם</v>
      </c>
      <c r="P108" s="121" t="str">
        <f t="shared" si="5"/>
        <v>זכרון יעקב</v>
      </c>
    </row>
    <row r="109" spans="1:16" x14ac:dyDescent="0.3">
      <c r="A109" s="61">
        <v>4</v>
      </c>
      <c r="B109" s="61">
        <v>30</v>
      </c>
      <c r="C109" s="97"/>
      <c r="D109" s="79"/>
      <c r="E109" s="79"/>
      <c r="F109" s="79"/>
      <c r="G109" s="94"/>
      <c r="I109" s="86" t="e">
        <f t="shared" si="4"/>
        <v>#DIV/0!</v>
      </c>
      <c r="J109" s="87" t="e">
        <f t="shared" si="4"/>
        <v>#DIV/0!</v>
      </c>
      <c r="K109" s="87" t="e">
        <f t="shared" si="4"/>
        <v>#DIV/0!</v>
      </c>
      <c r="L109" s="87" t="e">
        <f t="shared" si="4"/>
        <v>#DIV/0!</v>
      </c>
      <c r="M109" s="88" t="e">
        <f t="shared" si="4"/>
        <v>#DIV/0!</v>
      </c>
      <c r="O109" s="121" t="str">
        <f t="shared" si="5"/>
        <v>שפרעם</v>
      </c>
      <c r="P109" s="121" t="str">
        <f t="shared" si="5"/>
        <v>סכנין</v>
      </c>
    </row>
    <row r="110" spans="1:16" x14ac:dyDescent="0.3">
      <c r="A110" s="61">
        <v>5</v>
      </c>
      <c r="B110" s="61">
        <v>1</v>
      </c>
      <c r="C110" s="97"/>
      <c r="D110" s="79"/>
      <c r="E110" s="79"/>
      <c r="F110" s="79"/>
      <c r="G110" s="94"/>
      <c r="I110" s="86" t="e">
        <f t="shared" si="4"/>
        <v>#DIV/0!</v>
      </c>
      <c r="J110" s="87" t="e">
        <f t="shared" si="4"/>
        <v>#DIV/0!</v>
      </c>
      <c r="K110" s="87" t="e">
        <f t="shared" si="4"/>
        <v>#DIV/0!</v>
      </c>
      <c r="L110" s="87" t="e">
        <f t="shared" si="4"/>
        <v>#DIV/0!</v>
      </c>
      <c r="M110" s="88" t="e">
        <f t="shared" si="4"/>
        <v>#DIV/0!</v>
      </c>
      <c r="O110" s="121" t="str">
        <f t="shared" si="5"/>
        <v>קרית ים</v>
      </c>
      <c r="P110" s="121" t="str">
        <f t="shared" si="5"/>
        <v>נהריה</v>
      </c>
    </row>
    <row r="111" spans="1:16" x14ac:dyDescent="0.3">
      <c r="A111" s="61">
        <v>5</v>
      </c>
      <c r="B111" s="61">
        <v>2</v>
      </c>
      <c r="C111" s="97"/>
      <c r="D111" s="79"/>
      <c r="E111" s="79"/>
      <c r="F111" s="79"/>
      <c r="G111" s="94"/>
      <c r="I111" s="86" t="e">
        <f t="shared" si="4"/>
        <v>#DIV/0!</v>
      </c>
      <c r="J111" s="87" t="e">
        <f t="shared" si="4"/>
        <v>#DIV/0!</v>
      </c>
      <c r="K111" s="87" t="e">
        <f t="shared" si="4"/>
        <v>#DIV/0!</v>
      </c>
      <c r="L111" s="87" t="e">
        <f t="shared" si="4"/>
        <v>#DIV/0!</v>
      </c>
      <c r="M111" s="88" t="e">
        <f t="shared" si="4"/>
        <v>#DIV/0!</v>
      </c>
      <c r="O111" s="121" t="str">
        <f t="shared" si="5"/>
        <v>קרית ים</v>
      </c>
      <c r="P111" s="121" t="str">
        <f t="shared" si="5"/>
        <v>עכו</v>
      </c>
    </row>
    <row r="112" spans="1:16" x14ac:dyDescent="0.3">
      <c r="A112" s="61">
        <v>5</v>
      </c>
      <c r="B112" s="61">
        <v>3</v>
      </c>
      <c r="C112" s="97"/>
      <c r="D112" s="79"/>
      <c r="E112" s="79"/>
      <c r="F112" s="79"/>
      <c r="G112" s="94"/>
      <c r="I112" s="86" t="e">
        <f t="shared" si="4"/>
        <v>#DIV/0!</v>
      </c>
      <c r="J112" s="87" t="e">
        <f t="shared" si="4"/>
        <v>#DIV/0!</v>
      </c>
      <c r="K112" s="87" t="e">
        <f t="shared" si="4"/>
        <v>#DIV/0!</v>
      </c>
      <c r="L112" s="87" t="e">
        <f t="shared" si="4"/>
        <v>#DIV/0!</v>
      </c>
      <c r="M112" s="88" t="e">
        <f t="shared" si="4"/>
        <v>#DIV/0!</v>
      </c>
      <c r="O112" s="121" t="str">
        <f t="shared" si="5"/>
        <v>קרית ים</v>
      </c>
      <c r="P112" s="121" t="str">
        <f t="shared" si="5"/>
        <v>כרמיאל</v>
      </c>
    </row>
    <row r="113" spans="1:16" x14ac:dyDescent="0.3">
      <c r="A113" s="61">
        <v>5</v>
      </c>
      <c r="B113" s="61">
        <v>4</v>
      </c>
      <c r="C113" s="97"/>
      <c r="D113" s="79"/>
      <c r="E113" s="79"/>
      <c r="F113" s="79"/>
      <c r="G113" s="94"/>
      <c r="I113" s="86" t="e">
        <f t="shared" si="4"/>
        <v>#DIV/0!</v>
      </c>
      <c r="J113" s="87" t="e">
        <f t="shared" si="4"/>
        <v>#DIV/0!</v>
      </c>
      <c r="K113" s="87" t="e">
        <f t="shared" si="4"/>
        <v>#DIV/0!</v>
      </c>
      <c r="L113" s="87" t="e">
        <f t="shared" si="4"/>
        <v>#DIV/0!</v>
      </c>
      <c r="M113" s="88" t="e">
        <f t="shared" si="4"/>
        <v>#DIV/0!</v>
      </c>
      <c r="O113" s="121" t="str">
        <f t="shared" si="5"/>
        <v>קרית ים</v>
      </c>
      <c r="P113" s="121" t="str">
        <f t="shared" si="5"/>
        <v>שפרעם</v>
      </c>
    </row>
    <row r="114" spans="1:16" x14ac:dyDescent="0.3">
      <c r="A114" s="61">
        <v>5</v>
      </c>
      <c r="B114" s="61">
        <v>5</v>
      </c>
      <c r="C114" s="97"/>
      <c r="D114" s="79"/>
      <c r="E114" s="79"/>
      <c r="F114" s="79"/>
      <c r="G114" s="94"/>
      <c r="I114" s="86" t="e">
        <f t="shared" si="4"/>
        <v>#DIV/0!</v>
      </c>
      <c r="J114" s="87" t="e">
        <f t="shared" si="4"/>
        <v>#DIV/0!</v>
      </c>
      <c r="K114" s="87" t="e">
        <f t="shared" si="4"/>
        <v>#DIV/0!</v>
      </c>
      <c r="L114" s="87" t="e">
        <f t="shared" si="4"/>
        <v>#DIV/0!</v>
      </c>
      <c r="M114" s="88" t="e">
        <f t="shared" si="4"/>
        <v>#DIV/0!</v>
      </c>
      <c r="O114" s="121" t="str">
        <f t="shared" si="5"/>
        <v>קרית ים</v>
      </c>
      <c r="P114" s="121" t="str">
        <f t="shared" si="5"/>
        <v>קרית ים</v>
      </c>
    </row>
    <row r="115" spans="1:16" x14ac:dyDescent="0.3">
      <c r="A115" s="61">
        <v>5</v>
      </c>
      <c r="B115" s="61">
        <v>6</v>
      </c>
      <c r="C115" s="97"/>
      <c r="D115" s="79"/>
      <c r="E115" s="79"/>
      <c r="F115" s="79"/>
      <c r="G115" s="94"/>
      <c r="I115" s="86" t="e">
        <f t="shared" si="4"/>
        <v>#DIV/0!</v>
      </c>
      <c r="J115" s="87" t="e">
        <f t="shared" si="4"/>
        <v>#DIV/0!</v>
      </c>
      <c r="K115" s="87" t="e">
        <f t="shared" si="4"/>
        <v>#DIV/0!</v>
      </c>
      <c r="L115" s="87" t="e">
        <f t="shared" si="4"/>
        <v>#DIV/0!</v>
      </c>
      <c r="M115" s="88" t="e">
        <f t="shared" si="4"/>
        <v>#DIV/0!</v>
      </c>
      <c r="O115" s="121" t="str">
        <f t="shared" si="5"/>
        <v>קרית ים</v>
      </c>
      <c r="P115" s="121" t="str">
        <f t="shared" si="5"/>
        <v>קרית מוצקין</v>
      </c>
    </row>
    <row r="116" spans="1:16" x14ac:dyDescent="0.3">
      <c r="A116" s="61">
        <v>5</v>
      </c>
      <c r="B116" s="61">
        <v>7</v>
      </c>
      <c r="C116" s="97"/>
      <c r="D116" s="79"/>
      <c r="E116" s="79"/>
      <c r="F116" s="79"/>
      <c r="G116" s="94"/>
      <c r="I116" s="86" t="e">
        <f t="shared" si="4"/>
        <v>#DIV/0!</v>
      </c>
      <c r="J116" s="87" t="e">
        <f t="shared" si="4"/>
        <v>#DIV/0!</v>
      </c>
      <c r="K116" s="87" t="e">
        <f t="shared" si="4"/>
        <v>#DIV/0!</v>
      </c>
      <c r="L116" s="87" t="e">
        <f t="shared" si="4"/>
        <v>#DIV/0!</v>
      </c>
      <c r="M116" s="88" t="e">
        <f t="shared" si="4"/>
        <v>#DIV/0!</v>
      </c>
      <c r="O116" s="121" t="str">
        <f t="shared" si="5"/>
        <v>קרית ים</v>
      </c>
      <c r="P116" s="121" t="str">
        <f t="shared" si="5"/>
        <v>קרית ביאליק</v>
      </c>
    </row>
    <row r="117" spans="1:16" x14ac:dyDescent="0.3">
      <c r="A117" s="61">
        <v>5</v>
      </c>
      <c r="B117" s="61">
        <v>8</v>
      </c>
      <c r="C117" s="97"/>
      <c r="D117" s="79"/>
      <c r="E117" s="79"/>
      <c r="F117" s="79"/>
      <c r="G117" s="94"/>
      <c r="I117" s="86" t="e">
        <f t="shared" si="4"/>
        <v>#DIV/0!</v>
      </c>
      <c r="J117" s="87" t="e">
        <f t="shared" si="4"/>
        <v>#DIV/0!</v>
      </c>
      <c r="K117" s="87" t="e">
        <f t="shared" si="4"/>
        <v>#DIV/0!</v>
      </c>
      <c r="L117" s="87" t="e">
        <f t="shared" si="4"/>
        <v>#DIV/0!</v>
      </c>
      <c r="M117" s="88" t="e">
        <f t="shared" si="4"/>
        <v>#DIV/0!</v>
      </c>
      <c r="O117" s="121" t="str">
        <f t="shared" si="5"/>
        <v>קרית ים</v>
      </c>
      <c r="P117" s="121" t="str">
        <f t="shared" si="5"/>
        <v>קרית חיים</v>
      </c>
    </row>
    <row r="118" spans="1:16" x14ac:dyDescent="0.3">
      <c r="A118" s="61">
        <v>5</v>
      </c>
      <c r="B118" s="61">
        <v>9</v>
      </c>
      <c r="C118" s="97"/>
      <c r="D118" s="79"/>
      <c r="E118" s="79"/>
      <c r="F118" s="79"/>
      <c r="G118" s="94"/>
      <c r="I118" s="86" t="e">
        <f t="shared" si="4"/>
        <v>#DIV/0!</v>
      </c>
      <c r="J118" s="87" t="e">
        <f t="shared" si="4"/>
        <v>#DIV/0!</v>
      </c>
      <c r="K118" s="87" t="e">
        <f t="shared" si="4"/>
        <v>#DIV/0!</v>
      </c>
      <c r="L118" s="87" t="e">
        <f t="shared" si="4"/>
        <v>#DIV/0!</v>
      </c>
      <c r="M118" s="88" t="e">
        <f t="shared" si="4"/>
        <v>#DIV/0!</v>
      </c>
      <c r="O118" s="121" t="str">
        <f t="shared" si="5"/>
        <v>קרית ים</v>
      </c>
      <c r="P118" s="121" t="str">
        <f t="shared" si="5"/>
        <v>קרית אתא</v>
      </c>
    </row>
    <row r="119" spans="1:16" x14ac:dyDescent="0.3">
      <c r="A119" s="61">
        <v>5</v>
      </c>
      <c r="B119" s="61">
        <v>10</v>
      </c>
      <c r="C119" s="97"/>
      <c r="D119" s="79"/>
      <c r="E119" s="79"/>
      <c r="F119" s="79"/>
      <c r="G119" s="94"/>
      <c r="I119" s="86" t="e">
        <f t="shared" si="4"/>
        <v>#DIV/0!</v>
      </c>
      <c r="J119" s="87" t="e">
        <f t="shared" si="4"/>
        <v>#DIV/0!</v>
      </c>
      <c r="K119" s="87" t="e">
        <f t="shared" si="4"/>
        <v>#DIV/0!</v>
      </c>
      <c r="L119" s="87" t="e">
        <f t="shared" si="4"/>
        <v>#DIV/0!</v>
      </c>
      <c r="M119" s="88" t="e">
        <f t="shared" si="4"/>
        <v>#DIV/0!</v>
      </c>
      <c r="O119" s="121" t="str">
        <f t="shared" si="5"/>
        <v>קרית ים</v>
      </c>
      <c r="P119" s="121" t="str">
        <f t="shared" si="5"/>
        <v>כפר מנדא</v>
      </c>
    </row>
    <row r="120" spans="1:16" x14ac:dyDescent="0.3">
      <c r="A120" s="61">
        <v>5</v>
      </c>
      <c r="B120" s="61">
        <v>11</v>
      </c>
      <c r="C120" s="97"/>
      <c r="D120" s="79"/>
      <c r="E120" s="79"/>
      <c r="F120" s="79"/>
      <c r="G120" s="94"/>
      <c r="I120" s="86" t="e">
        <f t="shared" si="4"/>
        <v>#DIV/0!</v>
      </c>
      <c r="J120" s="87" t="e">
        <f t="shared" si="4"/>
        <v>#DIV/0!</v>
      </c>
      <c r="K120" s="87" t="e">
        <f t="shared" si="4"/>
        <v>#DIV/0!</v>
      </c>
      <c r="L120" s="87" t="e">
        <f t="shared" si="4"/>
        <v>#DIV/0!</v>
      </c>
      <c r="M120" s="88" t="e">
        <f t="shared" si="4"/>
        <v>#DIV/0!</v>
      </c>
      <c r="O120" s="121" t="str">
        <f t="shared" si="5"/>
        <v>קרית ים</v>
      </c>
      <c r="P120" s="121" t="str">
        <f t="shared" si="5"/>
        <v>זבולון</v>
      </c>
    </row>
    <row r="121" spans="1:16" x14ac:dyDescent="0.3">
      <c r="A121" s="61">
        <v>5</v>
      </c>
      <c r="B121" s="61">
        <v>12</v>
      </c>
      <c r="C121" s="97"/>
      <c r="D121" s="79"/>
      <c r="E121" s="79"/>
      <c r="F121" s="79"/>
      <c r="G121" s="94"/>
      <c r="I121" s="86" t="e">
        <f t="shared" ref="I121:M171" si="6">C121/SUM($C121:$G121)</f>
        <v>#DIV/0!</v>
      </c>
      <c r="J121" s="87" t="e">
        <f t="shared" si="6"/>
        <v>#DIV/0!</v>
      </c>
      <c r="K121" s="87" t="e">
        <f t="shared" si="6"/>
        <v>#DIV/0!</v>
      </c>
      <c r="L121" s="87" t="e">
        <f t="shared" si="6"/>
        <v>#DIV/0!</v>
      </c>
      <c r="M121" s="88" t="e">
        <f t="shared" si="6"/>
        <v>#DIV/0!</v>
      </c>
      <c r="O121" s="121" t="str">
        <f t="shared" si="5"/>
        <v>קרית ים</v>
      </c>
      <c r="P121" s="121" t="str">
        <f t="shared" si="5"/>
        <v>חיפה מפרץ</v>
      </c>
    </row>
    <row r="122" spans="1:16" x14ac:dyDescent="0.3">
      <c r="A122" s="61">
        <v>5</v>
      </c>
      <c r="B122" s="61">
        <v>13</v>
      </c>
      <c r="C122" s="97"/>
      <c r="D122" s="79"/>
      <c r="E122" s="79"/>
      <c r="F122" s="79"/>
      <c r="G122" s="94"/>
      <c r="I122" s="86" t="e">
        <f t="shared" si="6"/>
        <v>#DIV/0!</v>
      </c>
      <c r="J122" s="87" t="e">
        <f t="shared" si="6"/>
        <v>#DIV/0!</v>
      </c>
      <c r="K122" s="87" t="e">
        <f t="shared" si="6"/>
        <v>#DIV/0!</v>
      </c>
      <c r="L122" s="87" t="e">
        <f t="shared" si="6"/>
        <v>#DIV/0!</v>
      </c>
      <c r="M122" s="88" t="e">
        <f t="shared" si="6"/>
        <v>#DIV/0!</v>
      </c>
      <c r="O122" s="121" t="str">
        <f t="shared" si="5"/>
        <v>קרית ים</v>
      </c>
      <c r="P122" s="121" t="str">
        <f t="shared" si="5"/>
        <v>חיפה עיר תחתית</v>
      </c>
    </row>
    <row r="123" spans="1:16" x14ac:dyDescent="0.3">
      <c r="A123" s="61">
        <v>5</v>
      </c>
      <c r="B123" s="61">
        <v>14</v>
      </c>
      <c r="C123" s="97"/>
      <c r="D123" s="79"/>
      <c r="E123" s="79"/>
      <c r="F123" s="79"/>
      <c r="G123" s="94"/>
      <c r="I123" s="86" t="e">
        <f t="shared" si="6"/>
        <v>#DIV/0!</v>
      </c>
      <c r="J123" s="87" t="e">
        <f t="shared" si="6"/>
        <v>#DIV/0!</v>
      </c>
      <c r="K123" s="87" t="e">
        <f t="shared" si="6"/>
        <v>#DIV/0!</v>
      </c>
      <c r="L123" s="87" t="e">
        <f t="shared" si="6"/>
        <v>#DIV/0!</v>
      </c>
      <c r="M123" s="88" t="e">
        <f t="shared" si="6"/>
        <v>#DIV/0!</v>
      </c>
      <c r="O123" s="121" t="str">
        <f t="shared" si="5"/>
        <v>קרית ים</v>
      </c>
      <c r="P123" s="121" t="str">
        <f t="shared" si="5"/>
        <v>חיפה הדר-כרמל</v>
      </c>
    </row>
    <row r="124" spans="1:16" x14ac:dyDescent="0.3">
      <c r="A124" s="61">
        <v>5</v>
      </c>
      <c r="B124" s="61">
        <v>15</v>
      </c>
      <c r="C124" s="97"/>
      <c r="D124" s="79"/>
      <c r="E124" s="79"/>
      <c r="F124" s="79"/>
      <c r="G124" s="94"/>
      <c r="I124" s="86" t="e">
        <f t="shared" si="6"/>
        <v>#DIV/0!</v>
      </c>
      <c r="J124" s="87" t="e">
        <f t="shared" si="6"/>
        <v>#DIV/0!</v>
      </c>
      <c r="K124" s="87" t="e">
        <f t="shared" si="6"/>
        <v>#DIV/0!</v>
      </c>
      <c r="L124" s="87" t="e">
        <f t="shared" si="6"/>
        <v>#DIV/0!</v>
      </c>
      <c r="M124" s="88" t="e">
        <f t="shared" si="6"/>
        <v>#DIV/0!</v>
      </c>
      <c r="O124" s="121" t="str">
        <f t="shared" si="5"/>
        <v>קרית ים</v>
      </c>
      <c r="P124" s="121" t="str">
        <f t="shared" si="5"/>
        <v>חיפה מערב</v>
      </c>
    </row>
    <row r="125" spans="1:16" x14ac:dyDescent="0.3">
      <c r="A125" s="61">
        <v>5</v>
      </c>
      <c r="B125" s="61">
        <v>16</v>
      </c>
      <c r="C125" s="97"/>
      <c r="D125" s="79"/>
      <c r="E125" s="79"/>
      <c r="F125" s="79"/>
      <c r="G125" s="94"/>
      <c r="I125" s="86" t="e">
        <f t="shared" si="6"/>
        <v>#DIV/0!</v>
      </c>
      <c r="J125" s="87" t="e">
        <f t="shared" si="6"/>
        <v>#DIV/0!</v>
      </c>
      <c r="K125" s="87" t="e">
        <f t="shared" si="6"/>
        <v>#DIV/0!</v>
      </c>
      <c r="L125" s="87" t="e">
        <f t="shared" si="6"/>
        <v>#DIV/0!</v>
      </c>
      <c r="M125" s="88" t="e">
        <f t="shared" si="6"/>
        <v>#DIV/0!</v>
      </c>
      <c r="O125" s="121" t="str">
        <f t="shared" si="5"/>
        <v>קרית ים</v>
      </c>
      <c r="P125" s="121" t="str">
        <f t="shared" si="5"/>
        <v>חיפה כרמל</v>
      </c>
    </row>
    <row r="126" spans="1:16" x14ac:dyDescent="0.3">
      <c r="A126" s="61">
        <v>5</v>
      </c>
      <c r="B126" s="61">
        <v>17</v>
      </c>
      <c r="C126" s="97"/>
      <c r="D126" s="79"/>
      <c r="E126" s="79"/>
      <c r="F126" s="79"/>
      <c r="G126" s="94"/>
      <c r="I126" s="86" t="e">
        <f t="shared" si="6"/>
        <v>#DIV/0!</v>
      </c>
      <c r="J126" s="87" t="e">
        <f t="shared" si="6"/>
        <v>#DIV/0!</v>
      </c>
      <c r="K126" s="87" t="e">
        <f t="shared" si="6"/>
        <v>#DIV/0!</v>
      </c>
      <c r="L126" s="87" t="e">
        <f t="shared" si="6"/>
        <v>#DIV/0!</v>
      </c>
      <c r="M126" s="88" t="e">
        <f t="shared" si="6"/>
        <v>#DIV/0!</v>
      </c>
      <c r="O126" s="121" t="str">
        <f t="shared" si="5"/>
        <v>קרית ים</v>
      </c>
      <c r="P126" s="121" t="str">
        <f t="shared" si="5"/>
        <v>חיפה נווה שאנן</v>
      </c>
    </row>
    <row r="127" spans="1:16" x14ac:dyDescent="0.3">
      <c r="A127" s="61">
        <v>5</v>
      </c>
      <c r="B127" s="61">
        <v>18</v>
      </c>
      <c r="C127" s="97"/>
      <c r="D127" s="79"/>
      <c r="E127" s="79"/>
      <c r="F127" s="79"/>
      <c r="G127" s="94"/>
      <c r="I127" s="86" t="e">
        <f t="shared" si="6"/>
        <v>#DIV/0!</v>
      </c>
      <c r="J127" s="87" t="e">
        <f t="shared" si="6"/>
        <v>#DIV/0!</v>
      </c>
      <c r="K127" s="87" t="e">
        <f t="shared" si="6"/>
        <v>#DIV/0!</v>
      </c>
      <c r="L127" s="87" t="e">
        <f t="shared" si="6"/>
        <v>#DIV/0!</v>
      </c>
      <c r="M127" s="88" t="e">
        <f t="shared" si="6"/>
        <v>#DIV/0!</v>
      </c>
      <c r="O127" s="121" t="str">
        <f t="shared" si="5"/>
        <v>קרית ים</v>
      </c>
      <c r="P127" s="121" t="str">
        <f t="shared" si="5"/>
        <v>נשר</v>
      </c>
    </row>
    <row r="128" spans="1:16" x14ac:dyDescent="0.3">
      <c r="A128" s="61">
        <v>5</v>
      </c>
      <c r="B128" s="61">
        <v>19</v>
      </c>
      <c r="C128" s="97"/>
      <c r="D128" s="79"/>
      <c r="E128" s="79"/>
      <c r="F128" s="79"/>
      <c r="G128" s="94"/>
      <c r="I128" s="86" t="e">
        <f t="shared" si="6"/>
        <v>#DIV/0!</v>
      </c>
      <c r="J128" s="87" t="e">
        <f t="shared" si="6"/>
        <v>#DIV/0!</v>
      </c>
      <c r="K128" s="87" t="e">
        <f t="shared" si="6"/>
        <v>#DIV/0!</v>
      </c>
      <c r="L128" s="87" t="e">
        <f t="shared" si="6"/>
        <v>#DIV/0!</v>
      </c>
      <c r="M128" s="88" t="e">
        <f t="shared" si="6"/>
        <v>#DIV/0!</v>
      </c>
      <c r="O128" s="121" t="str">
        <f t="shared" si="5"/>
        <v>קרית ים</v>
      </c>
      <c r="P128" s="121" t="str">
        <f t="shared" si="5"/>
        <v>נצרת</v>
      </c>
    </row>
    <row r="129" spans="1:16" x14ac:dyDescent="0.3">
      <c r="A129" s="61">
        <v>5</v>
      </c>
      <c r="B129" s="61">
        <v>20</v>
      </c>
      <c r="C129" s="97"/>
      <c r="D129" s="79"/>
      <c r="E129" s="79"/>
      <c r="F129" s="79"/>
      <c r="G129" s="94"/>
      <c r="I129" s="86" t="e">
        <f t="shared" si="6"/>
        <v>#DIV/0!</v>
      </c>
      <c r="J129" s="87" t="e">
        <f t="shared" si="6"/>
        <v>#DIV/0!</v>
      </c>
      <c r="K129" s="87" t="e">
        <f t="shared" si="6"/>
        <v>#DIV/0!</v>
      </c>
      <c r="L129" s="87" t="e">
        <f t="shared" si="6"/>
        <v>#DIV/0!</v>
      </c>
      <c r="M129" s="88" t="e">
        <f t="shared" si="6"/>
        <v>#DIV/0!</v>
      </c>
      <c r="O129" s="121" t="str">
        <f t="shared" si="5"/>
        <v>קרית ים</v>
      </c>
      <c r="P129" s="121" t="str">
        <f t="shared" si="5"/>
        <v>נצרת-עילית</v>
      </c>
    </row>
    <row r="130" spans="1:16" x14ac:dyDescent="0.3">
      <c r="A130" s="61">
        <v>5</v>
      </c>
      <c r="B130" s="61">
        <v>21</v>
      </c>
      <c r="C130" s="97"/>
      <c r="D130" s="79"/>
      <c r="E130" s="79"/>
      <c r="F130" s="79"/>
      <c r="G130" s="94"/>
      <c r="I130" s="86" t="e">
        <f t="shared" si="6"/>
        <v>#DIV/0!</v>
      </c>
      <c r="J130" s="87" t="e">
        <f t="shared" si="6"/>
        <v>#DIV/0!</v>
      </c>
      <c r="K130" s="87" t="e">
        <f t="shared" si="6"/>
        <v>#DIV/0!</v>
      </c>
      <c r="L130" s="87" t="e">
        <f t="shared" si="6"/>
        <v>#DIV/0!</v>
      </c>
      <c r="M130" s="88" t="e">
        <f t="shared" si="6"/>
        <v>#DIV/0!</v>
      </c>
      <c r="O130" s="121" t="str">
        <f t="shared" si="5"/>
        <v>קרית ים</v>
      </c>
      <c r="P130" s="121" t="str">
        <f t="shared" si="5"/>
        <v>מגדל העמק</v>
      </c>
    </row>
    <row r="131" spans="1:16" x14ac:dyDescent="0.3">
      <c r="A131" s="61">
        <v>5</v>
      </c>
      <c r="B131" s="61">
        <v>22</v>
      </c>
      <c r="C131" s="97"/>
      <c r="D131" s="79"/>
      <c r="E131" s="79"/>
      <c r="F131" s="79"/>
      <c r="G131" s="94"/>
      <c r="I131" s="86" t="e">
        <f t="shared" si="6"/>
        <v>#DIV/0!</v>
      </c>
      <c r="J131" s="87" t="e">
        <f t="shared" si="6"/>
        <v>#DIV/0!</v>
      </c>
      <c r="K131" s="87" t="e">
        <f t="shared" si="6"/>
        <v>#DIV/0!</v>
      </c>
      <c r="L131" s="87" t="e">
        <f t="shared" si="6"/>
        <v>#DIV/0!</v>
      </c>
      <c r="M131" s="88" t="e">
        <f t="shared" si="6"/>
        <v>#DIV/0!</v>
      </c>
      <c r="O131" s="121" t="str">
        <f t="shared" si="5"/>
        <v>קרית ים</v>
      </c>
      <c r="P131" s="121" t="str">
        <f t="shared" si="5"/>
        <v>יוקנעם</v>
      </c>
    </row>
    <row r="132" spans="1:16" x14ac:dyDescent="0.3">
      <c r="A132" s="61">
        <v>5</v>
      </c>
      <c r="B132" s="61">
        <v>23</v>
      </c>
      <c r="C132" s="97"/>
      <c r="D132" s="79"/>
      <c r="E132" s="79"/>
      <c r="F132" s="79"/>
      <c r="G132" s="94"/>
      <c r="I132" s="86" t="e">
        <f t="shared" si="6"/>
        <v>#DIV/0!</v>
      </c>
      <c r="J132" s="87" t="e">
        <f t="shared" si="6"/>
        <v>#DIV/0!</v>
      </c>
      <c r="K132" s="87" t="e">
        <f t="shared" si="6"/>
        <v>#DIV/0!</v>
      </c>
      <c r="L132" s="87" t="e">
        <f t="shared" si="6"/>
        <v>#DIV/0!</v>
      </c>
      <c r="M132" s="88" t="e">
        <f t="shared" si="6"/>
        <v>#DIV/0!</v>
      </c>
      <c r="O132" s="121" t="str">
        <f t="shared" si="5"/>
        <v>קרית ים</v>
      </c>
      <c r="P132" s="121" t="str">
        <f t="shared" si="5"/>
        <v>דלית אל כרמל</v>
      </c>
    </row>
    <row r="133" spans="1:16" x14ac:dyDescent="0.3">
      <c r="A133" s="61">
        <v>5</v>
      </c>
      <c r="B133" s="61">
        <v>24</v>
      </c>
      <c r="C133" s="97"/>
      <c r="D133" s="79"/>
      <c r="E133" s="79"/>
      <c r="F133" s="79"/>
      <c r="G133" s="94"/>
      <c r="I133" s="86" t="e">
        <f t="shared" si="6"/>
        <v>#DIV/0!</v>
      </c>
      <c r="J133" s="87" t="e">
        <f t="shared" si="6"/>
        <v>#DIV/0!</v>
      </c>
      <c r="K133" s="87" t="e">
        <f t="shared" si="6"/>
        <v>#DIV/0!</v>
      </c>
      <c r="L133" s="87" t="e">
        <f t="shared" si="6"/>
        <v>#DIV/0!</v>
      </c>
      <c r="M133" s="88" t="e">
        <f t="shared" si="6"/>
        <v>#DIV/0!</v>
      </c>
      <c r="O133" s="121" t="str">
        <f t="shared" si="5"/>
        <v>קרית ים</v>
      </c>
      <c r="P133" s="121" t="str">
        <f t="shared" si="5"/>
        <v>חוף הכרמל</v>
      </c>
    </row>
    <row r="134" spans="1:16" x14ac:dyDescent="0.3">
      <c r="A134" s="61">
        <v>5</v>
      </c>
      <c r="B134" s="61">
        <v>25</v>
      </c>
      <c r="C134" s="97"/>
      <c r="D134" s="79"/>
      <c r="E134" s="79"/>
      <c r="F134" s="79"/>
      <c r="G134" s="94"/>
      <c r="I134" s="86" t="e">
        <f t="shared" si="6"/>
        <v>#DIV/0!</v>
      </c>
      <c r="J134" s="87" t="e">
        <f t="shared" si="6"/>
        <v>#DIV/0!</v>
      </c>
      <c r="K134" s="87" t="e">
        <f t="shared" si="6"/>
        <v>#DIV/0!</v>
      </c>
      <c r="L134" s="87" t="e">
        <f t="shared" si="6"/>
        <v>#DIV/0!</v>
      </c>
      <c r="M134" s="88" t="e">
        <f t="shared" si="6"/>
        <v>#DIV/0!</v>
      </c>
      <c r="O134" s="121" t="str">
        <f t="shared" si="5"/>
        <v>קרית ים</v>
      </c>
      <c r="P134" s="121" t="str">
        <f t="shared" si="5"/>
        <v>זכרון יעקב</v>
      </c>
    </row>
    <row r="135" spans="1:16" x14ac:dyDescent="0.3">
      <c r="A135" s="61">
        <v>5</v>
      </c>
      <c r="B135" s="61">
        <v>30</v>
      </c>
      <c r="C135" s="97"/>
      <c r="D135" s="79"/>
      <c r="E135" s="79"/>
      <c r="F135" s="79"/>
      <c r="G135" s="94"/>
      <c r="I135" s="86" t="e">
        <f t="shared" si="6"/>
        <v>#DIV/0!</v>
      </c>
      <c r="J135" s="87" t="e">
        <f t="shared" si="6"/>
        <v>#DIV/0!</v>
      </c>
      <c r="K135" s="87" t="e">
        <f t="shared" si="6"/>
        <v>#DIV/0!</v>
      </c>
      <c r="L135" s="87" t="e">
        <f t="shared" si="6"/>
        <v>#DIV/0!</v>
      </c>
      <c r="M135" s="88" t="e">
        <f t="shared" si="6"/>
        <v>#DIV/0!</v>
      </c>
      <c r="O135" s="121" t="str">
        <f t="shared" si="5"/>
        <v>קרית ים</v>
      </c>
      <c r="P135" s="121" t="str">
        <f t="shared" si="5"/>
        <v>סכנין</v>
      </c>
    </row>
    <row r="136" spans="1:16" x14ac:dyDescent="0.3">
      <c r="A136" s="61">
        <v>6</v>
      </c>
      <c r="B136" s="61">
        <v>1</v>
      </c>
      <c r="C136" s="97"/>
      <c r="D136" s="79"/>
      <c r="E136" s="79"/>
      <c r="F136" s="79"/>
      <c r="G136" s="94"/>
      <c r="I136" s="86" t="e">
        <f t="shared" si="6"/>
        <v>#DIV/0!</v>
      </c>
      <c r="J136" s="87" t="e">
        <f t="shared" si="6"/>
        <v>#DIV/0!</v>
      </c>
      <c r="K136" s="87" t="e">
        <f t="shared" si="6"/>
        <v>#DIV/0!</v>
      </c>
      <c r="L136" s="87" t="e">
        <f t="shared" si="6"/>
        <v>#DIV/0!</v>
      </c>
      <c r="M136" s="88" t="e">
        <f t="shared" si="6"/>
        <v>#DIV/0!</v>
      </c>
      <c r="O136" s="121" t="str">
        <f t="shared" ref="O136:P199" si="7">VLOOKUP(A136,$S$6:$T$31,2,0)</f>
        <v>קרית מוצקין</v>
      </c>
      <c r="P136" s="121" t="str">
        <f t="shared" si="7"/>
        <v>נהריה</v>
      </c>
    </row>
    <row r="137" spans="1:16" x14ac:dyDescent="0.3">
      <c r="A137" s="61">
        <v>6</v>
      </c>
      <c r="B137" s="61">
        <v>2</v>
      </c>
      <c r="C137" s="97"/>
      <c r="D137" s="79"/>
      <c r="E137" s="79"/>
      <c r="F137" s="79"/>
      <c r="G137" s="94"/>
      <c r="I137" s="86" t="e">
        <f t="shared" si="6"/>
        <v>#DIV/0!</v>
      </c>
      <c r="J137" s="87" t="e">
        <f t="shared" si="6"/>
        <v>#DIV/0!</v>
      </c>
      <c r="K137" s="87" t="e">
        <f t="shared" si="6"/>
        <v>#DIV/0!</v>
      </c>
      <c r="L137" s="87" t="e">
        <f t="shared" si="6"/>
        <v>#DIV/0!</v>
      </c>
      <c r="M137" s="88" t="e">
        <f t="shared" si="6"/>
        <v>#DIV/0!</v>
      </c>
      <c r="O137" s="121" t="str">
        <f t="shared" si="7"/>
        <v>קרית מוצקין</v>
      </c>
      <c r="P137" s="121" t="str">
        <f t="shared" si="7"/>
        <v>עכו</v>
      </c>
    </row>
    <row r="138" spans="1:16" x14ac:dyDescent="0.3">
      <c r="A138" s="61">
        <v>6</v>
      </c>
      <c r="B138" s="61">
        <v>3</v>
      </c>
      <c r="C138" s="97"/>
      <c r="D138" s="79"/>
      <c r="E138" s="79"/>
      <c r="F138" s="79"/>
      <c r="G138" s="94"/>
      <c r="I138" s="86" t="e">
        <f t="shared" si="6"/>
        <v>#DIV/0!</v>
      </c>
      <c r="J138" s="87" t="e">
        <f t="shared" si="6"/>
        <v>#DIV/0!</v>
      </c>
      <c r="K138" s="87" t="e">
        <f t="shared" si="6"/>
        <v>#DIV/0!</v>
      </c>
      <c r="L138" s="87" t="e">
        <f t="shared" si="6"/>
        <v>#DIV/0!</v>
      </c>
      <c r="M138" s="88" t="e">
        <f t="shared" si="6"/>
        <v>#DIV/0!</v>
      </c>
      <c r="O138" s="121" t="str">
        <f t="shared" si="7"/>
        <v>קרית מוצקין</v>
      </c>
      <c r="P138" s="121" t="str">
        <f t="shared" si="7"/>
        <v>כרמיאל</v>
      </c>
    </row>
    <row r="139" spans="1:16" x14ac:dyDescent="0.3">
      <c r="A139" s="61">
        <v>6</v>
      </c>
      <c r="B139" s="61">
        <v>4</v>
      </c>
      <c r="C139" s="97"/>
      <c r="D139" s="79"/>
      <c r="E139" s="79"/>
      <c r="F139" s="79"/>
      <c r="G139" s="94"/>
      <c r="I139" s="86" t="e">
        <f t="shared" si="6"/>
        <v>#DIV/0!</v>
      </c>
      <c r="J139" s="87" t="e">
        <f t="shared" si="6"/>
        <v>#DIV/0!</v>
      </c>
      <c r="K139" s="87" t="e">
        <f t="shared" si="6"/>
        <v>#DIV/0!</v>
      </c>
      <c r="L139" s="87" t="e">
        <f t="shared" si="6"/>
        <v>#DIV/0!</v>
      </c>
      <c r="M139" s="88" t="e">
        <f t="shared" si="6"/>
        <v>#DIV/0!</v>
      </c>
      <c r="O139" s="121" t="str">
        <f t="shared" si="7"/>
        <v>קרית מוצקין</v>
      </c>
      <c r="P139" s="121" t="str">
        <f t="shared" si="7"/>
        <v>שפרעם</v>
      </c>
    </row>
    <row r="140" spans="1:16" x14ac:dyDescent="0.3">
      <c r="A140" s="61">
        <v>6</v>
      </c>
      <c r="B140" s="61">
        <v>5</v>
      </c>
      <c r="C140" s="97"/>
      <c r="D140" s="79"/>
      <c r="E140" s="79"/>
      <c r="F140" s="79"/>
      <c r="G140" s="94"/>
      <c r="I140" s="86" t="e">
        <f t="shared" si="6"/>
        <v>#DIV/0!</v>
      </c>
      <c r="J140" s="87" t="e">
        <f t="shared" si="6"/>
        <v>#DIV/0!</v>
      </c>
      <c r="K140" s="87" t="e">
        <f t="shared" si="6"/>
        <v>#DIV/0!</v>
      </c>
      <c r="L140" s="87" t="e">
        <f t="shared" si="6"/>
        <v>#DIV/0!</v>
      </c>
      <c r="M140" s="88" t="e">
        <f t="shared" si="6"/>
        <v>#DIV/0!</v>
      </c>
      <c r="O140" s="121" t="str">
        <f t="shared" si="7"/>
        <v>קרית מוצקין</v>
      </c>
      <c r="P140" s="121" t="str">
        <f t="shared" si="7"/>
        <v>קרית ים</v>
      </c>
    </row>
    <row r="141" spans="1:16" x14ac:dyDescent="0.3">
      <c r="A141" s="61">
        <v>6</v>
      </c>
      <c r="B141" s="61">
        <v>6</v>
      </c>
      <c r="C141" s="97"/>
      <c r="D141" s="79"/>
      <c r="E141" s="79"/>
      <c r="F141" s="79"/>
      <c r="G141" s="94"/>
      <c r="I141" s="86" t="e">
        <f t="shared" si="6"/>
        <v>#DIV/0!</v>
      </c>
      <c r="J141" s="87" t="e">
        <f t="shared" si="6"/>
        <v>#DIV/0!</v>
      </c>
      <c r="K141" s="87" t="e">
        <f t="shared" si="6"/>
        <v>#DIV/0!</v>
      </c>
      <c r="L141" s="87" t="e">
        <f t="shared" si="6"/>
        <v>#DIV/0!</v>
      </c>
      <c r="M141" s="88" t="e">
        <f t="shared" si="6"/>
        <v>#DIV/0!</v>
      </c>
      <c r="O141" s="121" t="str">
        <f t="shared" si="7"/>
        <v>קרית מוצקין</v>
      </c>
      <c r="P141" s="121" t="str">
        <f t="shared" si="7"/>
        <v>קרית מוצקין</v>
      </c>
    </row>
    <row r="142" spans="1:16" x14ac:dyDescent="0.3">
      <c r="A142" s="61">
        <v>6</v>
      </c>
      <c r="B142" s="61">
        <v>7</v>
      </c>
      <c r="C142" s="97"/>
      <c r="D142" s="79"/>
      <c r="E142" s="79"/>
      <c r="F142" s="79"/>
      <c r="G142" s="94"/>
      <c r="I142" s="86" t="e">
        <f t="shared" si="6"/>
        <v>#DIV/0!</v>
      </c>
      <c r="J142" s="87" t="e">
        <f t="shared" si="6"/>
        <v>#DIV/0!</v>
      </c>
      <c r="K142" s="87" t="e">
        <f t="shared" si="6"/>
        <v>#DIV/0!</v>
      </c>
      <c r="L142" s="87" t="e">
        <f t="shared" si="6"/>
        <v>#DIV/0!</v>
      </c>
      <c r="M142" s="88" t="e">
        <f t="shared" si="6"/>
        <v>#DIV/0!</v>
      </c>
      <c r="O142" s="121" t="str">
        <f t="shared" si="7"/>
        <v>קרית מוצקין</v>
      </c>
      <c r="P142" s="121" t="str">
        <f t="shared" si="7"/>
        <v>קרית ביאליק</v>
      </c>
    </row>
    <row r="143" spans="1:16" x14ac:dyDescent="0.3">
      <c r="A143" s="61">
        <v>6</v>
      </c>
      <c r="B143" s="61">
        <v>8</v>
      </c>
      <c r="C143" s="97"/>
      <c r="D143" s="79"/>
      <c r="E143" s="79"/>
      <c r="F143" s="79"/>
      <c r="G143" s="94"/>
      <c r="I143" s="86" t="e">
        <f t="shared" si="6"/>
        <v>#DIV/0!</v>
      </c>
      <c r="J143" s="87" t="e">
        <f t="shared" si="6"/>
        <v>#DIV/0!</v>
      </c>
      <c r="K143" s="87" t="e">
        <f t="shared" si="6"/>
        <v>#DIV/0!</v>
      </c>
      <c r="L143" s="87" t="e">
        <f t="shared" si="6"/>
        <v>#DIV/0!</v>
      </c>
      <c r="M143" s="88" t="e">
        <f t="shared" si="6"/>
        <v>#DIV/0!</v>
      </c>
      <c r="O143" s="121" t="str">
        <f t="shared" si="7"/>
        <v>קרית מוצקין</v>
      </c>
      <c r="P143" s="121" t="str">
        <f t="shared" si="7"/>
        <v>קרית חיים</v>
      </c>
    </row>
    <row r="144" spans="1:16" x14ac:dyDescent="0.3">
      <c r="A144" s="61">
        <v>6</v>
      </c>
      <c r="B144" s="61">
        <v>9</v>
      </c>
      <c r="C144" s="97"/>
      <c r="D144" s="79"/>
      <c r="E144" s="79"/>
      <c r="F144" s="79"/>
      <c r="G144" s="94"/>
      <c r="I144" s="86" t="e">
        <f t="shared" si="6"/>
        <v>#DIV/0!</v>
      </c>
      <c r="J144" s="87" t="e">
        <f t="shared" si="6"/>
        <v>#DIV/0!</v>
      </c>
      <c r="K144" s="87" t="e">
        <f t="shared" si="6"/>
        <v>#DIV/0!</v>
      </c>
      <c r="L144" s="87" t="e">
        <f t="shared" si="6"/>
        <v>#DIV/0!</v>
      </c>
      <c r="M144" s="88" t="e">
        <f t="shared" si="6"/>
        <v>#DIV/0!</v>
      </c>
      <c r="O144" s="121" t="str">
        <f t="shared" si="7"/>
        <v>קרית מוצקין</v>
      </c>
      <c r="P144" s="121" t="str">
        <f t="shared" si="7"/>
        <v>קרית אתא</v>
      </c>
    </row>
    <row r="145" spans="1:16" x14ac:dyDescent="0.3">
      <c r="A145" s="61">
        <v>6</v>
      </c>
      <c r="B145" s="61">
        <v>10</v>
      </c>
      <c r="C145" s="97"/>
      <c r="D145" s="79"/>
      <c r="E145" s="79"/>
      <c r="F145" s="79"/>
      <c r="G145" s="94"/>
      <c r="I145" s="86" t="e">
        <f t="shared" si="6"/>
        <v>#DIV/0!</v>
      </c>
      <c r="J145" s="87" t="e">
        <f t="shared" si="6"/>
        <v>#DIV/0!</v>
      </c>
      <c r="K145" s="87" t="e">
        <f t="shared" si="6"/>
        <v>#DIV/0!</v>
      </c>
      <c r="L145" s="87" t="e">
        <f t="shared" si="6"/>
        <v>#DIV/0!</v>
      </c>
      <c r="M145" s="88" t="e">
        <f t="shared" si="6"/>
        <v>#DIV/0!</v>
      </c>
      <c r="O145" s="121" t="str">
        <f t="shared" si="7"/>
        <v>קרית מוצקין</v>
      </c>
      <c r="P145" s="121" t="str">
        <f t="shared" si="7"/>
        <v>כפר מנדא</v>
      </c>
    </row>
    <row r="146" spans="1:16" x14ac:dyDescent="0.3">
      <c r="A146" s="61">
        <v>6</v>
      </c>
      <c r="B146" s="61">
        <v>11</v>
      </c>
      <c r="C146" s="97"/>
      <c r="D146" s="79"/>
      <c r="E146" s="79"/>
      <c r="F146" s="79"/>
      <c r="G146" s="94"/>
      <c r="I146" s="86" t="e">
        <f t="shared" si="6"/>
        <v>#DIV/0!</v>
      </c>
      <c r="J146" s="87" t="e">
        <f t="shared" si="6"/>
        <v>#DIV/0!</v>
      </c>
      <c r="K146" s="87" t="e">
        <f t="shared" si="6"/>
        <v>#DIV/0!</v>
      </c>
      <c r="L146" s="87" t="e">
        <f t="shared" si="6"/>
        <v>#DIV/0!</v>
      </c>
      <c r="M146" s="88" t="e">
        <f t="shared" si="6"/>
        <v>#DIV/0!</v>
      </c>
      <c r="O146" s="121" t="str">
        <f t="shared" si="7"/>
        <v>קרית מוצקין</v>
      </c>
      <c r="P146" s="121" t="str">
        <f t="shared" si="7"/>
        <v>זבולון</v>
      </c>
    </row>
    <row r="147" spans="1:16" x14ac:dyDescent="0.3">
      <c r="A147" s="61">
        <v>6</v>
      </c>
      <c r="B147" s="61">
        <v>12</v>
      </c>
      <c r="C147" s="97"/>
      <c r="D147" s="79"/>
      <c r="E147" s="79"/>
      <c r="F147" s="79"/>
      <c r="G147" s="94"/>
      <c r="I147" s="86" t="e">
        <f t="shared" si="6"/>
        <v>#DIV/0!</v>
      </c>
      <c r="J147" s="87" t="e">
        <f t="shared" si="6"/>
        <v>#DIV/0!</v>
      </c>
      <c r="K147" s="87" t="e">
        <f t="shared" si="6"/>
        <v>#DIV/0!</v>
      </c>
      <c r="L147" s="87" t="e">
        <f t="shared" si="6"/>
        <v>#DIV/0!</v>
      </c>
      <c r="M147" s="88" t="e">
        <f t="shared" si="6"/>
        <v>#DIV/0!</v>
      </c>
      <c r="O147" s="121" t="str">
        <f t="shared" si="7"/>
        <v>קרית מוצקין</v>
      </c>
      <c r="P147" s="121" t="str">
        <f t="shared" si="7"/>
        <v>חיפה מפרץ</v>
      </c>
    </row>
    <row r="148" spans="1:16" x14ac:dyDescent="0.3">
      <c r="A148" s="61">
        <v>6</v>
      </c>
      <c r="B148" s="61">
        <v>13</v>
      </c>
      <c r="C148" s="97"/>
      <c r="D148" s="79"/>
      <c r="E148" s="79"/>
      <c r="F148" s="79"/>
      <c r="G148" s="94"/>
      <c r="I148" s="86" t="e">
        <f t="shared" si="6"/>
        <v>#DIV/0!</v>
      </c>
      <c r="J148" s="87" t="e">
        <f t="shared" si="6"/>
        <v>#DIV/0!</v>
      </c>
      <c r="K148" s="87" t="e">
        <f t="shared" si="6"/>
        <v>#DIV/0!</v>
      </c>
      <c r="L148" s="87" t="e">
        <f t="shared" si="6"/>
        <v>#DIV/0!</v>
      </c>
      <c r="M148" s="88" t="e">
        <f t="shared" si="6"/>
        <v>#DIV/0!</v>
      </c>
      <c r="O148" s="121" t="str">
        <f t="shared" si="7"/>
        <v>קרית מוצקין</v>
      </c>
      <c r="P148" s="121" t="str">
        <f t="shared" si="7"/>
        <v>חיפה עיר תחתית</v>
      </c>
    </row>
    <row r="149" spans="1:16" x14ac:dyDescent="0.3">
      <c r="A149" s="61">
        <v>6</v>
      </c>
      <c r="B149" s="61">
        <v>14</v>
      </c>
      <c r="C149" s="97"/>
      <c r="D149" s="79"/>
      <c r="E149" s="79"/>
      <c r="F149" s="79"/>
      <c r="G149" s="94"/>
      <c r="I149" s="86" t="e">
        <f t="shared" si="6"/>
        <v>#DIV/0!</v>
      </c>
      <c r="J149" s="87" t="e">
        <f t="shared" si="6"/>
        <v>#DIV/0!</v>
      </c>
      <c r="K149" s="87" t="e">
        <f t="shared" si="6"/>
        <v>#DIV/0!</v>
      </c>
      <c r="L149" s="87" t="e">
        <f t="shared" si="6"/>
        <v>#DIV/0!</v>
      </c>
      <c r="M149" s="88" t="e">
        <f t="shared" si="6"/>
        <v>#DIV/0!</v>
      </c>
      <c r="O149" s="121" t="str">
        <f t="shared" si="7"/>
        <v>קרית מוצקין</v>
      </c>
      <c r="P149" s="121" t="str">
        <f t="shared" si="7"/>
        <v>חיפה הדר-כרמל</v>
      </c>
    </row>
    <row r="150" spans="1:16" x14ac:dyDescent="0.3">
      <c r="A150" s="61">
        <v>6</v>
      </c>
      <c r="B150" s="61">
        <v>15</v>
      </c>
      <c r="C150" s="97"/>
      <c r="D150" s="79"/>
      <c r="E150" s="79"/>
      <c r="F150" s="79"/>
      <c r="G150" s="94"/>
      <c r="I150" s="86" t="e">
        <f t="shared" si="6"/>
        <v>#DIV/0!</v>
      </c>
      <c r="J150" s="87" t="e">
        <f t="shared" si="6"/>
        <v>#DIV/0!</v>
      </c>
      <c r="K150" s="87" t="e">
        <f t="shared" si="6"/>
        <v>#DIV/0!</v>
      </c>
      <c r="L150" s="87" t="e">
        <f t="shared" si="6"/>
        <v>#DIV/0!</v>
      </c>
      <c r="M150" s="88" t="e">
        <f t="shared" si="6"/>
        <v>#DIV/0!</v>
      </c>
      <c r="O150" s="121" t="str">
        <f t="shared" si="7"/>
        <v>קרית מוצקין</v>
      </c>
      <c r="P150" s="121" t="str">
        <f t="shared" si="7"/>
        <v>חיפה מערב</v>
      </c>
    </row>
    <row r="151" spans="1:16" x14ac:dyDescent="0.3">
      <c r="A151" s="61">
        <v>6</v>
      </c>
      <c r="B151" s="61">
        <v>16</v>
      </c>
      <c r="C151" s="97"/>
      <c r="D151" s="79"/>
      <c r="E151" s="79"/>
      <c r="F151" s="79"/>
      <c r="G151" s="94"/>
      <c r="I151" s="86" t="e">
        <f t="shared" si="6"/>
        <v>#DIV/0!</v>
      </c>
      <c r="J151" s="87" t="e">
        <f t="shared" si="6"/>
        <v>#DIV/0!</v>
      </c>
      <c r="K151" s="87" t="e">
        <f t="shared" si="6"/>
        <v>#DIV/0!</v>
      </c>
      <c r="L151" s="87" t="e">
        <f t="shared" si="6"/>
        <v>#DIV/0!</v>
      </c>
      <c r="M151" s="88" t="e">
        <f t="shared" si="6"/>
        <v>#DIV/0!</v>
      </c>
      <c r="O151" s="121" t="str">
        <f t="shared" si="7"/>
        <v>קרית מוצקין</v>
      </c>
      <c r="P151" s="121" t="str">
        <f t="shared" si="7"/>
        <v>חיפה כרמל</v>
      </c>
    </row>
    <row r="152" spans="1:16" x14ac:dyDescent="0.3">
      <c r="A152" s="61">
        <v>6</v>
      </c>
      <c r="B152" s="61">
        <v>17</v>
      </c>
      <c r="C152" s="97"/>
      <c r="D152" s="79"/>
      <c r="E152" s="79"/>
      <c r="F152" s="79"/>
      <c r="G152" s="94"/>
      <c r="I152" s="86" t="e">
        <f t="shared" si="6"/>
        <v>#DIV/0!</v>
      </c>
      <c r="J152" s="87" t="e">
        <f t="shared" si="6"/>
        <v>#DIV/0!</v>
      </c>
      <c r="K152" s="87" t="e">
        <f t="shared" si="6"/>
        <v>#DIV/0!</v>
      </c>
      <c r="L152" s="87" t="e">
        <f t="shared" si="6"/>
        <v>#DIV/0!</v>
      </c>
      <c r="M152" s="88" t="e">
        <f t="shared" si="6"/>
        <v>#DIV/0!</v>
      </c>
      <c r="O152" s="121" t="str">
        <f t="shared" si="7"/>
        <v>קרית מוצקין</v>
      </c>
      <c r="P152" s="121" t="str">
        <f t="shared" si="7"/>
        <v>חיפה נווה שאנן</v>
      </c>
    </row>
    <row r="153" spans="1:16" x14ac:dyDescent="0.3">
      <c r="A153" s="61">
        <v>6</v>
      </c>
      <c r="B153" s="61">
        <v>18</v>
      </c>
      <c r="C153" s="97"/>
      <c r="D153" s="79"/>
      <c r="E153" s="79"/>
      <c r="F153" s="79"/>
      <c r="G153" s="94"/>
      <c r="I153" s="86" t="e">
        <f t="shared" si="6"/>
        <v>#DIV/0!</v>
      </c>
      <c r="J153" s="87" t="e">
        <f t="shared" si="6"/>
        <v>#DIV/0!</v>
      </c>
      <c r="K153" s="87" t="e">
        <f t="shared" si="6"/>
        <v>#DIV/0!</v>
      </c>
      <c r="L153" s="87" t="e">
        <f t="shared" si="6"/>
        <v>#DIV/0!</v>
      </c>
      <c r="M153" s="88" t="e">
        <f t="shared" si="6"/>
        <v>#DIV/0!</v>
      </c>
      <c r="O153" s="121" t="str">
        <f t="shared" si="7"/>
        <v>קרית מוצקין</v>
      </c>
      <c r="P153" s="121" t="str">
        <f t="shared" si="7"/>
        <v>נשר</v>
      </c>
    </row>
    <row r="154" spans="1:16" x14ac:dyDescent="0.3">
      <c r="A154" s="61">
        <v>6</v>
      </c>
      <c r="B154" s="61">
        <v>19</v>
      </c>
      <c r="C154" s="97"/>
      <c r="D154" s="79"/>
      <c r="E154" s="79"/>
      <c r="F154" s="79"/>
      <c r="G154" s="94"/>
      <c r="I154" s="86" t="e">
        <f t="shared" si="6"/>
        <v>#DIV/0!</v>
      </c>
      <c r="J154" s="87" t="e">
        <f t="shared" si="6"/>
        <v>#DIV/0!</v>
      </c>
      <c r="K154" s="87" t="e">
        <f t="shared" si="6"/>
        <v>#DIV/0!</v>
      </c>
      <c r="L154" s="87" t="e">
        <f t="shared" si="6"/>
        <v>#DIV/0!</v>
      </c>
      <c r="M154" s="88" t="e">
        <f t="shared" si="6"/>
        <v>#DIV/0!</v>
      </c>
      <c r="O154" s="121" t="str">
        <f t="shared" si="7"/>
        <v>קרית מוצקין</v>
      </c>
      <c r="P154" s="121" t="str">
        <f t="shared" si="7"/>
        <v>נצרת</v>
      </c>
    </row>
    <row r="155" spans="1:16" x14ac:dyDescent="0.3">
      <c r="A155" s="61">
        <v>6</v>
      </c>
      <c r="B155" s="61">
        <v>20</v>
      </c>
      <c r="C155" s="97"/>
      <c r="D155" s="79"/>
      <c r="E155" s="79"/>
      <c r="F155" s="79"/>
      <c r="G155" s="94"/>
      <c r="I155" s="86" t="e">
        <f t="shared" si="6"/>
        <v>#DIV/0!</v>
      </c>
      <c r="J155" s="87" t="e">
        <f t="shared" si="6"/>
        <v>#DIV/0!</v>
      </c>
      <c r="K155" s="87" t="e">
        <f t="shared" si="6"/>
        <v>#DIV/0!</v>
      </c>
      <c r="L155" s="87" t="e">
        <f t="shared" si="6"/>
        <v>#DIV/0!</v>
      </c>
      <c r="M155" s="88" t="e">
        <f t="shared" si="6"/>
        <v>#DIV/0!</v>
      </c>
      <c r="O155" s="121" t="str">
        <f t="shared" si="7"/>
        <v>קרית מוצקין</v>
      </c>
      <c r="P155" s="121" t="str">
        <f t="shared" si="7"/>
        <v>נצרת-עילית</v>
      </c>
    </row>
    <row r="156" spans="1:16" x14ac:dyDescent="0.3">
      <c r="A156" s="61">
        <v>6</v>
      </c>
      <c r="B156" s="61">
        <v>21</v>
      </c>
      <c r="C156" s="97"/>
      <c r="D156" s="79"/>
      <c r="E156" s="79"/>
      <c r="F156" s="79"/>
      <c r="G156" s="94"/>
      <c r="I156" s="86" t="e">
        <f t="shared" si="6"/>
        <v>#DIV/0!</v>
      </c>
      <c r="J156" s="87" t="e">
        <f t="shared" si="6"/>
        <v>#DIV/0!</v>
      </c>
      <c r="K156" s="87" t="e">
        <f t="shared" si="6"/>
        <v>#DIV/0!</v>
      </c>
      <c r="L156" s="87" t="e">
        <f t="shared" si="6"/>
        <v>#DIV/0!</v>
      </c>
      <c r="M156" s="88" t="e">
        <f t="shared" si="6"/>
        <v>#DIV/0!</v>
      </c>
      <c r="O156" s="121" t="str">
        <f t="shared" si="7"/>
        <v>קרית מוצקין</v>
      </c>
      <c r="P156" s="121" t="str">
        <f t="shared" si="7"/>
        <v>מגדל העמק</v>
      </c>
    </row>
    <row r="157" spans="1:16" x14ac:dyDescent="0.3">
      <c r="A157" s="61">
        <v>6</v>
      </c>
      <c r="B157" s="61">
        <v>22</v>
      </c>
      <c r="C157" s="97"/>
      <c r="D157" s="79"/>
      <c r="E157" s="79"/>
      <c r="F157" s="79"/>
      <c r="G157" s="94"/>
      <c r="I157" s="86" t="e">
        <f t="shared" si="6"/>
        <v>#DIV/0!</v>
      </c>
      <c r="J157" s="87" t="e">
        <f t="shared" si="6"/>
        <v>#DIV/0!</v>
      </c>
      <c r="K157" s="87" t="e">
        <f t="shared" si="6"/>
        <v>#DIV/0!</v>
      </c>
      <c r="L157" s="87" t="e">
        <f t="shared" si="6"/>
        <v>#DIV/0!</v>
      </c>
      <c r="M157" s="88" t="e">
        <f t="shared" si="6"/>
        <v>#DIV/0!</v>
      </c>
      <c r="O157" s="121" t="str">
        <f t="shared" si="7"/>
        <v>קרית מוצקין</v>
      </c>
      <c r="P157" s="121" t="str">
        <f t="shared" si="7"/>
        <v>יוקנעם</v>
      </c>
    </row>
    <row r="158" spans="1:16" x14ac:dyDescent="0.3">
      <c r="A158" s="61">
        <v>6</v>
      </c>
      <c r="B158" s="61">
        <v>23</v>
      </c>
      <c r="C158" s="97"/>
      <c r="D158" s="79"/>
      <c r="E158" s="79"/>
      <c r="F158" s="79"/>
      <c r="G158" s="94"/>
      <c r="I158" s="86" t="e">
        <f t="shared" si="6"/>
        <v>#DIV/0!</v>
      </c>
      <c r="J158" s="87" t="e">
        <f t="shared" si="6"/>
        <v>#DIV/0!</v>
      </c>
      <c r="K158" s="87" t="e">
        <f t="shared" si="6"/>
        <v>#DIV/0!</v>
      </c>
      <c r="L158" s="87" t="e">
        <f t="shared" si="6"/>
        <v>#DIV/0!</v>
      </c>
      <c r="M158" s="88" t="e">
        <f t="shared" si="6"/>
        <v>#DIV/0!</v>
      </c>
      <c r="O158" s="121" t="str">
        <f t="shared" si="7"/>
        <v>קרית מוצקין</v>
      </c>
      <c r="P158" s="121" t="str">
        <f t="shared" si="7"/>
        <v>דלית אל כרמל</v>
      </c>
    </row>
    <row r="159" spans="1:16" x14ac:dyDescent="0.3">
      <c r="A159" s="61">
        <v>6</v>
      </c>
      <c r="B159" s="61">
        <v>24</v>
      </c>
      <c r="C159" s="97"/>
      <c r="D159" s="79"/>
      <c r="E159" s="79"/>
      <c r="F159" s="79"/>
      <c r="G159" s="94"/>
      <c r="I159" s="86" t="e">
        <f t="shared" si="6"/>
        <v>#DIV/0!</v>
      </c>
      <c r="J159" s="87" t="e">
        <f t="shared" si="6"/>
        <v>#DIV/0!</v>
      </c>
      <c r="K159" s="87" t="e">
        <f t="shared" si="6"/>
        <v>#DIV/0!</v>
      </c>
      <c r="L159" s="87" t="e">
        <f t="shared" si="6"/>
        <v>#DIV/0!</v>
      </c>
      <c r="M159" s="88" t="e">
        <f t="shared" si="6"/>
        <v>#DIV/0!</v>
      </c>
      <c r="O159" s="121" t="str">
        <f t="shared" si="7"/>
        <v>קרית מוצקין</v>
      </c>
      <c r="P159" s="121" t="str">
        <f t="shared" si="7"/>
        <v>חוף הכרמל</v>
      </c>
    </row>
    <row r="160" spans="1:16" x14ac:dyDescent="0.3">
      <c r="A160" s="61">
        <v>6</v>
      </c>
      <c r="B160" s="61">
        <v>25</v>
      </c>
      <c r="C160" s="97"/>
      <c r="D160" s="79"/>
      <c r="E160" s="79"/>
      <c r="F160" s="79"/>
      <c r="G160" s="94"/>
      <c r="I160" s="86" t="e">
        <f t="shared" si="6"/>
        <v>#DIV/0!</v>
      </c>
      <c r="J160" s="87" t="e">
        <f t="shared" si="6"/>
        <v>#DIV/0!</v>
      </c>
      <c r="K160" s="87" t="e">
        <f t="shared" si="6"/>
        <v>#DIV/0!</v>
      </c>
      <c r="L160" s="87" t="e">
        <f t="shared" si="6"/>
        <v>#DIV/0!</v>
      </c>
      <c r="M160" s="88" t="e">
        <f t="shared" si="6"/>
        <v>#DIV/0!</v>
      </c>
      <c r="O160" s="121" t="str">
        <f t="shared" si="7"/>
        <v>קרית מוצקין</v>
      </c>
      <c r="P160" s="121" t="str">
        <f t="shared" si="7"/>
        <v>זכרון יעקב</v>
      </c>
    </row>
    <row r="161" spans="1:16" x14ac:dyDescent="0.3">
      <c r="A161" s="61">
        <v>6</v>
      </c>
      <c r="B161" s="61">
        <v>30</v>
      </c>
      <c r="C161" s="97"/>
      <c r="D161" s="79"/>
      <c r="E161" s="79"/>
      <c r="F161" s="79"/>
      <c r="G161" s="94"/>
      <c r="I161" s="86" t="e">
        <f t="shared" si="6"/>
        <v>#DIV/0!</v>
      </c>
      <c r="J161" s="87" t="e">
        <f t="shared" si="6"/>
        <v>#DIV/0!</v>
      </c>
      <c r="K161" s="87" t="e">
        <f t="shared" si="6"/>
        <v>#DIV/0!</v>
      </c>
      <c r="L161" s="87" t="e">
        <f t="shared" si="6"/>
        <v>#DIV/0!</v>
      </c>
      <c r="M161" s="88" t="e">
        <f t="shared" si="6"/>
        <v>#DIV/0!</v>
      </c>
      <c r="O161" s="121" t="str">
        <f t="shared" si="7"/>
        <v>קרית מוצקין</v>
      </c>
      <c r="P161" s="121" t="str">
        <f t="shared" si="7"/>
        <v>סכנין</v>
      </c>
    </row>
    <row r="162" spans="1:16" x14ac:dyDescent="0.3">
      <c r="A162" s="61">
        <v>7</v>
      </c>
      <c r="B162" s="61">
        <v>1</v>
      </c>
      <c r="C162" s="97"/>
      <c r="D162" s="79"/>
      <c r="E162" s="79"/>
      <c r="F162" s="79"/>
      <c r="G162" s="94"/>
      <c r="I162" s="86" t="e">
        <f t="shared" si="6"/>
        <v>#DIV/0!</v>
      </c>
      <c r="J162" s="87" t="e">
        <f t="shared" si="6"/>
        <v>#DIV/0!</v>
      </c>
      <c r="K162" s="87" t="e">
        <f t="shared" si="6"/>
        <v>#DIV/0!</v>
      </c>
      <c r="L162" s="87" t="e">
        <f t="shared" si="6"/>
        <v>#DIV/0!</v>
      </c>
      <c r="M162" s="88" t="e">
        <f t="shared" si="6"/>
        <v>#DIV/0!</v>
      </c>
      <c r="O162" s="121" t="str">
        <f t="shared" si="7"/>
        <v>קרית ביאליק</v>
      </c>
      <c r="P162" s="121" t="str">
        <f t="shared" si="7"/>
        <v>נהריה</v>
      </c>
    </row>
    <row r="163" spans="1:16" x14ac:dyDescent="0.3">
      <c r="A163" s="61">
        <v>7</v>
      </c>
      <c r="B163" s="61">
        <v>2</v>
      </c>
      <c r="C163" s="97"/>
      <c r="D163" s="79"/>
      <c r="E163" s="79"/>
      <c r="F163" s="79"/>
      <c r="G163" s="94"/>
      <c r="I163" s="86" t="e">
        <f t="shared" si="6"/>
        <v>#DIV/0!</v>
      </c>
      <c r="J163" s="87" t="e">
        <f t="shared" si="6"/>
        <v>#DIV/0!</v>
      </c>
      <c r="K163" s="87" t="e">
        <f t="shared" si="6"/>
        <v>#DIV/0!</v>
      </c>
      <c r="L163" s="87" t="e">
        <f t="shared" si="6"/>
        <v>#DIV/0!</v>
      </c>
      <c r="M163" s="88" t="e">
        <f t="shared" si="6"/>
        <v>#DIV/0!</v>
      </c>
      <c r="O163" s="121" t="str">
        <f t="shared" si="7"/>
        <v>קרית ביאליק</v>
      </c>
      <c r="P163" s="121" t="str">
        <f t="shared" si="7"/>
        <v>עכו</v>
      </c>
    </row>
    <row r="164" spans="1:16" x14ac:dyDescent="0.3">
      <c r="A164" s="61">
        <v>7</v>
      </c>
      <c r="B164" s="61">
        <v>3</v>
      </c>
      <c r="C164" s="97"/>
      <c r="D164" s="79"/>
      <c r="E164" s="79"/>
      <c r="F164" s="79"/>
      <c r="G164" s="94"/>
      <c r="I164" s="86" t="e">
        <f t="shared" si="6"/>
        <v>#DIV/0!</v>
      </c>
      <c r="J164" s="87" t="e">
        <f t="shared" si="6"/>
        <v>#DIV/0!</v>
      </c>
      <c r="K164" s="87" t="e">
        <f t="shared" si="6"/>
        <v>#DIV/0!</v>
      </c>
      <c r="L164" s="87" t="e">
        <f t="shared" si="6"/>
        <v>#DIV/0!</v>
      </c>
      <c r="M164" s="88" t="e">
        <f t="shared" si="6"/>
        <v>#DIV/0!</v>
      </c>
      <c r="O164" s="121" t="str">
        <f t="shared" si="7"/>
        <v>קרית ביאליק</v>
      </c>
      <c r="P164" s="121" t="str">
        <f t="shared" si="7"/>
        <v>כרמיאל</v>
      </c>
    </row>
    <row r="165" spans="1:16" x14ac:dyDescent="0.3">
      <c r="A165" s="61">
        <v>7</v>
      </c>
      <c r="B165" s="61">
        <v>4</v>
      </c>
      <c r="C165" s="97"/>
      <c r="D165" s="79"/>
      <c r="E165" s="79"/>
      <c r="F165" s="79"/>
      <c r="G165" s="94"/>
      <c r="I165" s="86" t="e">
        <f t="shared" si="6"/>
        <v>#DIV/0!</v>
      </c>
      <c r="J165" s="87" t="e">
        <f t="shared" si="6"/>
        <v>#DIV/0!</v>
      </c>
      <c r="K165" s="87" t="e">
        <f t="shared" si="6"/>
        <v>#DIV/0!</v>
      </c>
      <c r="L165" s="87" t="e">
        <f t="shared" si="6"/>
        <v>#DIV/0!</v>
      </c>
      <c r="M165" s="88" t="e">
        <f t="shared" si="6"/>
        <v>#DIV/0!</v>
      </c>
      <c r="O165" s="121" t="str">
        <f t="shared" si="7"/>
        <v>קרית ביאליק</v>
      </c>
      <c r="P165" s="121" t="str">
        <f t="shared" si="7"/>
        <v>שפרעם</v>
      </c>
    </row>
    <row r="166" spans="1:16" x14ac:dyDescent="0.3">
      <c r="A166" s="61">
        <v>7</v>
      </c>
      <c r="B166" s="61">
        <v>5</v>
      </c>
      <c r="C166" s="97"/>
      <c r="D166" s="79"/>
      <c r="E166" s="79"/>
      <c r="F166" s="79"/>
      <c r="G166" s="94"/>
      <c r="I166" s="86" t="e">
        <f t="shared" si="6"/>
        <v>#DIV/0!</v>
      </c>
      <c r="J166" s="87" t="e">
        <f t="shared" si="6"/>
        <v>#DIV/0!</v>
      </c>
      <c r="K166" s="87" t="e">
        <f t="shared" si="6"/>
        <v>#DIV/0!</v>
      </c>
      <c r="L166" s="87" t="e">
        <f t="shared" si="6"/>
        <v>#DIV/0!</v>
      </c>
      <c r="M166" s="88" t="e">
        <f t="shared" si="6"/>
        <v>#DIV/0!</v>
      </c>
      <c r="O166" s="121" t="str">
        <f t="shared" si="7"/>
        <v>קרית ביאליק</v>
      </c>
      <c r="P166" s="121" t="str">
        <f t="shared" si="7"/>
        <v>קרית ים</v>
      </c>
    </row>
    <row r="167" spans="1:16" x14ac:dyDescent="0.3">
      <c r="A167" s="61">
        <v>7</v>
      </c>
      <c r="B167" s="61">
        <v>6</v>
      </c>
      <c r="C167" s="97"/>
      <c r="D167" s="79"/>
      <c r="E167" s="79"/>
      <c r="F167" s="79"/>
      <c r="G167" s="94"/>
      <c r="I167" s="86" t="e">
        <f t="shared" si="6"/>
        <v>#DIV/0!</v>
      </c>
      <c r="J167" s="87" t="e">
        <f t="shared" si="6"/>
        <v>#DIV/0!</v>
      </c>
      <c r="K167" s="87" t="e">
        <f t="shared" si="6"/>
        <v>#DIV/0!</v>
      </c>
      <c r="L167" s="87" t="e">
        <f t="shared" si="6"/>
        <v>#DIV/0!</v>
      </c>
      <c r="M167" s="88" t="e">
        <f t="shared" si="6"/>
        <v>#DIV/0!</v>
      </c>
      <c r="O167" s="121" t="str">
        <f t="shared" si="7"/>
        <v>קרית ביאליק</v>
      </c>
      <c r="P167" s="121" t="str">
        <f t="shared" si="7"/>
        <v>קרית מוצקין</v>
      </c>
    </row>
    <row r="168" spans="1:16" x14ac:dyDescent="0.3">
      <c r="A168" s="61">
        <v>7</v>
      </c>
      <c r="B168" s="61">
        <v>7</v>
      </c>
      <c r="C168" s="97"/>
      <c r="D168" s="79"/>
      <c r="E168" s="79"/>
      <c r="F168" s="79"/>
      <c r="G168" s="94"/>
      <c r="I168" s="86" t="e">
        <f t="shared" si="6"/>
        <v>#DIV/0!</v>
      </c>
      <c r="J168" s="87" t="e">
        <f t="shared" si="6"/>
        <v>#DIV/0!</v>
      </c>
      <c r="K168" s="87" t="e">
        <f t="shared" si="6"/>
        <v>#DIV/0!</v>
      </c>
      <c r="L168" s="87" t="e">
        <f t="shared" si="6"/>
        <v>#DIV/0!</v>
      </c>
      <c r="M168" s="88" t="e">
        <f t="shared" si="6"/>
        <v>#DIV/0!</v>
      </c>
      <c r="O168" s="121" t="str">
        <f t="shared" si="7"/>
        <v>קרית ביאליק</v>
      </c>
      <c r="P168" s="121" t="str">
        <f t="shared" si="7"/>
        <v>קרית ביאליק</v>
      </c>
    </row>
    <row r="169" spans="1:16" x14ac:dyDescent="0.3">
      <c r="A169" s="61">
        <v>7</v>
      </c>
      <c r="B169" s="61">
        <v>8</v>
      </c>
      <c r="C169" s="97"/>
      <c r="D169" s="79"/>
      <c r="E169" s="79"/>
      <c r="F169" s="79"/>
      <c r="G169" s="94"/>
      <c r="I169" s="86" t="e">
        <f t="shared" si="6"/>
        <v>#DIV/0!</v>
      </c>
      <c r="J169" s="87" t="e">
        <f t="shared" si="6"/>
        <v>#DIV/0!</v>
      </c>
      <c r="K169" s="87" t="e">
        <f t="shared" si="6"/>
        <v>#DIV/0!</v>
      </c>
      <c r="L169" s="87" t="e">
        <f t="shared" si="6"/>
        <v>#DIV/0!</v>
      </c>
      <c r="M169" s="88" t="e">
        <f t="shared" si="6"/>
        <v>#DIV/0!</v>
      </c>
      <c r="O169" s="121" t="str">
        <f t="shared" si="7"/>
        <v>קרית ביאליק</v>
      </c>
      <c r="P169" s="121" t="str">
        <f t="shared" si="7"/>
        <v>קרית חיים</v>
      </c>
    </row>
    <row r="170" spans="1:16" x14ac:dyDescent="0.3">
      <c r="A170" s="61">
        <v>7</v>
      </c>
      <c r="B170" s="61">
        <v>9</v>
      </c>
      <c r="C170" s="97"/>
      <c r="D170" s="79"/>
      <c r="E170" s="79"/>
      <c r="F170" s="79"/>
      <c r="G170" s="94"/>
      <c r="I170" s="86" t="e">
        <f t="shared" si="6"/>
        <v>#DIV/0!</v>
      </c>
      <c r="J170" s="87" t="e">
        <f t="shared" si="6"/>
        <v>#DIV/0!</v>
      </c>
      <c r="K170" s="87" t="e">
        <f t="shared" si="6"/>
        <v>#DIV/0!</v>
      </c>
      <c r="L170" s="87" t="e">
        <f t="shared" si="6"/>
        <v>#DIV/0!</v>
      </c>
      <c r="M170" s="88" t="e">
        <f t="shared" si="6"/>
        <v>#DIV/0!</v>
      </c>
      <c r="O170" s="121" t="str">
        <f t="shared" si="7"/>
        <v>קרית ביאליק</v>
      </c>
      <c r="P170" s="121" t="str">
        <f t="shared" si="7"/>
        <v>קרית אתא</v>
      </c>
    </row>
    <row r="171" spans="1:16" x14ac:dyDescent="0.3">
      <c r="A171" s="61">
        <v>7</v>
      </c>
      <c r="B171" s="61">
        <v>10</v>
      </c>
      <c r="C171" s="97"/>
      <c r="D171" s="79"/>
      <c r="E171" s="79"/>
      <c r="F171" s="79"/>
      <c r="G171" s="94"/>
      <c r="I171" s="86" t="e">
        <f t="shared" si="6"/>
        <v>#DIV/0!</v>
      </c>
      <c r="J171" s="87" t="e">
        <f t="shared" si="6"/>
        <v>#DIV/0!</v>
      </c>
      <c r="K171" s="87" t="e">
        <f t="shared" si="6"/>
        <v>#DIV/0!</v>
      </c>
      <c r="L171" s="87" t="e">
        <f t="shared" si="6"/>
        <v>#DIV/0!</v>
      </c>
      <c r="M171" s="88" t="e">
        <f t="shared" si="6"/>
        <v>#DIV/0!</v>
      </c>
      <c r="O171" s="121" t="str">
        <f t="shared" si="7"/>
        <v>קרית ביאליק</v>
      </c>
      <c r="P171" s="121" t="str">
        <f t="shared" si="7"/>
        <v>כפר מנדא</v>
      </c>
    </row>
    <row r="172" spans="1:16" x14ac:dyDescent="0.3">
      <c r="A172" s="61">
        <v>7</v>
      </c>
      <c r="B172" s="61">
        <v>11</v>
      </c>
      <c r="C172" s="97"/>
      <c r="D172" s="79"/>
      <c r="E172" s="79"/>
      <c r="F172" s="79"/>
      <c r="G172" s="94"/>
      <c r="I172" s="86" t="e">
        <f t="shared" ref="I172:M222" si="8">C172/SUM($C172:$G172)</f>
        <v>#DIV/0!</v>
      </c>
      <c r="J172" s="87" t="e">
        <f t="shared" si="8"/>
        <v>#DIV/0!</v>
      </c>
      <c r="K172" s="87" t="e">
        <f t="shared" si="8"/>
        <v>#DIV/0!</v>
      </c>
      <c r="L172" s="87" t="e">
        <f t="shared" si="8"/>
        <v>#DIV/0!</v>
      </c>
      <c r="M172" s="88" t="e">
        <f t="shared" si="8"/>
        <v>#DIV/0!</v>
      </c>
      <c r="O172" s="121" t="str">
        <f t="shared" si="7"/>
        <v>קרית ביאליק</v>
      </c>
      <c r="P172" s="121" t="str">
        <f t="shared" si="7"/>
        <v>זבולון</v>
      </c>
    </row>
    <row r="173" spans="1:16" x14ac:dyDescent="0.3">
      <c r="A173" s="61">
        <v>7</v>
      </c>
      <c r="B173" s="61">
        <v>12</v>
      </c>
      <c r="C173" s="97"/>
      <c r="D173" s="79"/>
      <c r="E173" s="79"/>
      <c r="F173" s="79"/>
      <c r="G173" s="94"/>
      <c r="I173" s="86" t="e">
        <f t="shared" si="8"/>
        <v>#DIV/0!</v>
      </c>
      <c r="J173" s="87" t="e">
        <f t="shared" si="8"/>
        <v>#DIV/0!</v>
      </c>
      <c r="K173" s="87" t="e">
        <f t="shared" si="8"/>
        <v>#DIV/0!</v>
      </c>
      <c r="L173" s="87" t="e">
        <f t="shared" si="8"/>
        <v>#DIV/0!</v>
      </c>
      <c r="M173" s="88" t="e">
        <f t="shared" si="8"/>
        <v>#DIV/0!</v>
      </c>
      <c r="O173" s="121" t="str">
        <f t="shared" si="7"/>
        <v>קרית ביאליק</v>
      </c>
      <c r="P173" s="121" t="str">
        <f t="shared" si="7"/>
        <v>חיפה מפרץ</v>
      </c>
    </row>
    <row r="174" spans="1:16" x14ac:dyDescent="0.3">
      <c r="A174" s="61">
        <v>7</v>
      </c>
      <c r="B174" s="61">
        <v>13</v>
      </c>
      <c r="C174" s="97"/>
      <c r="D174" s="79"/>
      <c r="E174" s="79"/>
      <c r="F174" s="79"/>
      <c r="G174" s="94"/>
      <c r="I174" s="86" t="e">
        <f t="shared" si="8"/>
        <v>#DIV/0!</v>
      </c>
      <c r="J174" s="87" t="e">
        <f t="shared" si="8"/>
        <v>#DIV/0!</v>
      </c>
      <c r="K174" s="87" t="e">
        <f t="shared" si="8"/>
        <v>#DIV/0!</v>
      </c>
      <c r="L174" s="87" t="e">
        <f t="shared" si="8"/>
        <v>#DIV/0!</v>
      </c>
      <c r="M174" s="88" t="e">
        <f t="shared" si="8"/>
        <v>#DIV/0!</v>
      </c>
      <c r="O174" s="121" t="str">
        <f t="shared" si="7"/>
        <v>קרית ביאליק</v>
      </c>
      <c r="P174" s="121" t="str">
        <f t="shared" si="7"/>
        <v>חיפה עיר תחתית</v>
      </c>
    </row>
    <row r="175" spans="1:16" x14ac:dyDescent="0.3">
      <c r="A175" s="61">
        <v>7</v>
      </c>
      <c r="B175" s="61">
        <v>14</v>
      </c>
      <c r="C175" s="97"/>
      <c r="D175" s="79"/>
      <c r="E175" s="79"/>
      <c r="F175" s="79"/>
      <c r="G175" s="94"/>
      <c r="I175" s="86" t="e">
        <f t="shared" si="8"/>
        <v>#DIV/0!</v>
      </c>
      <c r="J175" s="87" t="e">
        <f t="shared" si="8"/>
        <v>#DIV/0!</v>
      </c>
      <c r="K175" s="87" t="e">
        <f t="shared" si="8"/>
        <v>#DIV/0!</v>
      </c>
      <c r="L175" s="87" t="e">
        <f t="shared" si="8"/>
        <v>#DIV/0!</v>
      </c>
      <c r="M175" s="88" t="e">
        <f t="shared" si="8"/>
        <v>#DIV/0!</v>
      </c>
      <c r="O175" s="121" t="str">
        <f t="shared" si="7"/>
        <v>קרית ביאליק</v>
      </c>
      <c r="P175" s="121" t="str">
        <f t="shared" si="7"/>
        <v>חיפה הדר-כרמל</v>
      </c>
    </row>
    <row r="176" spans="1:16" x14ac:dyDescent="0.3">
      <c r="A176" s="61">
        <v>7</v>
      </c>
      <c r="B176" s="61">
        <v>15</v>
      </c>
      <c r="C176" s="97"/>
      <c r="D176" s="79"/>
      <c r="E176" s="79"/>
      <c r="F176" s="79"/>
      <c r="G176" s="94"/>
      <c r="I176" s="86" t="e">
        <f t="shared" si="8"/>
        <v>#DIV/0!</v>
      </c>
      <c r="J176" s="87" t="e">
        <f t="shared" si="8"/>
        <v>#DIV/0!</v>
      </c>
      <c r="K176" s="87" t="e">
        <f t="shared" si="8"/>
        <v>#DIV/0!</v>
      </c>
      <c r="L176" s="87" t="e">
        <f t="shared" si="8"/>
        <v>#DIV/0!</v>
      </c>
      <c r="M176" s="88" t="e">
        <f t="shared" si="8"/>
        <v>#DIV/0!</v>
      </c>
      <c r="O176" s="121" t="str">
        <f t="shared" si="7"/>
        <v>קרית ביאליק</v>
      </c>
      <c r="P176" s="121" t="str">
        <f t="shared" si="7"/>
        <v>חיפה מערב</v>
      </c>
    </row>
    <row r="177" spans="1:16" x14ac:dyDescent="0.3">
      <c r="A177" s="61">
        <v>7</v>
      </c>
      <c r="B177" s="61">
        <v>16</v>
      </c>
      <c r="C177" s="97"/>
      <c r="D177" s="79"/>
      <c r="E177" s="79"/>
      <c r="F177" s="79"/>
      <c r="G177" s="94"/>
      <c r="I177" s="86" t="e">
        <f t="shared" si="8"/>
        <v>#DIV/0!</v>
      </c>
      <c r="J177" s="87" t="e">
        <f t="shared" si="8"/>
        <v>#DIV/0!</v>
      </c>
      <c r="K177" s="87" t="e">
        <f t="shared" si="8"/>
        <v>#DIV/0!</v>
      </c>
      <c r="L177" s="87" t="e">
        <f t="shared" si="8"/>
        <v>#DIV/0!</v>
      </c>
      <c r="M177" s="88" t="e">
        <f t="shared" si="8"/>
        <v>#DIV/0!</v>
      </c>
      <c r="O177" s="121" t="str">
        <f t="shared" si="7"/>
        <v>קרית ביאליק</v>
      </c>
      <c r="P177" s="121" t="str">
        <f t="shared" si="7"/>
        <v>חיפה כרמל</v>
      </c>
    </row>
    <row r="178" spans="1:16" x14ac:dyDescent="0.3">
      <c r="A178" s="61">
        <v>7</v>
      </c>
      <c r="B178" s="61">
        <v>17</v>
      </c>
      <c r="C178" s="97"/>
      <c r="D178" s="79"/>
      <c r="E178" s="79"/>
      <c r="F178" s="79"/>
      <c r="G178" s="94"/>
      <c r="I178" s="86" t="e">
        <f t="shared" si="8"/>
        <v>#DIV/0!</v>
      </c>
      <c r="J178" s="87" t="e">
        <f t="shared" si="8"/>
        <v>#DIV/0!</v>
      </c>
      <c r="K178" s="87" t="e">
        <f t="shared" si="8"/>
        <v>#DIV/0!</v>
      </c>
      <c r="L178" s="87" t="e">
        <f t="shared" si="8"/>
        <v>#DIV/0!</v>
      </c>
      <c r="M178" s="88" t="e">
        <f t="shared" si="8"/>
        <v>#DIV/0!</v>
      </c>
      <c r="O178" s="121" t="str">
        <f t="shared" si="7"/>
        <v>קרית ביאליק</v>
      </c>
      <c r="P178" s="121" t="str">
        <f t="shared" si="7"/>
        <v>חיפה נווה שאנן</v>
      </c>
    </row>
    <row r="179" spans="1:16" x14ac:dyDescent="0.3">
      <c r="A179" s="61">
        <v>7</v>
      </c>
      <c r="B179" s="61">
        <v>18</v>
      </c>
      <c r="C179" s="97"/>
      <c r="D179" s="79"/>
      <c r="E179" s="79"/>
      <c r="F179" s="79"/>
      <c r="G179" s="94"/>
      <c r="I179" s="86" t="e">
        <f t="shared" si="8"/>
        <v>#DIV/0!</v>
      </c>
      <c r="J179" s="87" t="e">
        <f t="shared" si="8"/>
        <v>#DIV/0!</v>
      </c>
      <c r="K179" s="87" t="e">
        <f t="shared" si="8"/>
        <v>#DIV/0!</v>
      </c>
      <c r="L179" s="87" t="e">
        <f t="shared" si="8"/>
        <v>#DIV/0!</v>
      </c>
      <c r="M179" s="88" t="e">
        <f t="shared" si="8"/>
        <v>#DIV/0!</v>
      </c>
      <c r="O179" s="121" t="str">
        <f t="shared" si="7"/>
        <v>קרית ביאליק</v>
      </c>
      <c r="P179" s="121" t="str">
        <f t="shared" si="7"/>
        <v>נשר</v>
      </c>
    </row>
    <row r="180" spans="1:16" x14ac:dyDescent="0.3">
      <c r="A180" s="61">
        <v>7</v>
      </c>
      <c r="B180" s="61">
        <v>19</v>
      </c>
      <c r="C180" s="97"/>
      <c r="D180" s="79"/>
      <c r="E180" s="79"/>
      <c r="F180" s="79"/>
      <c r="G180" s="94"/>
      <c r="I180" s="86" t="e">
        <f t="shared" si="8"/>
        <v>#DIV/0!</v>
      </c>
      <c r="J180" s="87" t="e">
        <f t="shared" si="8"/>
        <v>#DIV/0!</v>
      </c>
      <c r="K180" s="87" t="e">
        <f t="shared" si="8"/>
        <v>#DIV/0!</v>
      </c>
      <c r="L180" s="87" t="e">
        <f t="shared" si="8"/>
        <v>#DIV/0!</v>
      </c>
      <c r="M180" s="88" t="e">
        <f t="shared" si="8"/>
        <v>#DIV/0!</v>
      </c>
      <c r="O180" s="121" t="str">
        <f t="shared" si="7"/>
        <v>קרית ביאליק</v>
      </c>
      <c r="P180" s="121" t="str">
        <f t="shared" si="7"/>
        <v>נצרת</v>
      </c>
    </row>
    <row r="181" spans="1:16" x14ac:dyDescent="0.3">
      <c r="A181" s="61">
        <v>7</v>
      </c>
      <c r="B181" s="61">
        <v>20</v>
      </c>
      <c r="C181" s="97"/>
      <c r="D181" s="79"/>
      <c r="E181" s="79"/>
      <c r="F181" s="79"/>
      <c r="G181" s="94"/>
      <c r="I181" s="86" t="e">
        <f t="shared" si="8"/>
        <v>#DIV/0!</v>
      </c>
      <c r="J181" s="87" t="e">
        <f t="shared" si="8"/>
        <v>#DIV/0!</v>
      </c>
      <c r="K181" s="87" t="e">
        <f t="shared" si="8"/>
        <v>#DIV/0!</v>
      </c>
      <c r="L181" s="87" t="e">
        <f t="shared" si="8"/>
        <v>#DIV/0!</v>
      </c>
      <c r="M181" s="88" t="e">
        <f t="shared" si="8"/>
        <v>#DIV/0!</v>
      </c>
      <c r="O181" s="121" t="str">
        <f t="shared" si="7"/>
        <v>קרית ביאליק</v>
      </c>
      <c r="P181" s="121" t="str">
        <f t="shared" si="7"/>
        <v>נצרת-עילית</v>
      </c>
    </row>
    <row r="182" spans="1:16" x14ac:dyDescent="0.3">
      <c r="A182" s="61">
        <v>7</v>
      </c>
      <c r="B182" s="61">
        <v>21</v>
      </c>
      <c r="C182" s="97"/>
      <c r="D182" s="79"/>
      <c r="E182" s="79"/>
      <c r="F182" s="79"/>
      <c r="G182" s="94"/>
      <c r="I182" s="86" t="e">
        <f t="shared" si="8"/>
        <v>#DIV/0!</v>
      </c>
      <c r="J182" s="87" t="e">
        <f t="shared" si="8"/>
        <v>#DIV/0!</v>
      </c>
      <c r="K182" s="87" t="e">
        <f t="shared" si="8"/>
        <v>#DIV/0!</v>
      </c>
      <c r="L182" s="87" t="e">
        <f t="shared" si="8"/>
        <v>#DIV/0!</v>
      </c>
      <c r="M182" s="88" t="e">
        <f t="shared" si="8"/>
        <v>#DIV/0!</v>
      </c>
      <c r="O182" s="121" t="str">
        <f t="shared" si="7"/>
        <v>קרית ביאליק</v>
      </c>
      <c r="P182" s="121" t="str">
        <f t="shared" si="7"/>
        <v>מגדל העמק</v>
      </c>
    </row>
    <row r="183" spans="1:16" x14ac:dyDescent="0.3">
      <c r="A183" s="61">
        <v>7</v>
      </c>
      <c r="B183" s="61">
        <v>22</v>
      </c>
      <c r="C183" s="97"/>
      <c r="D183" s="79"/>
      <c r="E183" s="79"/>
      <c r="F183" s="79"/>
      <c r="G183" s="94"/>
      <c r="I183" s="86" t="e">
        <f t="shared" si="8"/>
        <v>#DIV/0!</v>
      </c>
      <c r="J183" s="87" t="e">
        <f t="shared" si="8"/>
        <v>#DIV/0!</v>
      </c>
      <c r="K183" s="87" t="e">
        <f t="shared" si="8"/>
        <v>#DIV/0!</v>
      </c>
      <c r="L183" s="87" t="e">
        <f t="shared" si="8"/>
        <v>#DIV/0!</v>
      </c>
      <c r="M183" s="88" t="e">
        <f t="shared" si="8"/>
        <v>#DIV/0!</v>
      </c>
      <c r="O183" s="121" t="str">
        <f t="shared" si="7"/>
        <v>קרית ביאליק</v>
      </c>
      <c r="P183" s="121" t="str">
        <f t="shared" si="7"/>
        <v>יוקנעם</v>
      </c>
    </row>
    <row r="184" spans="1:16" x14ac:dyDescent="0.3">
      <c r="A184" s="61">
        <v>7</v>
      </c>
      <c r="B184" s="61">
        <v>23</v>
      </c>
      <c r="C184" s="97"/>
      <c r="D184" s="79"/>
      <c r="E184" s="79"/>
      <c r="F184" s="79"/>
      <c r="G184" s="94"/>
      <c r="I184" s="86" t="e">
        <f t="shared" si="8"/>
        <v>#DIV/0!</v>
      </c>
      <c r="J184" s="87" t="e">
        <f t="shared" si="8"/>
        <v>#DIV/0!</v>
      </c>
      <c r="K184" s="87" t="e">
        <f t="shared" si="8"/>
        <v>#DIV/0!</v>
      </c>
      <c r="L184" s="87" t="e">
        <f t="shared" si="8"/>
        <v>#DIV/0!</v>
      </c>
      <c r="M184" s="88" t="e">
        <f t="shared" si="8"/>
        <v>#DIV/0!</v>
      </c>
      <c r="O184" s="121" t="str">
        <f t="shared" si="7"/>
        <v>קרית ביאליק</v>
      </c>
      <c r="P184" s="121" t="str">
        <f t="shared" si="7"/>
        <v>דלית אל כרמל</v>
      </c>
    </row>
    <row r="185" spans="1:16" x14ac:dyDescent="0.3">
      <c r="A185" s="61">
        <v>7</v>
      </c>
      <c r="B185" s="61">
        <v>24</v>
      </c>
      <c r="C185" s="97"/>
      <c r="D185" s="79"/>
      <c r="E185" s="79"/>
      <c r="F185" s="79"/>
      <c r="G185" s="94"/>
      <c r="I185" s="86" t="e">
        <f t="shared" si="8"/>
        <v>#DIV/0!</v>
      </c>
      <c r="J185" s="87" t="e">
        <f t="shared" si="8"/>
        <v>#DIV/0!</v>
      </c>
      <c r="K185" s="87" t="e">
        <f t="shared" si="8"/>
        <v>#DIV/0!</v>
      </c>
      <c r="L185" s="87" t="e">
        <f t="shared" si="8"/>
        <v>#DIV/0!</v>
      </c>
      <c r="M185" s="88" t="e">
        <f t="shared" si="8"/>
        <v>#DIV/0!</v>
      </c>
      <c r="O185" s="121" t="str">
        <f t="shared" si="7"/>
        <v>קרית ביאליק</v>
      </c>
      <c r="P185" s="121" t="str">
        <f t="shared" si="7"/>
        <v>חוף הכרמל</v>
      </c>
    </row>
    <row r="186" spans="1:16" x14ac:dyDescent="0.3">
      <c r="A186" s="61">
        <v>7</v>
      </c>
      <c r="B186" s="61">
        <v>25</v>
      </c>
      <c r="C186" s="97"/>
      <c r="D186" s="79"/>
      <c r="E186" s="79"/>
      <c r="F186" s="79"/>
      <c r="G186" s="94"/>
      <c r="I186" s="86" t="e">
        <f t="shared" si="8"/>
        <v>#DIV/0!</v>
      </c>
      <c r="J186" s="87" t="e">
        <f t="shared" si="8"/>
        <v>#DIV/0!</v>
      </c>
      <c r="K186" s="87" t="e">
        <f t="shared" si="8"/>
        <v>#DIV/0!</v>
      </c>
      <c r="L186" s="87" t="e">
        <f t="shared" si="8"/>
        <v>#DIV/0!</v>
      </c>
      <c r="M186" s="88" t="e">
        <f t="shared" si="8"/>
        <v>#DIV/0!</v>
      </c>
      <c r="O186" s="121" t="str">
        <f t="shared" si="7"/>
        <v>קרית ביאליק</v>
      </c>
      <c r="P186" s="121" t="str">
        <f t="shared" si="7"/>
        <v>זכרון יעקב</v>
      </c>
    </row>
    <row r="187" spans="1:16" x14ac:dyDescent="0.3">
      <c r="A187" s="61">
        <v>7</v>
      </c>
      <c r="B187" s="61">
        <v>30</v>
      </c>
      <c r="C187" s="97"/>
      <c r="D187" s="79"/>
      <c r="E187" s="79"/>
      <c r="F187" s="79"/>
      <c r="G187" s="94"/>
      <c r="I187" s="86" t="e">
        <f t="shared" si="8"/>
        <v>#DIV/0!</v>
      </c>
      <c r="J187" s="87" t="e">
        <f t="shared" si="8"/>
        <v>#DIV/0!</v>
      </c>
      <c r="K187" s="87" t="e">
        <f t="shared" si="8"/>
        <v>#DIV/0!</v>
      </c>
      <c r="L187" s="87" t="e">
        <f t="shared" si="8"/>
        <v>#DIV/0!</v>
      </c>
      <c r="M187" s="88" t="e">
        <f t="shared" si="8"/>
        <v>#DIV/0!</v>
      </c>
      <c r="O187" s="121" t="str">
        <f t="shared" si="7"/>
        <v>קרית ביאליק</v>
      </c>
      <c r="P187" s="121" t="str">
        <f t="shared" si="7"/>
        <v>סכנין</v>
      </c>
    </row>
    <row r="188" spans="1:16" x14ac:dyDescent="0.3">
      <c r="A188" s="61">
        <v>8</v>
      </c>
      <c r="B188" s="61">
        <v>1</v>
      </c>
      <c r="C188" s="97"/>
      <c r="D188" s="79"/>
      <c r="E188" s="79"/>
      <c r="F188" s="79"/>
      <c r="G188" s="94"/>
      <c r="I188" s="86" t="e">
        <f t="shared" si="8"/>
        <v>#DIV/0!</v>
      </c>
      <c r="J188" s="87" t="e">
        <f t="shared" si="8"/>
        <v>#DIV/0!</v>
      </c>
      <c r="K188" s="87" t="e">
        <f t="shared" si="8"/>
        <v>#DIV/0!</v>
      </c>
      <c r="L188" s="87" t="e">
        <f t="shared" si="8"/>
        <v>#DIV/0!</v>
      </c>
      <c r="M188" s="88" t="e">
        <f t="shared" si="8"/>
        <v>#DIV/0!</v>
      </c>
      <c r="O188" s="121" t="str">
        <f t="shared" si="7"/>
        <v>קרית חיים</v>
      </c>
      <c r="P188" s="121" t="str">
        <f t="shared" si="7"/>
        <v>נהריה</v>
      </c>
    </row>
    <row r="189" spans="1:16" x14ac:dyDescent="0.3">
      <c r="A189" s="61">
        <v>8</v>
      </c>
      <c r="B189" s="61">
        <v>2</v>
      </c>
      <c r="C189" s="97"/>
      <c r="D189" s="79"/>
      <c r="E189" s="79"/>
      <c r="F189" s="79"/>
      <c r="G189" s="94"/>
      <c r="I189" s="86" t="e">
        <f t="shared" si="8"/>
        <v>#DIV/0!</v>
      </c>
      <c r="J189" s="87" t="e">
        <f t="shared" si="8"/>
        <v>#DIV/0!</v>
      </c>
      <c r="K189" s="87" t="e">
        <f t="shared" si="8"/>
        <v>#DIV/0!</v>
      </c>
      <c r="L189" s="87" t="e">
        <f t="shared" si="8"/>
        <v>#DIV/0!</v>
      </c>
      <c r="M189" s="88" t="e">
        <f t="shared" si="8"/>
        <v>#DIV/0!</v>
      </c>
      <c r="O189" s="121" t="str">
        <f t="shared" si="7"/>
        <v>קרית חיים</v>
      </c>
      <c r="P189" s="121" t="str">
        <f t="shared" si="7"/>
        <v>עכו</v>
      </c>
    </row>
    <row r="190" spans="1:16" x14ac:dyDescent="0.3">
      <c r="A190" s="61">
        <v>8</v>
      </c>
      <c r="B190" s="61">
        <v>3</v>
      </c>
      <c r="C190" s="97"/>
      <c r="D190" s="79"/>
      <c r="E190" s="79"/>
      <c r="F190" s="79"/>
      <c r="G190" s="94"/>
      <c r="I190" s="86" t="e">
        <f t="shared" si="8"/>
        <v>#DIV/0!</v>
      </c>
      <c r="J190" s="87" t="e">
        <f t="shared" si="8"/>
        <v>#DIV/0!</v>
      </c>
      <c r="K190" s="87" t="e">
        <f t="shared" si="8"/>
        <v>#DIV/0!</v>
      </c>
      <c r="L190" s="87" t="e">
        <f t="shared" si="8"/>
        <v>#DIV/0!</v>
      </c>
      <c r="M190" s="88" t="e">
        <f t="shared" si="8"/>
        <v>#DIV/0!</v>
      </c>
      <c r="O190" s="121" t="str">
        <f t="shared" si="7"/>
        <v>קרית חיים</v>
      </c>
      <c r="P190" s="121" t="str">
        <f t="shared" si="7"/>
        <v>כרמיאל</v>
      </c>
    </row>
    <row r="191" spans="1:16" x14ac:dyDescent="0.3">
      <c r="A191" s="61">
        <v>8</v>
      </c>
      <c r="B191" s="61">
        <v>4</v>
      </c>
      <c r="C191" s="97"/>
      <c r="D191" s="79"/>
      <c r="E191" s="79"/>
      <c r="F191" s="79"/>
      <c r="G191" s="94"/>
      <c r="I191" s="86" t="e">
        <f t="shared" si="8"/>
        <v>#DIV/0!</v>
      </c>
      <c r="J191" s="87" t="e">
        <f t="shared" si="8"/>
        <v>#DIV/0!</v>
      </c>
      <c r="K191" s="87" t="e">
        <f t="shared" si="8"/>
        <v>#DIV/0!</v>
      </c>
      <c r="L191" s="87" t="e">
        <f t="shared" si="8"/>
        <v>#DIV/0!</v>
      </c>
      <c r="M191" s="88" t="e">
        <f t="shared" si="8"/>
        <v>#DIV/0!</v>
      </c>
      <c r="O191" s="121" t="str">
        <f t="shared" si="7"/>
        <v>קרית חיים</v>
      </c>
      <c r="P191" s="121" t="str">
        <f t="shared" si="7"/>
        <v>שפרעם</v>
      </c>
    </row>
    <row r="192" spans="1:16" x14ac:dyDescent="0.3">
      <c r="A192" s="61">
        <v>8</v>
      </c>
      <c r="B192" s="61">
        <v>5</v>
      </c>
      <c r="C192" s="97"/>
      <c r="D192" s="79"/>
      <c r="E192" s="79"/>
      <c r="F192" s="79"/>
      <c r="G192" s="94"/>
      <c r="I192" s="86" t="e">
        <f t="shared" si="8"/>
        <v>#DIV/0!</v>
      </c>
      <c r="J192" s="87" t="e">
        <f t="shared" si="8"/>
        <v>#DIV/0!</v>
      </c>
      <c r="K192" s="87" t="e">
        <f t="shared" si="8"/>
        <v>#DIV/0!</v>
      </c>
      <c r="L192" s="87" t="e">
        <f t="shared" si="8"/>
        <v>#DIV/0!</v>
      </c>
      <c r="M192" s="88" t="e">
        <f t="shared" si="8"/>
        <v>#DIV/0!</v>
      </c>
      <c r="O192" s="121" t="str">
        <f t="shared" si="7"/>
        <v>קרית חיים</v>
      </c>
      <c r="P192" s="121" t="str">
        <f t="shared" si="7"/>
        <v>קרית ים</v>
      </c>
    </row>
    <row r="193" spans="1:16" x14ac:dyDescent="0.3">
      <c r="A193" s="61">
        <v>8</v>
      </c>
      <c r="B193" s="61">
        <v>6</v>
      </c>
      <c r="C193" s="97"/>
      <c r="D193" s="79"/>
      <c r="E193" s="79"/>
      <c r="F193" s="79"/>
      <c r="G193" s="94"/>
      <c r="I193" s="86" t="e">
        <f t="shared" si="8"/>
        <v>#DIV/0!</v>
      </c>
      <c r="J193" s="87" t="e">
        <f t="shared" si="8"/>
        <v>#DIV/0!</v>
      </c>
      <c r="K193" s="87" t="e">
        <f t="shared" si="8"/>
        <v>#DIV/0!</v>
      </c>
      <c r="L193" s="87" t="e">
        <f t="shared" si="8"/>
        <v>#DIV/0!</v>
      </c>
      <c r="M193" s="88" t="e">
        <f t="shared" si="8"/>
        <v>#DIV/0!</v>
      </c>
      <c r="O193" s="121" t="str">
        <f t="shared" si="7"/>
        <v>קרית חיים</v>
      </c>
      <c r="P193" s="121" t="str">
        <f t="shared" si="7"/>
        <v>קרית מוצקין</v>
      </c>
    </row>
    <row r="194" spans="1:16" x14ac:dyDescent="0.3">
      <c r="A194" s="61">
        <v>8</v>
      </c>
      <c r="B194" s="61">
        <v>7</v>
      </c>
      <c r="C194" s="97"/>
      <c r="D194" s="79"/>
      <c r="E194" s="79"/>
      <c r="F194" s="79"/>
      <c r="G194" s="94"/>
      <c r="I194" s="86" t="e">
        <f t="shared" si="8"/>
        <v>#DIV/0!</v>
      </c>
      <c r="J194" s="87" t="e">
        <f t="shared" si="8"/>
        <v>#DIV/0!</v>
      </c>
      <c r="K194" s="87" t="e">
        <f t="shared" si="8"/>
        <v>#DIV/0!</v>
      </c>
      <c r="L194" s="87" t="e">
        <f t="shared" si="8"/>
        <v>#DIV/0!</v>
      </c>
      <c r="M194" s="88" t="e">
        <f t="shared" si="8"/>
        <v>#DIV/0!</v>
      </c>
      <c r="O194" s="121" t="str">
        <f t="shared" si="7"/>
        <v>קרית חיים</v>
      </c>
      <c r="P194" s="121" t="str">
        <f t="shared" si="7"/>
        <v>קרית ביאליק</v>
      </c>
    </row>
    <row r="195" spans="1:16" x14ac:dyDescent="0.3">
      <c r="A195" s="61">
        <v>8</v>
      </c>
      <c r="B195" s="61">
        <v>8</v>
      </c>
      <c r="C195" s="97"/>
      <c r="D195" s="79"/>
      <c r="E195" s="79"/>
      <c r="F195" s="79"/>
      <c r="G195" s="94"/>
      <c r="I195" s="86" t="e">
        <f t="shared" si="8"/>
        <v>#DIV/0!</v>
      </c>
      <c r="J195" s="87" t="e">
        <f t="shared" si="8"/>
        <v>#DIV/0!</v>
      </c>
      <c r="K195" s="87" t="e">
        <f t="shared" si="8"/>
        <v>#DIV/0!</v>
      </c>
      <c r="L195" s="87" t="e">
        <f t="shared" si="8"/>
        <v>#DIV/0!</v>
      </c>
      <c r="M195" s="88" t="e">
        <f t="shared" si="8"/>
        <v>#DIV/0!</v>
      </c>
      <c r="O195" s="121" t="str">
        <f t="shared" si="7"/>
        <v>קרית חיים</v>
      </c>
      <c r="P195" s="121" t="str">
        <f t="shared" si="7"/>
        <v>קרית חיים</v>
      </c>
    </row>
    <row r="196" spans="1:16" x14ac:dyDescent="0.3">
      <c r="A196" s="61">
        <v>8</v>
      </c>
      <c r="B196" s="61">
        <v>9</v>
      </c>
      <c r="C196" s="97"/>
      <c r="D196" s="79"/>
      <c r="E196" s="79"/>
      <c r="F196" s="79"/>
      <c r="G196" s="94"/>
      <c r="I196" s="86" t="e">
        <f t="shared" si="8"/>
        <v>#DIV/0!</v>
      </c>
      <c r="J196" s="87" t="e">
        <f t="shared" si="8"/>
        <v>#DIV/0!</v>
      </c>
      <c r="K196" s="87" t="e">
        <f t="shared" si="8"/>
        <v>#DIV/0!</v>
      </c>
      <c r="L196" s="87" t="e">
        <f t="shared" si="8"/>
        <v>#DIV/0!</v>
      </c>
      <c r="M196" s="88" t="e">
        <f t="shared" si="8"/>
        <v>#DIV/0!</v>
      </c>
      <c r="O196" s="121" t="str">
        <f t="shared" si="7"/>
        <v>קרית חיים</v>
      </c>
      <c r="P196" s="121" t="str">
        <f t="shared" si="7"/>
        <v>קרית אתא</v>
      </c>
    </row>
    <row r="197" spans="1:16" x14ac:dyDescent="0.3">
      <c r="A197" s="61">
        <v>8</v>
      </c>
      <c r="B197" s="61">
        <v>10</v>
      </c>
      <c r="C197" s="97"/>
      <c r="D197" s="79"/>
      <c r="E197" s="79"/>
      <c r="F197" s="79"/>
      <c r="G197" s="94"/>
      <c r="I197" s="86" t="e">
        <f t="shared" si="8"/>
        <v>#DIV/0!</v>
      </c>
      <c r="J197" s="87" t="e">
        <f t="shared" si="8"/>
        <v>#DIV/0!</v>
      </c>
      <c r="K197" s="87" t="e">
        <f t="shared" si="8"/>
        <v>#DIV/0!</v>
      </c>
      <c r="L197" s="87" t="e">
        <f t="shared" si="8"/>
        <v>#DIV/0!</v>
      </c>
      <c r="M197" s="88" t="e">
        <f t="shared" si="8"/>
        <v>#DIV/0!</v>
      </c>
      <c r="O197" s="121" t="str">
        <f t="shared" si="7"/>
        <v>קרית חיים</v>
      </c>
      <c r="P197" s="121" t="str">
        <f t="shared" si="7"/>
        <v>כפר מנדא</v>
      </c>
    </row>
    <row r="198" spans="1:16" x14ac:dyDescent="0.3">
      <c r="A198" s="61">
        <v>8</v>
      </c>
      <c r="B198" s="61">
        <v>11</v>
      </c>
      <c r="C198" s="97"/>
      <c r="D198" s="79"/>
      <c r="E198" s="79"/>
      <c r="F198" s="79"/>
      <c r="G198" s="94"/>
      <c r="I198" s="86" t="e">
        <f t="shared" si="8"/>
        <v>#DIV/0!</v>
      </c>
      <c r="J198" s="87" t="e">
        <f t="shared" si="8"/>
        <v>#DIV/0!</v>
      </c>
      <c r="K198" s="87" t="e">
        <f t="shared" si="8"/>
        <v>#DIV/0!</v>
      </c>
      <c r="L198" s="87" t="e">
        <f t="shared" si="8"/>
        <v>#DIV/0!</v>
      </c>
      <c r="M198" s="88" t="e">
        <f t="shared" si="8"/>
        <v>#DIV/0!</v>
      </c>
      <c r="O198" s="121" t="str">
        <f t="shared" si="7"/>
        <v>קרית חיים</v>
      </c>
      <c r="P198" s="121" t="str">
        <f t="shared" si="7"/>
        <v>זבולון</v>
      </c>
    </row>
    <row r="199" spans="1:16" x14ac:dyDescent="0.3">
      <c r="A199" s="61">
        <v>8</v>
      </c>
      <c r="B199" s="61">
        <v>12</v>
      </c>
      <c r="C199" s="97"/>
      <c r="D199" s="79"/>
      <c r="E199" s="79"/>
      <c r="F199" s="79"/>
      <c r="G199" s="94"/>
      <c r="I199" s="86" t="e">
        <f t="shared" si="8"/>
        <v>#DIV/0!</v>
      </c>
      <c r="J199" s="87" t="e">
        <f t="shared" si="8"/>
        <v>#DIV/0!</v>
      </c>
      <c r="K199" s="87" t="e">
        <f t="shared" si="8"/>
        <v>#DIV/0!</v>
      </c>
      <c r="L199" s="87" t="e">
        <f t="shared" si="8"/>
        <v>#DIV/0!</v>
      </c>
      <c r="M199" s="88" t="e">
        <f t="shared" si="8"/>
        <v>#DIV/0!</v>
      </c>
      <c r="O199" s="121" t="str">
        <f t="shared" si="7"/>
        <v>קרית חיים</v>
      </c>
      <c r="P199" s="121" t="str">
        <f t="shared" si="7"/>
        <v>חיפה מפרץ</v>
      </c>
    </row>
    <row r="200" spans="1:16" x14ac:dyDescent="0.3">
      <c r="A200" s="61">
        <v>8</v>
      </c>
      <c r="B200" s="61">
        <v>13</v>
      </c>
      <c r="C200" s="97"/>
      <c r="D200" s="79"/>
      <c r="E200" s="79"/>
      <c r="F200" s="79"/>
      <c r="G200" s="94"/>
      <c r="I200" s="86" t="e">
        <f t="shared" si="8"/>
        <v>#DIV/0!</v>
      </c>
      <c r="J200" s="87" t="e">
        <f t="shared" si="8"/>
        <v>#DIV/0!</v>
      </c>
      <c r="K200" s="87" t="e">
        <f t="shared" si="8"/>
        <v>#DIV/0!</v>
      </c>
      <c r="L200" s="87" t="e">
        <f t="shared" si="8"/>
        <v>#DIV/0!</v>
      </c>
      <c r="M200" s="88" t="e">
        <f t="shared" si="8"/>
        <v>#DIV/0!</v>
      </c>
      <c r="O200" s="121" t="str">
        <f t="shared" ref="O200:P263" si="9">VLOOKUP(A200,$S$6:$T$31,2,0)</f>
        <v>קרית חיים</v>
      </c>
      <c r="P200" s="121" t="str">
        <f t="shared" si="9"/>
        <v>חיפה עיר תחתית</v>
      </c>
    </row>
    <row r="201" spans="1:16" x14ac:dyDescent="0.3">
      <c r="A201" s="61">
        <v>8</v>
      </c>
      <c r="B201" s="61">
        <v>14</v>
      </c>
      <c r="C201" s="97"/>
      <c r="D201" s="79"/>
      <c r="E201" s="79"/>
      <c r="F201" s="79"/>
      <c r="G201" s="94"/>
      <c r="I201" s="86" t="e">
        <f t="shared" si="8"/>
        <v>#DIV/0!</v>
      </c>
      <c r="J201" s="87" t="e">
        <f t="shared" si="8"/>
        <v>#DIV/0!</v>
      </c>
      <c r="K201" s="87" t="e">
        <f t="shared" si="8"/>
        <v>#DIV/0!</v>
      </c>
      <c r="L201" s="87" t="e">
        <f t="shared" si="8"/>
        <v>#DIV/0!</v>
      </c>
      <c r="M201" s="88" t="e">
        <f t="shared" si="8"/>
        <v>#DIV/0!</v>
      </c>
      <c r="O201" s="121" t="str">
        <f t="shared" si="9"/>
        <v>קרית חיים</v>
      </c>
      <c r="P201" s="121" t="str">
        <f t="shared" si="9"/>
        <v>חיפה הדר-כרמל</v>
      </c>
    </row>
    <row r="202" spans="1:16" x14ac:dyDescent="0.3">
      <c r="A202" s="61">
        <v>8</v>
      </c>
      <c r="B202" s="61">
        <v>15</v>
      </c>
      <c r="C202" s="97"/>
      <c r="D202" s="79"/>
      <c r="E202" s="79"/>
      <c r="F202" s="79"/>
      <c r="G202" s="94"/>
      <c r="I202" s="86" t="e">
        <f t="shared" si="8"/>
        <v>#DIV/0!</v>
      </c>
      <c r="J202" s="87" t="e">
        <f t="shared" si="8"/>
        <v>#DIV/0!</v>
      </c>
      <c r="K202" s="87" t="e">
        <f t="shared" si="8"/>
        <v>#DIV/0!</v>
      </c>
      <c r="L202" s="87" t="e">
        <f t="shared" si="8"/>
        <v>#DIV/0!</v>
      </c>
      <c r="M202" s="88" t="e">
        <f t="shared" si="8"/>
        <v>#DIV/0!</v>
      </c>
      <c r="O202" s="121" t="str">
        <f t="shared" si="9"/>
        <v>קרית חיים</v>
      </c>
      <c r="P202" s="121" t="str">
        <f t="shared" si="9"/>
        <v>חיפה מערב</v>
      </c>
    </row>
    <row r="203" spans="1:16" x14ac:dyDescent="0.3">
      <c r="A203" s="61">
        <v>8</v>
      </c>
      <c r="B203" s="61">
        <v>16</v>
      </c>
      <c r="C203" s="97"/>
      <c r="D203" s="79"/>
      <c r="E203" s="79"/>
      <c r="F203" s="79"/>
      <c r="G203" s="94"/>
      <c r="I203" s="86" t="e">
        <f t="shared" si="8"/>
        <v>#DIV/0!</v>
      </c>
      <c r="J203" s="87" t="e">
        <f t="shared" si="8"/>
        <v>#DIV/0!</v>
      </c>
      <c r="K203" s="87" t="e">
        <f t="shared" si="8"/>
        <v>#DIV/0!</v>
      </c>
      <c r="L203" s="87" t="e">
        <f t="shared" si="8"/>
        <v>#DIV/0!</v>
      </c>
      <c r="M203" s="88" t="e">
        <f t="shared" si="8"/>
        <v>#DIV/0!</v>
      </c>
      <c r="O203" s="121" t="str">
        <f t="shared" si="9"/>
        <v>קרית חיים</v>
      </c>
      <c r="P203" s="121" t="str">
        <f t="shared" si="9"/>
        <v>חיפה כרמל</v>
      </c>
    </row>
    <row r="204" spans="1:16" x14ac:dyDescent="0.3">
      <c r="A204" s="61">
        <v>8</v>
      </c>
      <c r="B204" s="61">
        <v>17</v>
      </c>
      <c r="C204" s="97"/>
      <c r="D204" s="79"/>
      <c r="E204" s="79"/>
      <c r="F204" s="79"/>
      <c r="G204" s="94"/>
      <c r="I204" s="86" t="e">
        <f t="shared" si="8"/>
        <v>#DIV/0!</v>
      </c>
      <c r="J204" s="87" t="e">
        <f t="shared" si="8"/>
        <v>#DIV/0!</v>
      </c>
      <c r="K204" s="87" t="e">
        <f t="shared" si="8"/>
        <v>#DIV/0!</v>
      </c>
      <c r="L204" s="87" t="e">
        <f t="shared" si="8"/>
        <v>#DIV/0!</v>
      </c>
      <c r="M204" s="88" t="e">
        <f t="shared" si="8"/>
        <v>#DIV/0!</v>
      </c>
      <c r="O204" s="121" t="str">
        <f t="shared" si="9"/>
        <v>קרית חיים</v>
      </c>
      <c r="P204" s="121" t="str">
        <f t="shared" si="9"/>
        <v>חיפה נווה שאנן</v>
      </c>
    </row>
    <row r="205" spans="1:16" x14ac:dyDescent="0.3">
      <c r="A205" s="61">
        <v>8</v>
      </c>
      <c r="B205" s="61">
        <v>18</v>
      </c>
      <c r="C205" s="97"/>
      <c r="D205" s="79"/>
      <c r="E205" s="79"/>
      <c r="F205" s="79"/>
      <c r="G205" s="94"/>
      <c r="I205" s="86" t="e">
        <f t="shared" si="8"/>
        <v>#DIV/0!</v>
      </c>
      <c r="J205" s="87" t="e">
        <f t="shared" si="8"/>
        <v>#DIV/0!</v>
      </c>
      <c r="K205" s="87" t="e">
        <f t="shared" si="8"/>
        <v>#DIV/0!</v>
      </c>
      <c r="L205" s="87" t="e">
        <f t="shared" si="8"/>
        <v>#DIV/0!</v>
      </c>
      <c r="M205" s="88" t="e">
        <f t="shared" si="8"/>
        <v>#DIV/0!</v>
      </c>
      <c r="O205" s="121" t="str">
        <f t="shared" si="9"/>
        <v>קרית חיים</v>
      </c>
      <c r="P205" s="121" t="str">
        <f t="shared" si="9"/>
        <v>נשר</v>
      </c>
    </row>
    <row r="206" spans="1:16" x14ac:dyDescent="0.3">
      <c r="A206" s="61">
        <v>8</v>
      </c>
      <c r="B206" s="61">
        <v>19</v>
      </c>
      <c r="C206" s="97"/>
      <c r="D206" s="79"/>
      <c r="E206" s="79"/>
      <c r="F206" s="79"/>
      <c r="G206" s="94"/>
      <c r="I206" s="86" t="e">
        <f t="shared" si="8"/>
        <v>#DIV/0!</v>
      </c>
      <c r="J206" s="87" t="e">
        <f t="shared" si="8"/>
        <v>#DIV/0!</v>
      </c>
      <c r="K206" s="87" t="e">
        <f t="shared" si="8"/>
        <v>#DIV/0!</v>
      </c>
      <c r="L206" s="87" t="e">
        <f t="shared" si="8"/>
        <v>#DIV/0!</v>
      </c>
      <c r="M206" s="88" t="e">
        <f t="shared" si="8"/>
        <v>#DIV/0!</v>
      </c>
      <c r="O206" s="121" t="str">
        <f t="shared" si="9"/>
        <v>קרית חיים</v>
      </c>
      <c r="P206" s="121" t="str">
        <f t="shared" si="9"/>
        <v>נצרת</v>
      </c>
    </row>
    <row r="207" spans="1:16" x14ac:dyDescent="0.3">
      <c r="A207" s="61">
        <v>8</v>
      </c>
      <c r="B207" s="61">
        <v>20</v>
      </c>
      <c r="C207" s="97"/>
      <c r="D207" s="79"/>
      <c r="E207" s="79"/>
      <c r="F207" s="79"/>
      <c r="G207" s="94"/>
      <c r="I207" s="86" t="e">
        <f t="shared" si="8"/>
        <v>#DIV/0!</v>
      </c>
      <c r="J207" s="87" t="e">
        <f t="shared" si="8"/>
        <v>#DIV/0!</v>
      </c>
      <c r="K207" s="87" t="e">
        <f t="shared" si="8"/>
        <v>#DIV/0!</v>
      </c>
      <c r="L207" s="87" t="e">
        <f t="shared" si="8"/>
        <v>#DIV/0!</v>
      </c>
      <c r="M207" s="88" t="e">
        <f t="shared" si="8"/>
        <v>#DIV/0!</v>
      </c>
      <c r="O207" s="121" t="str">
        <f t="shared" si="9"/>
        <v>קרית חיים</v>
      </c>
      <c r="P207" s="121" t="str">
        <f t="shared" si="9"/>
        <v>נצרת-עילית</v>
      </c>
    </row>
    <row r="208" spans="1:16" x14ac:dyDescent="0.3">
      <c r="A208" s="61">
        <v>8</v>
      </c>
      <c r="B208" s="61">
        <v>21</v>
      </c>
      <c r="C208" s="97"/>
      <c r="D208" s="79"/>
      <c r="E208" s="79"/>
      <c r="F208" s="79"/>
      <c r="G208" s="94"/>
      <c r="I208" s="86" t="e">
        <f t="shared" si="8"/>
        <v>#DIV/0!</v>
      </c>
      <c r="J208" s="87" t="e">
        <f t="shared" si="8"/>
        <v>#DIV/0!</v>
      </c>
      <c r="K208" s="87" t="e">
        <f t="shared" si="8"/>
        <v>#DIV/0!</v>
      </c>
      <c r="L208" s="87" t="e">
        <f t="shared" si="8"/>
        <v>#DIV/0!</v>
      </c>
      <c r="M208" s="88" t="e">
        <f t="shared" si="8"/>
        <v>#DIV/0!</v>
      </c>
      <c r="O208" s="121" t="str">
        <f t="shared" si="9"/>
        <v>קרית חיים</v>
      </c>
      <c r="P208" s="121" t="str">
        <f t="shared" si="9"/>
        <v>מגדל העמק</v>
      </c>
    </row>
    <row r="209" spans="1:16" x14ac:dyDescent="0.3">
      <c r="A209" s="61">
        <v>8</v>
      </c>
      <c r="B209" s="61">
        <v>22</v>
      </c>
      <c r="C209" s="97"/>
      <c r="D209" s="79"/>
      <c r="E209" s="79"/>
      <c r="F209" s="79"/>
      <c r="G209" s="94"/>
      <c r="I209" s="86" t="e">
        <f t="shared" si="8"/>
        <v>#DIV/0!</v>
      </c>
      <c r="J209" s="87" t="e">
        <f t="shared" si="8"/>
        <v>#DIV/0!</v>
      </c>
      <c r="K209" s="87" t="e">
        <f t="shared" si="8"/>
        <v>#DIV/0!</v>
      </c>
      <c r="L209" s="87" t="e">
        <f t="shared" si="8"/>
        <v>#DIV/0!</v>
      </c>
      <c r="M209" s="88" t="e">
        <f t="shared" si="8"/>
        <v>#DIV/0!</v>
      </c>
      <c r="O209" s="121" t="str">
        <f t="shared" si="9"/>
        <v>קרית חיים</v>
      </c>
      <c r="P209" s="121" t="str">
        <f t="shared" si="9"/>
        <v>יוקנעם</v>
      </c>
    </row>
    <row r="210" spans="1:16" x14ac:dyDescent="0.3">
      <c r="A210" s="61">
        <v>8</v>
      </c>
      <c r="B210" s="61">
        <v>23</v>
      </c>
      <c r="C210" s="97"/>
      <c r="D210" s="79"/>
      <c r="E210" s="79"/>
      <c r="F210" s="79"/>
      <c r="G210" s="94"/>
      <c r="I210" s="86" t="e">
        <f t="shared" si="8"/>
        <v>#DIV/0!</v>
      </c>
      <c r="J210" s="87" t="e">
        <f t="shared" si="8"/>
        <v>#DIV/0!</v>
      </c>
      <c r="K210" s="87" t="e">
        <f t="shared" si="8"/>
        <v>#DIV/0!</v>
      </c>
      <c r="L210" s="87" t="e">
        <f t="shared" si="8"/>
        <v>#DIV/0!</v>
      </c>
      <c r="M210" s="88" t="e">
        <f t="shared" si="8"/>
        <v>#DIV/0!</v>
      </c>
      <c r="O210" s="121" t="str">
        <f t="shared" si="9"/>
        <v>קרית חיים</v>
      </c>
      <c r="P210" s="121" t="str">
        <f t="shared" si="9"/>
        <v>דלית אל כרמל</v>
      </c>
    </row>
    <row r="211" spans="1:16" x14ac:dyDescent="0.3">
      <c r="A211" s="61">
        <v>8</v>
      </c>
      <c r="B211" s="61">
        <v>24</v>
      </c>
      <c r="C211" s="97"/>
      <c r="D211" s="79"/>
      <c r="E211" s="79"/>
      <c r="F211" s="79"/>
      <c r="G211" s="94"/>
      <c r="I211" s="86" t="e">
        <f t="shared" si="8"/>
        <v>#DIV/0!</v>
      </c>
      <c r="J211" s="87" t="e">
        <f t="shared" si="8"/>
        <v>#DIV/0!</v>
      </c>
      <c r="K211" s="87" t="e">
        <f t="shared" si="8"/>
        <v>#DIV/0!</v>
      </c>
      <c r="L211" s="87" t="e">
        <f t="shared" si="8"/>
        <v>#DIV/0!</v>
      </c>
      <c r="M211" s="88" t="e">
        <f t="shared" si="8"/>
        <v>#DIV/0!</v>
      </c>
      <c r="O211" s="121" t="str">
        <f t="shared" si="9"/>
        <v>קרית חיים</v>
      </c>
      <c r="P211" s="121" t="str">
        <f t="shared" si="9"/>
        <v>חוף הכרמל</v>
      </c>
    </row>
    <row r="212" spans="1:16" x14ac:dyDescent="0.3">
      <c r="A212" s="61">
        <v>8</v>
      </c>
      <c r="B212" s="61">
        <v>25</v>
      </c>
      <c r="C212" s="97"/>
      <c r="D212" s="79"/>
      <c r="E212" s="79"/>
      <c r="F212" s="79"/>
      <c r="G212" s="94"/>
      <c r="I212" s="86" t="e">
        <f t="shared" si="8"/>
        <v>#DIV/0!</v>
      </c>
      <c r="J212" s="87" t="e">
        <f t="shared" si="8"/>
        <v>#DIV/0!</v>
      </c>
      <c r="K212" s="87" t="e">
        <f t="shared" si="8"/>
        <v>#DIV/0!</v>
      </c>
      <c r="L212" s="87" t="e">
        <f t="shared" si="8"/>
        <v>#DIV/0!</v>
      </c>
      <c r="M212" s="88" t="e">
        <f t="shared" si="8"/>
        <v>#DIV/0!</v>
      </c>
      <c r="O212" s="121" t="str">
        <f t="shared" si="9"/>
        <v>קרית חיים</v>
      </c>
      <c r="P212" s="121" t="str">
        <f t="shared" si="9"/>
        <v>זכרון יעקב</v>
      </c>
    </row>
    <row r="213" spans="1:16" x14ac:dyDescent="0.3">
      <c r="A213" s="61">
        <v>8</v>
      </c>
      <c r="B213" s="61">
        <v>30</v>
      </c>
      <c r="C213" s="97"/>
      <c r="D213" s="79"/>
      <c r="E213" s="79"/>
      <c r="F213" s="79"/>
      <c r="G213" s="94"/>
      <c r="I213" s="86" t="e">
        <f t="shared" si="8"/>
        <v>#DIV/0!</v>
      </c>
      <c r="J213" s="87" t="e">
        <f t="shared" si="8"/>
        <v>#DIV/0!</v>
      </c>
      <c r="K213" s="87" t="e">
        <f t="shared" si="8"/>
        <v>#DIV/0!</v>
      </c>
      <c r="L213" s="87" t="e">
        <f t="shared" si="8"/>
        <v>#DIV/0!</v>
      </c>
      <c r="M213" s="88" t="e">
        <f t="shared" si="8"/>
        <v>#DIV/0!</v>
      </c>
      <c r="O213" s="121" t="str">
        <f t="shared" si="9"/>
        <v>קרית חיים</v>
      </c>
      <c r="P213" s="121" t="str">
        <f t="shared" si="9"/>
        <v>סכנין</v>
      </c>
    </row>
    <row r="214" spans="1:16" x14ac:dyDescent="0.3">
      <c r="A214" s="61">
        <v>9</v>
      </c>
      <c r="B214" s="61">
        <v>1</v>
      </c>
      <c r="C214" s="97"/>
      <c r="D214" s="79"/>
      <c r="E214" s="79"/>
      <c r="F214" s="79"/>
      <c r="G214" s="94"/>
      <c r="I214" s="86" t="e">
        <f t="shared" si="8"/>
        <v>#DIV/0!</v>
      </c>
      <c r="J214" s="87" t="e">
        <f t="shared" si="8"/>
        <v>#DIV/0!</v>
      </c>
      <c r="K214" s="87" t="e">
        <f t="shared" si="8"/>
        <v>#DIV/0!</v>
      </c>
      <c r="L214" s="87" t="e">
        <f t="shared" si="8"/>
        <v>#DIV/0!</v>
      </c>
      <c r="M214" s="88" t="e">
        <f t="shared" si="8"/>
        <v>#DIV/0!</v>
      </c>
      <c r="O214" s="121" t="str">
        <f t="shared" si="9"/>
        <v>קרית אתא</v>
      </c>
      <c r="P214" s="121" t="str">
        <f t="shared" si="9"/>
        <v>נהריה</v>
      </c>
    </row>
    <row r="215" spans="1:16" x14ac:dyDescent="0.3">
      <c r="A215" s="61">
        <v>9</v>
      </c>
      <c r="B215" s="61">
        <v>2</v>
      </c>
      <c r="C215" s="97"/>
      <c r="D215" s="79"/>
      <c r="E215" s="79"/>
      <c r="F215" s="79"/>
      <c r="G215" s="94"/>
      <c r="I215" s="86" t="e">
        <f t="shared" si="8"/>
        <v>#DIV/0!</v>
      </c>
      <c r="J215" s="87" t="e">
        <f t="shared" si="8"/>
        <v>#DIV/0!</v>
      </c>
      <c r="K215" s="87" t="e">
        <f t="shared" si="8"/>
        <v>#DIV/0!</v>
      </c>
      <c r="L215" s="87" t="e">
        <f t="shared" si="8"/>
        <v>#DIV/0!</v>
      </c>
      <c r="M215" s="88" t="e">
        <f t="shared" si="8"/>
        <v>#DIV/0!</v>
      </c>
      <c r="O215" s="121" t="str">
        <f t="shared" si="9"/>
        <v>קרית אתא</v>
      </c>
      <c r="P215" s="121" t="str">
        <f t="shared" si="9"/>
        <v>עכו</v>
      </c>
    </row>
    <row r="216" spans="1:16" x14ac:dyDescent="0.3">
      <c r="A216" s="61">
        <v>9</v>
      </c>
      <c r="B216" s="61">
        <v>3</v>
      </c>
      <c r="C216" s="97"/>
      <c r="D216" s="79"/>
      <c r="E216" s="79"/>
      <c r="F216" s="79"/>
      <c r="G216" s="94"/>
      <c r="I216" s="86" t="e">
        <f t="shared" si="8"/>
        <v>#DIV/0!</v>
      </c>
      <c r="J216" s="87" t="e">
        <f t="shared" si="8"/>
        <v>#DIV/0!</v>
      </c>
      <c r="K216" s="87" t="e">
        <f t="shared" si="8"/>
        <v>#DIV/0!</v>
      </c>
      <c r="L216" s="87" t="e">
        <f t="shared" si="8"/>
        <v>#DIV/0!</v>
      </c>
      <c r="M216" s="88" t="e">
        <f t="shared" si="8"/>
        <v>#DIV/0!</v>
      </c>
      <c r="O216" s="121" t="str">
        <f t="shared" si="9"/>
        <v>קרית אתא</v>
      </c>
      <c r="P216" s="121" t="str">
        <f t="shared" si="9"/>
        <v>כרמיאל</v>
      </c>
    </row>
    <row r="217" spans="1:16" x14ac:dyDescent="0.3">
      <c r="A217" s="61">
        <v>9</v>
      </c>
      <c r="B217" s="61">
        <v>4</v>
      </c>
      <c r="C217" s="97"/>
      <c r="D217" s="79"/>
      <c r="E217" s="79"/>
      <c r="F217" s="79"/>
      <c r="G217" s="94"/>
      <c r="I217" s="86" t="e">
        <f t="shared" si="8"/>
        <v>#DIV/0!</v>
      </c>
      <c r="J217" s="87" t="e">
        <f t="shared" si="8"/>
        <v>#DIV/0!</v>
      </c>
      <c r="K217" s="87" t="e">
        <f t="shared" si="8"/>
        <v>#DIV/0!</v>
      </c>
      <c r="L217" s="87" t="e">
        <f t="shared" si="8"/>
        <v>#DIV/0!</v>
      </c>
      <c r="M217" s="88" t="e">
        <f t="shared" si="8"/>
        <v>#DIV/0!</v>
      </c>
      <c r="O217" s="121" t="str">
        <f t="shared" si="9"/>
        <v>קרית אתא</v>
      </c>
      <c r="P217" s="121" t="str">
        <f t="shared" si="9"/>
        <v>שפרעם</v>
      </c>
    </row>
    <row r="218" spans="1:16" x14ac:dyDescent="0.3">
      <c r="A218" s="61">
        <v>9</v>
      </c>
      <c r="B218" s="61">
        <v>5</v>
      </c>
      <c r="C218" s="97"/>
      <c r="D218" s="79"/>
      <c r="E218" s="79"/>
      <c r="F218" s="79"/>
      <c r="G218" s="94"/>
      <c r="I218" s="86" t="e">
        <f t="shared" si="8"/>
        <v>#DIV/0!</v>
      </c>
      <c r="J218" s="87" t="e">
        <f t="shared" si="8"/>
        <v>#DIV/0!</v>
      </c>
      <c r="K218" s="87" t="e">
        <f t="shared" si="8"/>
        <v>#DIV/0!</v>
      </c>
      <c r="L218" s="87" t="e">
        <f t="shared" si="8"/>
        <v>#DIV/0!</v>
      </c>
      <c r="M218" s="88" t="e">
        <f t="shared" si="8"/>
        <v>#DIV/0!</v>
      </c>
      <c r="O218" s="121" t="str">
        <f t="shared" si="9"/>
        <v>קרית אתא</v>
      </c>
      <c r="P218" s="121" t="str">
        <f t="shared" si="9"/>
        <v>קרית ים</v>
      </c>
    </row>
    <row r="219" spans="1:16" x14ac:dyDescent="0.3">
      <c r="A219" s="61">
        <v>9</v>
      </c>
      <c r="B219" s="61">
        <v>6</v>
      </c>
      <c r="C219" s="97"/>
      <c r="D219" s="79"/>
      <c r="E219" s="79"/>
      <c r="F219" s="79"/>
      <c r="G219" s="94"/>
      <c r="I219" s="86" t="e">
        <f t="shared" si="8"/>
        <v>#DIV/0!</v>
      </c>
      <c r="J219" s="87" t="e">
        <f t="shared" si="8"/>
        <v>#DIV/0!</v>
      </c>
      <c r="K219" s="87" t="e">
        <f t="shared" si="8"/>
        <v>#DIV/0!</v>
      </c>
      <c r="L219" s="87" t="e">
        <f t="shared" si="8"/>
        <v>#DIV/0!</v>
      </c>
      <c r="M219" s="88" t="e">
        <f t="shared" si="8"/>
        <v>#DIV/0!</v>
      </c>
      <c r="O219" s="121" t="str">
        <f t="shared" si="9"/>
        <v>קרית אתא</v>
      </c>
      <c r="P219" s="121" t="str">
        <f t="shared" si="9"/>
        <v>קרית מוצקין</v>
      </c>
    </row>
    <row r="220" spans="1:16" x14ac:dyDescent="0.3">
      <c r="A220" s="61">
        <v>9</v>
      </c>
      <c r="B220" s="61">
        <v>7</v>
      </c>
      <c r="C220" s="97"/>
      <c r="D220" s="79"/>
      <c r="E220" s="79"/>
      <c r="F220" s="79"/>
      <c r="G220" s="94"/>
      <c r="I220" s="86" t="e">
        <f t="shared" si="8"/>
        <v>#DIV/0!</v>
      </c>
      <c r="J220" s="87" t="e">
        <f t="shared" si="8"/>
        <v>#DIV/0!</v>
      </c>
      <c r="K220" s="87" t="e">
        <f t="shared" si="8"/>
        <v>#DIV/0!</v>
      </c>
      <c r="L220" s="87" t="e">
        <f t="shared" si="8"/>
        <v>#DIV/0!</v>
      </c>
      <c r="M220" s="88" t="e">
        <f t="shared" si="8"/>
        <v>#DIV/0!</v>
      </c>
      <c r="O220" s="121" t="str">
        <f t="shared" si="9"/>
        <v>קרית אתא</v>
      </c>
      <c r="P220" s="121" t="str">
        <f t="shared" si="9"/>
        <v>קרית ביאליק</v>
      </c>
    </row>
    <row r="221" spans="1:16" x14ac:dyDescent="0.3">
      <c r="A221" s="61">
        <v>9</v>
      </c>
      <c r="B221" s="61">
        <v>8</v>
      </c>
      <c r="C221" s="97"/>
      <c r="D221" s="79"/>
      <c r="E221" s="79"/>
      <c r="F221" s="79"/>
      <c r="G221" s="94"/>
      <c r="I221" s="86" t="e">
        <f t="shared" si="8"/>
        <v>#DIV/0!</v>
      </c>
      <c r="J221" s="87" t="e">
        <f t="shared" si="8"/>
        <v>#DIV/0!</v>
      </c>
      <c r="K221" s="87" t="e">
        <f t="shared" si="8"/>
        <v>#DIV/0!</v>
      </c>
      <c r="L221" s="87" t="e">
        <f t="shared" si="8"/>
        <v>#DIV/0!</v>
      </c>
      <c r="M221" s="88" t="e">
        <f t="shared" si="8"/>
        <v>#DIV/0!</v>
      </c>
      <c r="O221" s="121" t="str">
        <f t="shared" si="9"/>
        <v>קרית אתא</v>
      </c>
      <c r="P221" s="121" t="str">
        <f t="shared" si="9"/>
        <v>קרית חיים</v>
      </c>
    </row>
    <row r="222" spans="1:16" x14ac:dyDescent="0.3">
      <c r="A222" s="61">
        <v>9</v>
      </c>
      <c r="B222" s="61">
        <v>9</v>
      </c>
      <c r="C222" s="97"/>
      <c r="D222" s="79"/>
      <c r="E222" s="79"/>
      <c r="F222" s="79"/>
      <c r="G222" s="94"/>
      <c r="I222" s="86" t="e">
        <f t="shared" si="8"/>
        <v>#DIV/0!</v>
      </c>
      <c r="J222" s="87" t="e">
        <f t="shared" si="8"/>
        <v>#DIV/0!</v>
      </c>
      <c r="K222" s="87" t="e">
        <f t="shared" si="8"/>
        <v>#DIV/0!</v>
      </c>
      <c r="L222" s="87" t="e">
        <f t="shared" si="8"/>
        <v>#DIV/0!</v>
      </c>
      <c r="M222" s="88" t="e">
        <f t="shared" si="8"/>
        <v>#DIV/0!</v>
      </c>
      <c r="O222" s="121" t="str">
        <f t="shared" si="9"/>
        <v>קרית אתא</v>
      </c>
      <c r="P222" s="121" t="str">
        <f t="shared" si="9"/>
        <v>קרית אתא</v>
      </c>
    </row>
    <row r="223" spans="1:16" x14ac:dyDescent="0.3">
      <c r="A223" s="61">
        <v>9</v>
      </c>
      <c r="B223" s="61">
        <v>10</v>
      </c>
      <c r="C223" s="97"/>
      <c r="D223" s="79"/>
      <c r="E223" s="79"/>
      <c r="F223" s="79"/>
      <c r="G223" s="94"/>
      <c r="I223" s="86" t="e">
        <f t="shared" ref="I223:M273" si="10">C223/SUM($C223:$G223)</f>
        <v>#DIV/0!</v>
      </c>
      <c r="J223" s="87" t="e">
        <f t="shared" si="10"/>
        <v>#DIV/0!</v>
      </c>
      <c r="K223" s="87" t="e">
        <f t="shared" si="10"/>
        <v>#DIV/0!</v>
      </c>
      <c r="L223" s="87" t="e">
        <f t="shared" si="10"/>
        <v>#DIV/0!</v>
      </c>
      <c r="M223" s="88" t="e">
        <f t="shared" si="10"/>
        <v>#DIV/0!</v>
      </c>
      <c r="O223" s="121" t="str">
        <f t="shared" si="9"/>
        <v>קרית אתא</v>
      </c>
      <c r="P223" s="121" t="str">
        <f t="shared" si="9"/>
        <v>כפר מנדא</v>
      </c>
    </row>
    <row r="224" spans="1:16" x14ac:dyDescent="0.3">
      <c r="A224" s="61">
        <v>9</v>
      </c>
      <c r="B224" s="61">
        <v>11</v>
      </c>
      <c r="C224" s="97"/>
      <c r="D224" s="79"/>
      <c r="E224" s="79"/>
      <c r="F224" s="79"/>
      <c r="G224" s="94"/>
      <c r="I224" s="86" t="e">
        <f t="shared" si="10"/>
        <v>#DIV/0!</v>
      </c>
      <c r="J224" s="87" t="e">
        <f t="shared" si="10"/>
        <v>#DIV/0!</v>
      </c>
      <c r="K224" s="87" t="e">
        <f t="shared" si="10"/>
        <v>#DIV/0!</v>
      </c>
      <c r="L224" s="87" t="e">
        <f t="shared" si="10"/>
        <v>#DIV/0!</v>
      </c>
      <c r="M224" s="88" t="e">
        <f t="shared" si="10"/>
        <v>#DIV/0!</v>
      </c>
      <c r="O224" s="121" t="str">
        <f t="shared" si="9"/>
        <v>קרית אתא</v>
      </c>
      <c r="P224" s="121" t="str">
        <f t="shared" si="9"/>
        <v>זבולון</v>
      </c>
    </row>
    <row r="225" spans="1:16" x14ac:dyDescent="0.3">
      <c r="A225" s="61">
        <v>9</v>
      </c>
      <c r="B225" s="61">
        <v>12</v>
      </c>
      <c r="C225" s="97"/>
      <c r="D225" s="79"/>
      <c r="E225" s="79"/>
      <c r="F225" s="79"/>
      <c r="G225" s="94"/>
      <c r="I225" s="86" t="e">
        <f t="shared" si="10"/>
        <v>#DIV/0!</v>
      </c>
      <c r="J225" s="87" t="e">
        <f t="shared" si="10"/>
        <v>#DIV/0!</v>
      </c>
      <c r="K225" s="87" t="e">
        <f t="shared" si="10"/>
        <v>#DIV/0!</v>
      </c>
      <c r="L225" s="87" t="e">
        <f t="shared" si="10"/>
        <v>#DIV/0!</v>
      </c>
      <c r="M225" s="88" t="e">
        <f t="shared" si="10"/>
        <v>#DIV/0!</v>
      </c>
      <c r="O225" s="121" t="str">
        <f t="shared" si="9"/>
        <v>קרית אתא</v>
      </c>
      <c r="P225" s="121" t="str">
        <f t="shared" si="9"/>
        <v>חיפה מפרץ</v>
      </c>
    </row>
    <row r="226" spans="1:16" x14ac:dyDescent="0.3">
      <c r="A226" s="61">
        <v>9</v>
      </c>
      <c r="B226" s="61">
        <v>13</v>
      </c>
      <c r="C226" s="97"/>
      <c r="D226" s="79"/>
      <c r="E226" s="79"/>
      <c r="F226" s="79"/>
      <c r="G226" s="94"/>
      <c r="I226" s="86" t="e">
        <f t="shared" si="10"/>
        <v>#DIV/0!</v>
      </c>
      <c r="J226" s="87" t="e">
        <f t="shared" si="10"/>
        <v>#DIV/0!</v>
      </c>
      <c r="K226" s="87" t="e">
        <f t="shared" si="10"/>
        <v>#DIV/0!</v>
      </c>
      <c r="L226" s="87" t="e">
        <f t="shared" si="10"/>
        <v>#DIV/0!</v>
      </c>
      <c r="M226" s="88" t="e">
        <f t="shared" si="10"/>
        <v>#DIV/0!</v>
      </c>
      <c r="O226" s="121" t="str">
        <f t="shared" si="9"/>
        <v>קרית אתא</v>
      </c>
      <c r="P226" s="121" t="str">
        <f t="shared" si="9"/>
        <v>חיפה עיר תחתית</v>
      </c>
    </row>
    <row r="227" spans="1:16" x14ac:dyDescent="0.3">
      <c r="A227" s="61">
        <v>9</v>
      </c>
      <c r="B227" s="61">
        <v>14</v>
      </c>
      <c r="C227" s="97"/>
      <c r="D227" s="79"/>
      <c r="E227" s="79"/>
      <c r="F227" s="79"/>
      <c r="G227" s="94"/>
      <c r="I227" s="86" t="e">
        <f t="shared" si="10"/>
        <v>#DIV/0!</v>
      </c>
      <c r="J227" s="87" t="e">
        <f t="shared" si="10"/>
        <v>#DIV/0!</v>
      </c>
      <c r="K227" s="87" t="e">
        <f t="shared" si="10"/>
        <v>#DIV/0!</v>
      </c>
      <c r="L227" s="87" t="e">
        <f t="shared" si="10"/>
        <v>#DIV/0!</v>
      </c>
      <c r="M227" s="88" t="e">
        <f t="shared" si="10"/>
        <v>#DIV/0!</v>
      </c>
      <c r="O227" s="121" t="str">
        <f t="shared" si="9"/>
        <v>קרית אתא</v>
      </c>
      <c r="P227" s="121" t="str">
        <f t="shared" si="9"/>
        <v>חיפה הדר-כרמל</v>
      </c>
    </row>
    <row r="228" spans="1:16" x14ac:dyDescent="0.3">
      <c r="A228" s="61">
        <v>9</v>
      </c>
      <c r="B228" s="61">
        <v>15</v>
      </c>
      <c r="C228" s="97"/>
      <c r="D228" s="79"/>
      <c r="E228" s="79"/>
      <c r="F228" s="79"/>
      <c r="G228" s="94"/>
      <c r="I228" s="86" t="e">
        <f t="shared" si="10"/>
        <v>#DIV/0!</v>
      </c>
      <c r="J228" s="87" t="e">
        <f t="shared" si="10"/>
        <v>#DIV/0!</v>
      </c>
      <c r="K228" s="87" t="e">
        <f t="shared" si="10"/>
        <v>#DIV/0!</v>
      </c>
      <c r="L228" s="87" t="e">
        <f t="shared" si="10"/>
        <v>#DIV/0!</v>
      </c>
      <c r="M228" s="88" t="e">
        <f t="shared" si="10"/>
        <v>#DIV/0!</v>
      </c>
      <c r="O228" s="121" t="str">
        <f t="shared" si="9"/>
        <v>קרית אתא</v>
      </c>
      <c r="P228" s="121" t="str">
        <f t="shared" si="9"/>
        <v>חיפה מערב</v>
      </c>
    </row>
    <row r="229" spans="1:16" x14ac:dyDescent="0.3">
      <c r="A229" s="61">
        <v>9</v>
      </c>
      <c r="B229" s="61">
        <v>16</v>
      </c>
      <c r="C229" s="97"/>
      <c r="D229" s="79"/>
      <c r="E229" s="79"/>
      <c r="F229" s="79"/>
      <c r="G229" s="94"/>
      <c r="I229" s="86" t="e">
        <f t="shared" si="10"/>
        <v>#DIV/0!</v>
      </c>
      <c r="J229" s="87" t="e">
        <f t="shared" si="10"/>
        <v>#DIV/0!</v>
      </c>
      <c r="K229" s="87" t="e">
        <f t="shared" si="10"/>
        <v>#DIV/0!</v>
      </c>
      <c r="L229" s="87" t="e">
        <f t="shared" si="10"/>
        <v>#DIV/0!</v>
      </c>
      <c r="M229" s="88" t="e">
        <f t="shared" si="10"/>
        <v>#DIV/0!</v>
      </c>
      <c r="O229" s="121" t="str">
        <f t="shared" si="9"/>
        <v>קרית אתא</v>
      </c>
      <c r="P229" s="121" t="str">
        <f t="shared" si="9"/>
        <v>חיפה כרמל</v>
      </c>
    </row>
    <row r="230" spans="1:16" x14ac:dyDescent="0.3">
      <c r="A230" s="61">
        <v>9</v>
      </c>
      <c r="B230" s="61">
        <v>17</v>
      </c>
      <c r="C230" s="97"/>
      <c r="D230" s="79"/>
      <c r="E230" s="79"/>
      <c r="F230" s="79"/>
      <c r="G230" s="94"/>
      <c r="I230" s="86" t="e">
        <f t="shared" si="10"/>
        <v>#DIV/0!</v>
      </c>
      <c r="J230" s="87" t="e">
        <f t="shared" si="10"/>
        <v>#DIV/0!</v>
      </c>
      <c r="K230" s="87" t="e">
        <f t="shared" si="10"/>
        <v>#DIV/0!</v>
      </c>
      <c r="L230" s="87" t="e">
        <f t="shared" si="10"/>
        <v>#DIV/0!</v>
      </c>
      <c r="M230" s="88" t="e">
        <f t="shared" si="10"/>
        <v>#DIV/0!</v>
      </c>
      <c r="O230" s="121" t="str">
        <f t="shared" si="9"/>
        <v>קרית אתא</v>
      </c>
      <c r="P230" s="121" t="str">
        <f t="shared" si="9"/>
        <v>חיפה נווה שאנן</v>
      </c>
    </row>
    <row r="231" spans="1:16" x14ac:dyDescent="0.3">
      <c r="A231" s="61">
        <v>9</v>
      </c>
      <c r="B231" s="61">
        <v>18</v>
      </c>
      <c r="C231" s="97"/>
      <c r="D231" s="79"/>
      <c r="E231" s="79"/>
      <c r="F231" s="79"/>
      <c r="G231" s="94"/>
      <c r="I231" s="86" t="e">
        <f t="shared" si="10"/>
        <v>#DIV/0!</v>
      </c>
      <c r="J231" s="87" t="e">
        <f t="shared" si="10"/>
        <v>#DIV/0!</v>
      </c>
      <c r="K231" s="87" t="e">
        <f t="shared" si="10"/>
        <v>#DIV/0!</v>
      </c>
      <c r="L231" s="87" t="e">
        <f t="shared" si="10"/>
        <v>#DIV/0!</v>
      </c>
      <c r="M231" s="88" t="e">
        <f t="shared" si="10"/>
        <v>#DIV/0!</v>
      </c>
      <c r="O231" s="121" t="str">
        <f t="shared" si="9"/>
        <v>קרית אתא</v>
      </c>
      <c r="P231" s="121" t="str">
        <f t="shared" si="9"/>
        <v>נשר</v>
      </c>
    </row>
    <row r="232" spans="1:16" x14ac:dyDescent="0.3">
      <c r="A232" s="61">
        <v>9</v>
      </c>
      <c r="B232" s="61">
        <v>19</v>
      </c>
      <c r="C232" s="97"/>
      <c r="D232" s="79"/>
      <c r="E232" s="79"/>
      <c r="F232" s="79"/>
      <c r="G232" s="94"/>
      <c r="I232" s="86" t="e">
        <f t="shared" si="10"/>
        <v>#DIV/0!</v>
      </c>
      <c r="J232" s="87" t="e">
        <f t="shared" si="10"/>
        <v>#DIV/0!</v>
      </c>
      <c r="K232" s="87" t="e">
        <f t="shared" si="10"/>
        <v>#DIV/0!</v>
      </c>
      <c r="L232" s="87" t="e">
        <f t="shared" si="10"/>
        <v>#DIV/0!</v>
      </c>
      <c r="M232" s="88" t="e">
        <f t="shared" si="10"/>
        <v>#DIV/0!</v>
      </c>
      <c r="O232" s="121" t="str">
        <f t="shared" si="9"/>
        <v>קרית אתא</v>
      </c>
      <c r="P232" s="121" t="str">
        <f t="shared" si="9"/>
        <v>נצרת</v>
      </c>
    </row>
    <row r="233" spans="1:16" x14ac:dyDescent="0.3">
      <c r="A233" s="61">
        <v>9</v>
      </c>
      <c r="B233" s="61">
        <v>20</v>
      </c>
      <c r="C233" s="97"/>
      <c r="D233" s="79"/>
      <c r="E233" s="79"/>
      <c r="F233" s="79"/>
      <c r="G233" s="94"/>
      <c r="I233" s="86" t="e">
        <f t="shared" si="10"/>
        <v>#DIV/0!</v>
      </c>
      <c r="J233" s="87" t="e">
        <f t="shared" si="10"/>
        <v>#DIV/0!</v>
      </c>
      <c r="K233" s="87" t="e">
        <f t="shared" si="10"/>
        <v>#DIV/0!</v>
      </c>
      <c r="L233" s="87" t="e">
        <f t="shared" si="10"/>
        <v>#DIV/0!</v>
      </c>
      <c r="M233" s="88" t="e">
        <f t="shared" si="10"/>
        <v>#DIV/0!</v>
      </c>
      <c r="O233" s="121" t="str">
        <f t="shared" si="9"/>
        <v>קרית אתא</v>
      </c>
      <c r="P233" s="121" t="str">
        <f t="shared" si="9"/>
        <v>נצרת-עילית</v>
      </c>
    </row>
    <row r="234" spans="1:16" x14ac:dyDescent="0.3">
      <c r="A234" s="61">
        <v>9</v>
      </c>
      <c r="B234" s="61">
        <v>21</v>
      </c>
      <c r="C234" s="97"/>
      <c r="D234" s="79"/>
      <c r="E234" s="79"/>
      <c r="F234" s="79"/>
      <c r="G234" s="94"/>
      <c r="I234" s="86" t="e">
        <f t="shared" si="10"/>
        <v>#DIV/0!</v>
      </c>
      <c r="J234" s="87" t="e">
        <f t="shared" si="10"/>
        <v>#DIV/0!</v>
      </c>
      <c r="K234" s="87" t="e">
        <f t="shared" si="10"/>
        <v>#DIV/0!</v>
      </c>
      <c r="L234" s="87" t="e">
        <f t="shared" si="10"/>
        <v>#DIV/0!</v>
      </c>
      <c r="M234" s="88" t="e">
        <f t="shared" si="10"/>
        <v>#DIV/0!</v>
      </c>
      <c r="O234" s="121" t="str">
        <f t="shared" si="9"/>
        <v>קרית אתא</v>
      </c>
      <c r="P234" s="121" t="str">
        <f t="shared" si="9"/>
        <v>מגדל העמק</v>
      </c>
    </row>
    <row r="235" spans="1:16" x14ac:dyDescent="0.3">
      <c r="A235" s="61">
        <v>9</v>
      </c>
      <c r="B235" s="61">
        <v>22</v>
      </c>
      <c r="C235" s="97"/>
      <c r="D235" s="79"/>
      <c r="E235" s="79"/>
      <c r="F235" s="79"/>
      <c r="G235" s="94"/>
      <c r="I235" s="86" t="e">
        <f t="shared" si="10"/>
        <v>#DIV/0!</v>
      </c>
      <c r="J235" s="87" t="e">
        <f t="shared" si="10"/>
        <v>#DIV/0!</v>
      </c>
      <c r="K235" s="87" t="e">
        <f t="shared" si="10"/>
        <v>#DIV/0!</v>
      </c>
      <c r="L235" s="87" t="e">
        <f t="shared" si="10"/>
        <v>#DIV/0!</v>
      </c>
      <c r="M235" s="88" t="e">
        <f t="shared" si="10"/>
        <v>#DIV/0!</v>
      </c>
      <c r="O235" s="121" t="str">
        <f t="shared" si="9"/>
        <v>קרית אתא</v>
      </c>
      <c r="P235" s="121" t="str">
        <f t="shared" si="9"/>
        <v>יוקנעם</v>
      </c>
    </row>
    <row r="236" spans="1:16" x14ac:dyDescent="0.3">
      <c r="A236" s="61">
        <v>9</v>
      </c>
      <c r="B236" s="61">
        <v>23</v>
      </c>
      <c r="C236" s="97"/>
      <c r="D236" s="79"/>
      <c r="E236" s="79"/>
      <c r="F236" s="79"/>
      <c r="G236" s="94"/>
      <c r="I236" s="86" t="e">
        <f t="shared" si="10"/>
        <v>#DIV/0!</v>
      </c>
      <c r="J236" s="87" t="e">
        <f t="shared" si="10"/>
        <v>#DIV/0!</v>
      </c>
      <c r="K236" s="87" t="e">
        <f t="shared" si="10"/>
        <v>#DIV/0!</v>
      </c>
      <c r="L236" s="87" t="e">
        <f t="shared" si="10"/>
        <v>#DIV/0!</v>
      </c>
      <c r="M236" s="88" t="e">
        <f t="shared" si="10"/>
        <v>#DIV/0!</v>
      </c>
      <c r="O236" s="121" t="str">
        <f t="shared" si="9"/>
        <v>קרית אתא</v>
      </c>
      <c r="P236" s="121" t="str">
        <f t="shared" si="9"/>
        <v>דלית אל כרמל</v>
      </c>
    </row>
    <row r="237" spans="1:16" x14ac:dyDescent="0.3">
      <c r="A237" s="61">
        <v>9</v>
      </c>
      <c r="B237" s="61">
        <v>24</v>
      </c>
      <c r="C237" s="97"/>
      <c r="D237" s="79"/>
      <c r="E237" s="79"/>
      <c r="F237" s="79"/>
      <c r="G237" s="94"/>
      <c r="I237" s="86" t="e">
        <f t="shared" si="10"/>
        <v>#DIV/0!</v>
      </c>
      <c r="J237" s="87" t="e">
        <f t="shared" si="10"/>
        <v>#DIV/0!</v>
      </c>
      <c r="K237" s="87" t="e">
        <f t="shared" si="10"/>
        <v>#DIV/0!</v>
      </c>
      <c r="L237" s="87" t="e">
        <f t="shared" si="10"/>
        <v>#DIV/0!</v>
      </c>
      <c r="M237" s="88" t="e">
        <f t="shared" si="10"/>
        <v>#DIV/0!</v>
      </c>
      <c r="O237" s="121" t="str">
        <f t="shared" si="9"/>
        <v>קרית אתא</v>
      </c>
      <c r="P237" s="121" t="str">
        <f t="shared" si="9"/>
        <v>חוף הכרמל</v>
      </c>
    </row>
    <row r="238" spans="1:16" x14ac:dyDescent="0.3">
      <c r="A238" s="61">
        <v>9</v>
      </c>
      <c r="B238" s="61">
        <v>25</v>
      </c>
      <c r="C238" s="97"/>
      <c r="D238" s="79"/>
      <c r="E238" s="79"/>
      <c r="F238" s="79"/>
      <c r="G238" s="94"/>
      <c r="I238" s="86" t="e">
        <f t="shared" si="10"/>
        <v>#DIV/0!</v>
      </c>
      <c r="J238" s="87" t="e">
        <f t="shared" si="10"/>
        <v>#DIV/0!</v>
      </c>
      <c r="K238" s="87" t="e">
        <f t="shared" si="10"/>
        <v>#DIV/0!</v>
      </c>
      <c r="L238" s="87" t="e">
        <f t="shared" si="10"/>
        <v>#DIV/0!</v>
      </c>
      <c r="M238" s="88" t="e">
        <f t="shared" si="10"/>
        <v>#DIV/0!</v>
      </c>
      <c r="O238" s="121" t="str">
        <f t="shared" si="9"/>
        <v>קרית אתא</v>
      </c>
      <c r="P238" s="121" t="str">
        <f t="shared" si="9"/>
        <v>זכרון יעקב</v>
      </c>
    </row>
    <row r="239" spans="1:16" x14ac:dyDescent="0.3">
      <c r="A239" s="61">
        <v>9</v>
      </c>
      <c r="B239" s="61">
        <v>30</v>
      </c>
      <c r="C239" s="97"/>
      <c r="D239" s="79"/>
      <c r="E239" s="79"/>
      <c r="F239" s="79"/>
      <c r="G239" s="94"/>
      <c r="I239" s="86" t="e">
        <f t="shared" si="10"/>
        <v>#DIV/0!</v>
      </c>
      <c r="J239" s="87" t="e">
        <f t="shared" si="10"/>
        <v>#DIV/0!</v>
      </c>
      <c r="K239" s="87" t="e">
        <f t="shared" si="10"/>
        <v>#DIV/0!</v>
      </c>
      <c r="L239" s="87" t="e">
        <f t="shared" si="10"/>
        <v>#DIV/0!</v>
      </c>
      <c r="M239" s="88" t="e">
        <f t="shared" si="10"/>
        <v>#DIV/0!</v>
      </c>
      <c r="O239" s="121" t="str">
        <f t="shared" si="9"/>
        <v>קרית אתא</v>
      </c>
      <c r="P239" s="121" t="str">
        <f t="shared" si="9"/>
        <v>סכנין</v>
      </c>
    </row>
    <row r="240" spans="1:16" x14ac:dyDescent="0.3">
      <c r="A240" s="61">
        <v>10</v>
      </c>
      <c r="B240" s="61">
        <v>1</v>
      </c>
      <c r="C240" s="97"/>
      <c r="D240" s="79"/>
      <c r="E240" s="79"/>
      <c r="F240" s="79"/>
      <c r="G240" s="94"/>
      <c r="I240" s="86" t="e">
        <f t="shared" si="10"/>
        <v>#DIV/0!</v>
      </c>
      <c r="J240" s="87" t="e">
        <f t="shared" si="10"/>
        <v>#DIV/0!</v>
      </c>
      <c r="K240" s="87" t="e">
        <f t="shared" si="10"/>
        <v>#DIV/0!</v>
      </c>
      <c r="L240" s="87" t="e">
        <f t="shared" si="10"/>
        <v>#DIV/0!</v>
      </c>
      <c r="M240" s="88" t="e">
        <f t="shared" si="10"/>
        <v>#DIV/0!</v>
      </c>
      <c r="O240" s="121" t="str">
        <f t="shared" si="9"/>
        <v>כפר מנדא</v>
      </c>
      <c r="P240" s="121" t="str">
        <f t="shared" si="9"/>
        <v>נהריה</v>
      </c>
    </row>
    <row r="241" spans="1:16" x14ac:dyDescent="0.3">
      <c r="A241" s="61">
        <v>10</v>
      </c>
      <c r="B241" s="61">
        <v>2</v>
      </c>
      <c r="C241" s="97"/>
      <c r="D241" s="79"/>
      <c r="E241" s="79"/>
      <c r="F241" s="79"/>
      <c r="G241" s="94"/>
      <c r="I241" s="86" t="e">
        <f t="shared" si="10"/>
        <v>#DIV/0!</v>
      </c>
      <c r="J241" s="87" t="e">
        <f t="shared" si="10"/>
        <v>#DIV/0!</v>
      </c>
      <c r="K241" s="87" t="e">
        <f t="shared" si="10"/>
        <v>#DIV/0!</v>
      </c>
      <c r="L241" s="87" t="e">
        <f t="shared" si="10"/>
        <v>#DIV/0!</v>
      </c>
      <c r="M241" s="88" t="e">
        <f t="shared" si="10"/>
        <v>#DIV/0!</v>
      </c>
      <c r="O241" s="121" t="str">
        <f t="shared" si="9"/>
        <v>כפר מנדא</v>
      </c>
      <c r="P241" s="121" t="str">
        <f t="shared" si="9"/>
        <v>עכו</v>
      </c>
    </row>
    <row r="242" spans="1:16" x14ac:dyDescent="0.3">
      <c r="A242" s="61">
        <v>10</v>
      </c>
      <c r="B242" s="61">
        <v>3</v>
      </c>
      <c r="C242" s="97"/>
      <c r="D242" s="79"/>
      <c r="E242" s="79"/>
      <c r="F242" s="79"/>
      <c r="G242" s="94"/>
      <c r="I242" s="86" t="e">
        <f t="shared" si="10"/>
        <v>#DIV/0!</v>
      </c>
      <c r="J242" s="87" t="e">
        <f t="shared" si="10"/>
        <v>#DIV/0!</v>
      </c>
      <c r="K242" s="87" t="e">
        <f t="shared" si="10"/>
        <v>#DIV/0!</v>
      </c>
      <c r="L242" s="87" t="e">
        <f t="shared" si="10"/>
        <v>#DIV/0!</v>
      </c>
      <c r="M242" s="88" t="e">
        <f t="shared" si="10"/>
        <v>#DIV/0!</v>
      </c>
      <c r="O242" s="121" t="str">
        <f t="shared" si="9"/>
        <v>כפר מנדא</v>
      </c>
      <c r="P242" s="121" t="str">
        <f t="shared" si="9"/>
        <v>כרמיאל</v>
      </c>
    </row>
    <row r="243" spans="1:16" x14ac:dyDescent="0.3">
      <c r="A243" s="61">
        <v>10</v>
      </c>
      <c r="B243" s="61">
        <v>4</v>
      </c>
      <c r="C243" s="97"/>
      <c r="D243" s="79"/>
      <c r="E243" s="79"/>
      <c r="F243" s="79"/>
      <c r="G243" s="94"/>
      <c r="I243" s="86" t="e">
        <f t="shared" si="10"/>
        <v>#DIV/0!</v>
      </c>
      <c r="J243" s="87" t="e">
        <f t="shared" si="10"/>
        <v>#DIV/0!</v>
      </c>
      <c r="K243" s="87" t="e">
        <f t="shared" si="10"/>
        <v>#DIV/0!</v>
      </c>
      <c r="L243" s="87" t="e">
        <f t="shared" si="10"/>
        <v>#DIV/0!</v>
      </c>
      <c r="M243" s="88" t="e">
        <f t="shared" si="10"/>
        <v>#DIV/0!</v>
      </c>
      <c r="O243" s="121" t="str">
        <f t="shared" si="9"/>
        <v>כפר מנדא</v>
      </c>
      <c r="P243" s="121" t="str">
        <f t="shared" si="9"/>
        <v>שפרעם</v>
      </c>
    </row>
    <row r="244" spans="1:16" x14ac:dyDescent="0.3">
      <c r="A244" s="61">
        <v>10</v>
      </c>
      <c r="B244" s="61">
        <v>5</v>
      </c>
      <c r="C244" s="97"/>
      <c r="D244" s="79"/>
      <c r="E244" s="79"/>
      <c r="F244" s="79"/>
      <c r="G244" s="94"/>
      <c r="I244" s="86" t="e">
        <f t="shared" si="10"/>
        <v>#DIV/0!</v>
      </c>
      <c r="J244" s="87" t="e">
        <f t="shared" si="10"/>
        <v>#DIV/0!</v>
      </c>
      <c r="K244" s="87" t="e">
        <f t="shared" si="10"/>
        <v>#DIV/0!</v>
      </c>
      <c r="L244" s="87" t="e">
        <f t="shared" si="10"/>
        <v>#DIV/0!</v>
      </c>
      <c r="M244" s="88" t="e">
        <f t="shared" si="10"/>
        <v>#DIV/0!</v>
      </c>
      <c r="O244" s="121" t="str">
        <f t="shared" si="9"/>
        <v>כפר מנדא</v>
      </c>
      <c r="P244" s="121" t="str">
        <f t="shared" si="9"/>
        <v>קרית ים</v>
      </c>
    </row>
    <row r="245" spans="1:16" x14ac:dyDescent="0.3">
      <c r="A245" s="61">
        <v>10</v>
      </c>
      <c r="B245" s="61">
        <v>6</v>
      </c>
      <c r="C245" s="97"/>
      <c r="D245" s="79"/>
      <c r="E245" s="79"/>
      <c r="F245" s="79"/>
      <c r="G245" s="94"/>
      <c r="I245" s="86" t="e">
        <f t="shared" si="10"/>
        <v>#DIV/0!</v>
      </c>
      <c r="J245" s="87" t="e">
        <f t="shared" si="10"/>
        <v>#DIV/0!</v>
      </c>
      <c r="K245" s="87" t="e">
        <f t="shared" si="10"/>
        <v>#DIV/0!</v>
      </c>
      <c r="L245" s="87" t="e">
        <f t="shared" si="10"/>
        <v>#DIV/0!</v>
      </c>
      <c r="M245" s="88" t="e">
        <f t="shared" si="10"/>
        <v>#DIV/0!</v>
      </c>
      <c r="O245" s="121" t="str">
        <f t="shared" si="9"/>
        <v>כפר מנדא</v>
      </c>
      <c r="P245" s="121" t="str">
        <f t="shared" si="9"/>
        <v>קרית מוצקין</v>
      </c>
    </row>
    <row r="246" spans="1:16" x14ac:dyDescent="0.3">
      <c r="A246" s="61">
        <v>10</v>
      </c>
      <c r="B246" s="61">
        <v>7</v>
      </c>
      <c r="C246" s="97"/>
      <c r="D246" s="79"/>
      <c r="E246" s="79"/>
      <c r="F246" s="79"/>
      <c r="G246" s="94"/>
      <c r="I246" s="86" t="e">
        <f t="shared" si="10"/>
        <v>#DIV/0!</v>
      </c>
      <c r="J246" s="87" t="e">
        <f t="shared" si="10"/>
        <v>#DIV/0!</v>
      </c>
      <c r="K246" s="87" t="e">
        <f t="shared" si="10"/>
        <v>#DIV/0!</v>
      </c>
      <c r="L246" s="87" t="e">
        <f t="shared" si="10"/>
        <v>#DIV/0!</v>
      </c>
      <c r="M246" s="88" t="e">
        <f t="shared" si="10"/>
        <v>#DIV/0!</v>
      </c>
      <c r="O246" s="121" t="str">
        <f t="shared" si="9"/>
        <v>כפר מנדא</v>
      </c>
      <c r="P246" s="121" t="str">
        <f t="shared" si="9"/>
        <v>קרית ביאליק</v>
      </c>
    </row>
    <row r="247" spans="1:16" x14ac:dyDescent="0.3">
      <c r="A247" s="61">
        <v>10</v>
      </c>
      <c r="B247" s="61">
        <v>8</v>
      </c>
      <c r="C247" s="97"/>
      <c r="D247" s="79"/>
      <c r="E247" s="79"/>
      <c r="F247" s="79"/>
      <c r="G247" s="94"/>
      <c r="I247" s="86" t="e">
        <f t="shared" si="10"/>
        <v>#DIV/0!</v>
      </c>
      <c r="J247" s="87" t="e">
        <f t="shared" si="10"/>
        <v>#DIV/0!</v>
      </c>
      <c r="K247" s="87" t="e">
        <f t="shared" si="10"/>
        <v>#DIV/0!</v>
      </c>
      <c r="L247" s="87" t="e">
        <f t="shared" si="10"/>
        <v>#DIV/0!</v>
      </c>
      <c r="M247" s="88" t="e">
        <f t="shared" si="10"/>
        <v>#DIV/0!</v>
      </c>
      <c r="O247" s="121" t="str">
        <f t="shared" si="9"/>
        <v>כפר מנדא</v>
      </c>
      <c r="P247" s="121" t="str">
        <f t="shared" si="9"/>
        <v>קרית חיים</v>
      </c>
    </row>
    <row r="248" spans="1:16" x14ac:dyDescent="0.3">
      <c r="A248" s="61">
        <v>10</v>
      </c>
      <c r="B248" s="61">
        <v>9</v>
      </c>
      <c r="C248" s="97"/>
      <c r="D248" s="79"/>
      <c r="E248" s="79"/>
      <c r="F248" s="79"/>
      <c r="G248" s="94"/>
      <c r="I248" s="86" t="e">
        <f t="shared" si="10"/>
        <v>#DIV/0!</v>
      </c>
      <c r="J248" s="87" t="e">
        <f t="shared" si="10"/>
        <v>#DIV/0!</v>
      </c>
      <c r="K248" s="87" t="e">
        <f t="shared" si="10"/>
        <v>#DIV/0!</v>
      </c>
      <c r="L248" s="87" t="e">
        <f t="shared" si="10"/>
        <v>#DIV/0!</v>
      </c>
      <c r="M248" s="88" t="e">
        <f t="shared" si="10"/>
        <v>#DIV/0!</v>
      </c>
      <c r="O248" s="121" t="str">
        <f t="shared" si="9"/>
        <v>כפר מנדא</v>
      </c>
      <c r="P248" s="121" t="str">
        <f t="shared" si="9"/>
        <v>קרית אתא</v>
      </c>
    </row>
    <row r="249" spans="1:16" x14ac:dyDescent="0.3">
      <c r="A249" s="61">
        <v>10</v>
      </c>
      <c r="B249" s="61">
        <v>10</v>
      </c>
      <c r="C249" s="97"/>
      <c r="D249" s="79"/>
      <c r="E249" s="79"/>
      <c r="F249" s="79"/>
      <c r="G249" s="94"/>
      <c r="I249" s="86" t="e">
        <f t="shared" si="10"/>
        <v>#DIV/0!</v>
      </c>
      <c r="J249" s="87" t="e">
        <f t="shared" si="10"/>
        <v>#DIV/0!</v>
      </c>
      <c r="K249" s="87" t="e">
        <f t="shared" si="10"/>
        <v>#DIV/0!</v>
      </c>
      <c r="L249" s="87" t="e">
        <f t="shared" si="10"/>
        <v>#DIV/0!</v>
      </c>
      <c r="M249" s="88" t="e">
        <f t="shared" si="10"/>
        <v>#DIV/0!</v>
      </c>
      <c r="O249" s="121" t="str">
        <f t="shared" si="9"/>
        <v>כפר מנדא</v>
      </c>
      <c r="P249" s="121" t="str">
        <f t="shared" si="9"/>
        <v>כפר מנדא</v>
      </c>
    </row>
    <row r="250" spans="1:16" x14ac:dyDescent="0.3">
      <c r="A250" s="61">
        <v>10</v>
      </c>
      <c r="B250" s="61">
        <v>11</v>
      </c>
      <c r="C250" s="97"/>
      <c r="D250" s="79"/>
      <c r="E250" s="79"/>
      <c r="F250" s="79"/>
      <c r="G250" s="94"/>
      <c r="I250" s="86" t="e">
        <f t="shared" si="10"/>
        <v>#DIV/0!</v>
      </c>
      <c r="J250" s="87" t="e">
        <f t="shared" si="10"/>
        <v>#DIV/0!</v>
      </c>
      <c r="K250" s="87" t="e">
        <f t="shared" si="10"/>
        <v>#DIV/0!</v>
      </c>
      <c r="L250" s="87" t="e">
        <f t="shared" si="10"/>
        <v>#DIV/0!</v>
      </c>
      <c r="M250" s="88" t="e">
        <f t="shared" si="10"/>
        <v>#DIV/0!</v>
      </c>
      <c r="O250" s="121" t="str">
        <f t="shared" si="9"/>
        <v>כפר מנדא</v>
      </c>
      <c r="P250" s="121" t="str">
        <f t="shared" si="9"/>
        <v>זבולון</v>
      </c>
    </row>
    <row r="251" spans="1:16" x14ac:dyDescent="0.3">
      <c r="A251" s="61">
        <v>10</v>
      </c>
      <c r="B251" s="61">
        <v>12</v>
      </c>
      <c r="C251" s="97"/>
      <c r="D251" s="79"/>
      <c r="E251" s="79"/>
      <c r="F251" s="79"/>
      <c r="G251" s="94"/>
      <c r="I251" s="86" t="e">
        <f t="shared" si="10"/>
        <v>#DIV/0!</v>
      </c>
      <c r="J251" s="87" t="e">
        <f t="shared" si="10"/>
        <v>#DIV/0!</v>
      </c>
      <c r="K251" s="87" t="e">
        <f t="shared" si="10"/>
        <v>#DIV/0!</v>
      </c>
      <c r="L251" s="87" t="e">
        <f t="shared" si="10"/>
        <v>#DIV/0!</v>
      </c>
      <c r="M251" s="88" t="e">
        <f t="shared" si="10"/>
        <v>#DIV/0!</v>
      </c>
      <c r="O251" s="121" t="str">
        <f t="shared" si="9"/>
        <v>כפר מנדא</v>
      </c>
      <c r="P251" s="121" t="str">
        <f t="shared" si="9"/>
        <v>חיפה מפרץ</v>
      </c>
    </row>
    <row r="252" spans="1:16" x14ac:dyDescent="0.3">
      <c r="A252" s="61">
        <v>10</v>
      </c>
      <c r="B252" s="61">
        <v>13</v>
      </c>
      <c r="C252" s="97"/>
      <c r="D252" s="79"/>
      <c r="E252" s="79"/>
      <c r="F252" s="79"/>
      <c r="G252" s="94"/>
      <c r="I252" s="86" t="e">
        <f t="shared" si="10"/>
        <v>#DIV/0!</v>
      </c>
      <c r="J252" s="87" t="e">
        <f t="shared" si="10"/>
        <v>#DIV/0!</v>
      </c>
      <c r="K252" s="87" t="e">
        <f t="shared" si="10"/>
        <v>#DIV/0!</v>
      </c>
      <c r="L252" s="87" t="e">
        <f t="shared" si="10"/>
        <v>#DIV/0!</v>
      </c>
      <c r="M252" s="88" t="e">
        <f t="shared" si="10"/>
        <v>#DIV/0!</v>
      </c>
      <c r="O252" s="121" t="str">
        <f t="shared" si="9"/>
        <v>כפר מנדא</v>
      </c>
      <c r="P252" s="121" t="str">
        <f t="shared" si="9"/>
        <v>חיפה עיר תחתית</v>
      </c>
    </row>
    <row r="253" spans="1:16" x14ac:dyDescent="0.3">
      <c r="A253" s="61">
        <v>10</v>
      </c>
      <c r="B253" s="61">
        <v>14</v>
      </c>
      <c r="C253" s="97"/>
      <c r="D253" s="79"/>
      <c r="E253" s="79"/>
      <c r="F253" s="79"/>
      <c r="G253" s="94"/>
      <c r="I253" s="86" t="e">
        <f t="shared" si="10"/>
        <v>#DIV/0!</v>
      </c>
      <c r="J253" s="87" t="e">
        <f t="shared" si="10"/>
        <v>#DIV/0!</v>
      </c>
      <c r="K253" s="87" t="e">
        <f t="shared" si="10"/>
        <v>#DIV/0!</v>
      </c>
      <c r="L253" s="87" t="e">
        <f t="shared" si="10"/>
        <v>#DIV/0!</v>
      </c>
      <c r="M253" s="88" t="e">
        <f t="shared" si="10"/>
        <v>#DIV/0!</v>
      </c>
      <c r="O253" s="121" t="str">
        <f t="shared" si="9"/>
        <v>כפר מנדא</v>
      </c>
      <c r="P253" s="121" t="str">
        <f t="shared" si="9"/>
        <v>חיפה הדר-כרמל</v>
      </c>
    </row>
    <row r="254" spans="1:16" x14ac:dyDescent="0.3">
      <c r="A254" s="61">
        <v>10</v>
      </c>
      <c r="B254" s="61">
        <v>15</v>
      </c>
      <c r="C254" s="97"/>
      <c r="D254" s="79"/>
      <c r="E254" s="79"/>
      <c r="F254" s="79"/>
      <c r="G254" s="94"/>
      <c r="I254" s="86" t="e">
        <f t="shared" si="10"/>
        <v>#DIV/0!</v>
      </c>
      <c r="J254" s="87" t="e">
        <f t="shared" si="10"/>
        <v>#DIV/0!</v>
      </c>
      <c r="K254" s="87" t="e">
        <f t="shared" si="10"/>
        <v>#DIV/0!</v>
      </c>
      <c r="L254" s="87" t="e">
        <f t="shared" si="10"/>
        <v>#DIV/0!</v>
      </c>
      <c r="M254" s="88" t="e">
        <f t="shared" si="10"/>
        <v>#DIV/0!</v>
      </c>
      <c r="O254" s="121" t="str">
        <f t="shared" si="9"/>
        <v>כפר מנדא</v>
      </c>
      <c r="P254" s="121" t="str">
        <f t="shared" si="9"/>
        <v>חיפה מערב</v>
      </c>
    </row>
    <row r="255" spans="1:16" x14ac:dyDescent="0.3">
      <c r="A255" s="61">
        <v>10</v>
      </c>
      <c r="B255" s="61">
        <v>16</v>
      </c>
      <c r="C255" s="97"/>
      <c r="D255" s="79"/>
      <c r="E255" s="79"/>
      <c r="F255" s="79"/>
      <c r="G255" s="94"/>
      <c r="I255" s="86" t="e">
        <f t="shared" si="10"/>
        <v>#DIV/0!</v>
      </c>
      <c r="J255" s="87" t="e">
        <f t="shared" si="10"/>
        <v>#DIV/0!</v>
      </c>
      <c r="K255" s="87" t="e">
        <f t="shared" si="10"/>
        <v>#DIV/0!</v>
      </c>
      <c r="L255" s="87" t="e">
        <f t="shared" si="10"/>
        <v>#DIV/0!</v>
      </c>
      <c r="M255" s="88" t="e">
        <f t="shared" si="10"/>
        <v>#DIV/0!</v>
      </c>
      <c r="O255" s="121" t="str">
        <f t="shared" si="9"/>
        <v>כפר מנדא</v>
      </c>
      <c r="P255" s="121" t="str">
        <f t="shared" si="9"/>
        <v>חיפה כרמל</v>
      </c>
    </row>
    <row r="256" spans="1:16" x14ac:dyDescent="0.3">
      <c r="A256" s="61">
        <v>10</v>
      </c>
      <c r="B256" s="61">
        <v>17</v>
      </c>
      <c r="C256" s="97"/>
      <c r="D256" s="79"/>
      <c r="E256" s="79"/>
      <c r="F256" s="79"/>
      <c r="G256" s="94"/>
      <c r="I256" s="86" t="e">
        <f t="shared" si="10"/>
        <v>#DIV/0!</v>
      </c>
      <c r="J256" s="87" t="e">
        <f t="shared" si="10"/>
        <v>#DIV/0!</v>
      </c>
      <c r="K256" s="87" t="e">
        <f t="shared" si="10"/>
        <v>#DIV/0!</v>
      </c>
      <c r="L256" s="87" t="e">
        <f t="shared" si="10"/>
        <v>#DIV/0!</v>
      </c>
      <c r="M256" s="88" t="e">
        <f t="shared" si="10"/>
        <v>#DIV/0!</v>
      </c>
      <c r="O256" s="121" t="str">
        <f t="shared" si="9"/>
        <v>כפר מנדא</v>
      </c>
      <c r="P256" s="121" t="str">
        <f t="shared" si="9"/>
        <v>חיפה נווה שאנן</v>
      </c>
    </row>
    <row r="257" spans="1:16" x14ac:dyDescent="0.3">
      <c r="A257" s="61">
        <v>10</v>
      </c>
      <c r="B257" s="61">
        <v>18</v>
      </c>
      <c r="C257" s="97"/>
      <c r="D257" s="79"/>
      <c r="E257" s="79"/>
      <c r="F257" s="79"/>
      <c r="G257" s="94"/>
      <c r="I257" s="86" t="e">
        <f t="shared" si="10"/>
        <v>#DIV/0!</v>
      </c>
      <c r="J257" s="87" t="e">
        <f t="shared" si="10"/>
        <v>#DIV/0!</v>
      </c>
      <c r="K257" s="87" t="e">
        <f t="shared" si="10"/>
        <v>#DIV/0!</v>
      </c>
      <c r="L257" s="87" t="e">
        <f t="shared" si="10"/>
        <v>#DIV/0!</v>
      </c>
      <c r="M257" s="88" t="e">
        <f t="shared" si="10"/>
        <v>#DIV/0!</v>
      </c>
      <c r="O257" s="121" t="str">
        <f t="shared" si="9"/>
        <v>כפר מנדא</v>
      </c>
      <c r="P257" s="121" t="str">
        <f t="shared" si="9"/>
        <v>נשר</v>
      </c>
    </row>
    <row r="258" spans="1:16" x14ac:dyDescent="0.3">
      <c r="A258" s="61">
        <v>10</v>
      </c>
      <c r="B258" s="61">
        <v>19</v>
      </c>
      <c r="C258" s="97"/>
      <c r="D258" s="79"/>
      <c r="E258" s="79"/>
      <c r="F258" s="79"/>
      <c r="G258" s="94"/>
      <c r="I258" s="86" t="e">
        <f t="shared" si="10"/>
        <v>#DIV/0!</v>
      </c>
      <c r="J258" s="87" t="e">
        <f t="shared" si="10"/>
        <v>#DIV/0!</v>
      </c>
      <c r="K258" s="87" t="e">
        <f t="shared" si="10"/>
        <v>#DIV/0!</v>
      </c>
      <c r="L258" s="87" t="e">
        <f t="shared" si="10"/>
        <v>#DIV/0!</v>
      </c>
      <c r="M258" s="88" t="e">
        <f t="shared" si="10"/>
        <v>#DIV/0!</v>
      </c>
      <c r="O258" s="121" t="str">
        <f t="shared" si="9"/>
        <v>כפר מנדא</v>
      </c>
      <c r="P258" s="121" t="str">
        <f t="shared" si="9"/>
        <v>נצרת</v>
      </c>
    </row>
    <row r="259" spans="1:16" x14ac:dyDescent="0.3">
      <c r="A259" s="61">
        <v>10</v>
      </c>
      <c r="B259" s="61">
        <v>20</v>
      </c>
      <c r="C259" s="97"/>
      <c r="D259" s="79"/>
      <c r="E259" s="79"/>
      <c r="F259" s="79"/>
      <c r="G259" s="94"/>
      <c r="I259" s="86" t="e">
        <f t="shared" si="10"/>
        <v>#DIV/0!</v>
      </c>
      <c r="J259" s="87" t="e">
        <f t="shared" si="10"/>
        <v>#DIV/0!</v>
      </c>
      <c r="K259" s="87" t="e">
        <f t="shared" si="10"/>
        <v>#DIV/0!</v>
      </c>
      <c r="L259" s="87" t="e">
        <f t="shared" si="10"/>
        <v>#DIV/0!</v>
      </c>
      <c r="M259" s="88" t="e">
        <f t="shared" si="10"/>
        <v>#DIV/0!</v>
      </c>
      <c r="O259" s="121" t="str">
        <f t="shared" si="9"/>
        <v>כפר מנדא</v>
      </c>
      <c r="P259" s="121" t="str">
        <f t="shared" si="9"/>
        <v>נצרת-עילית</v>
      </c>
    </row>
    <row r="260" spans="1:16" x14ac:dyDescent="0.3">
      <c r="A260" s="61">
        <v>10</v>
      </c>
      <c r="B260" s="61">
        <v>21</v>
      </c>
      <c r="C260" s="97"/>
      <c r="D260" s="79"/>
      <c r="E260" s="79"/>
      <c r="F260" s="79"/>
      <c r="G260" s="94"/>
      <c r="I260" s="86" t="e">
        <f t="shared" si="10"/>
        <v>#DIV/0!</v>
      </c>
      <c r="J260" s="87" t="e">
        <f t="shared" si="10"/>
        <v>#DIV/0!</v>
      </c>
      <c r="K260" s="87" t="e">
        <f t="shared" si="10"/>
        <v>#DIV/0!</v>
      </c>
      <c r="L260" s="87" t="e">
        <f t="shared" si="10"/>
        <v>#DIV/0!</v>
      </c>
      <c r="M260" s="88" t="e">
        <f t="shared" si="10"/>
        <v>#DIV/0!</v>
      </c>
      <c r="O260" s="121" t="str">
        <f t="shared" si="9"/>
        <v>כפר מנדא</v>
      </c>
      <c r="P260" s="121" t="str">
        <f t="shared" si="9"/>
        <v>מגדל העמק</v>
      </c>
    </row>
    <row r="261" spans="1:16" x14ac:dyDescent="0.3">
      <c r="A261" s="61">
        <v>10</v>
      </c>
      <c r="B261" s="61">
        <v>22</v>
      </c>
      <c r="C261" s="97"/>
      <c r="D261" s="79"/>
      <c r="E261" s="79"/>
      <c r="F261" s="79"/>
      <c r="G261" s="94"/>
      <c r="I261" s="86" t="e">
        <f t="shared" si="10"/>
        <v>#DIV/0!</v>
      </c>
      <c r="J261" s="87" t="e">
        <f t="shared" si="10"/>
        <v>#DIV/0!</v>
      </c>
      <c r="K261" s="87" t="e">
        <f t="shared" si="10"/>
        <v>#DIV/0!</v>
      </c>
      <c r="L261" s="87" t="e">
        <f t="shared" si="10"/>
        <v>#DIV/0!</v>
      </c>
      <c r="M261" s="88" t="e">
        <f t="shared" si="10"/>
        <v>#DIV/0!</v>
      </c>
      <c r="O261" s="121" t="str">
        <f t="shared" si="9"/>
        <v>כפר מנדא</v>
      </c>
      <c r="P261" s="121" t="str">
        <f t="shared" si="9"/>
        <v>יוקנעם</v>
      </c>
    </row>
    <row r="262" spans="1:16" x14ac:dyDescent="0.3">
      <c r="A262" s="61">
        <v>10</v>
      </c>
      <c r="B262" s="61">
        <v>23</v>
      </c>
      <c r="C262" s="97"/>
      <c r="D262" s="79"/>
      <c r="E262" s="79"/>
      <c r="F262" s="79"/>
      <c r="G262" s="94"/>
      <c r="I262" s="86" t="e">
        <f t="shared" si="10"/>
        <v>#DIV/0!</v>
      </c>
      <c r="J262" s="87" t="e">
        <f t="shared" si="10"/>
        <v>#DIV/0!</v>
      </c>
      <c r="K262" s="87" t="e">
        <f t="shared" si="10"/>
        <v>#DIV/0!</v>
      </c>
      <c r="L262" s="87" t="e">
        <f t="shared" si="10"/>
        <v>#DIV/0!</v>
      </c>
      <c r="M262" s="88" t="e">
        <f t="shared" si="10"/>
        <v>#DIV/0!</v>
      </c>
      <c r="O262" s="121" t="str">
        <f t="shared" si="9"/>
        <v>כפר מנדא</v>
      </c>
      <c r="P262" s="121" t="str">
        <f t="shared" si="9"/>
        <v>דלית אל כרמל</v>
      </c>
    </row>
    <row r="263" spans="1:16" x14ac:dyDescent="0.3">
      <c r="A263" s="61">
        <v>10</v>
      </c>
      <c r="B263" s="61">
        <v>24</v>
      </c>
      <c r="C263" s="97"/>
      <c r="D263" s="79"/>
      <c r="E263" s="79"/>
      <c r="F263" s="79"/>
      <c r="G263" s="94"/>
      <c r="I263" s="86" t="e">
        <f t="shared" si="10"/>
        <v>#DIV/0!</v>
      </c>
      <c r="J263" s="87" t="e">
        <f t="shared" si="10"/>
        <v>#DIV/0!</v>
      </c>
      <c r="K263" s="87" t="e">
        <f t="shared" si="10"/>
        <v>#DIV/0!</v>
      </c>
      <c r="L263" s="87" t="e">
        <f t="shared" si="10"/>
        <v>#DIV/0!</v>
      </c>
      <c r="M263" s="88" t="e">
        <f t="shared" si="10"/>
        <v>#DIV/0!</v>
      </c>
      <c r="O263" s="121" t="str">
        <f t="shared" si="9"/>
        <v>כפר מנדא</v>
      </c>
      <c r="P263" s="121" t="str">
        <f t="shared" si="9"/>
        <v>חוף הכרמל</v>
      </c>
    </row>
    <row r="264" spans="1:16" x14ac:dyDescent="0.3">
      <c r="A264" s="61">
        <v>10</v>
      </c>
      <c r="B264" s="61">
        <v>25</v>
      </c>
      <c r="C264" s="97"/>
      <c r="D264" s="79"/>
      <c r="E264" s="79"/>
      <c r="F264" s="79"/>
      <c r="G264" s="94"/>
      <c r="I264" s="86" t="e">
        <f t="shared" si="10"/>
        <v>#DIV/0!</v>
      </c>
      <c r="J264" s="87" t="e">
        <f t="shared" si="10"/>
        <v>#DIV/0!</v>
      </c>
      <c r="K264" s="87" t="e">
        <f t="shared" si="10"/>
        <v>#DIV/0!</v>
      </c>
      <c r="L264" s="87" t="e">
        <f t="shared" si="10"/>
        <v>#DIV/0!</v>
      </c>
      <c r="M264" s="88" t="e">
        <f t="shared" si="10"/>
        <v>#DIV/0!</v>
      </c>
      <c r="O264" s="121" t="str">
        <f t="shared" ref="O264:P327" si="11">VLOOKUP(A264,$S$6:$T$31,2,0)</f>
        <v>כפר מנדא</v>
      </c>
      <c r="P264" s="121" t="str">
        <f t="shared" si="11"/>
        <v>זכרון יעקב</v>
      </c>
    </row>
    <row r="265" spans="1:16" x14ac:dyDescent="0.3">
      <c r="A265" s="61">
        <v>10</v>
      </c>
      <c r="B265" s="61">
        <v>30</v>
      </c>
      <c r="C265" s="97"/>
      <c r="D265" s="79"/>
      <c r="E265" s="79"/>
      <c r="F265" s="79"/>
      <c r="G265" s="94"/>
      <c r="I265" s="86" t="e">
        <f t="shared" si="10"/>
        <v>#DIV/0!</v>
      </c>
      <c r="J265" s="87" t="e">
        <f t="shared" si="10"/>
        <v>#DIV/0!</v>
      </c>
      <c r="K265" s="87" t="e">
        <f t="shared" si="10"/>
        <v>#DIV/0!</v>
      </c>
      <c r="L265" s="87" t="e">
        <f t="shared" si="10"/>
        <v>#DIV/0!</v>
      </c>
      <c r="M265" s="88" t="e">
        <f t="shared" si="10"/>
        <v>#DIV/0!</v>
      </c>
      <c r="O265" s="121" t="str">
        <f t="shared" si="11"/>
        <v>כפר מנדא</v>
      </c>
      <c r="P265" s="121" t="str">
        <f t="shared" si="11"/>
        <v>סכנין</v>
      </c>
    </row>
    <row r="266" spans="1:16" x14ac:dyDescent="0.3">
      <c r="A266" s="61">
        <v>11</v>
      </c>
      <c r="B266" s="61">
        <v>1</v>
      </c>
      <c r="C266" s="97"/>
      <c r="D266" s="79"/>
      <c r="E266" s="79"/>
      <c r="F266" s="79"/>
      <c r="G266" s="94"/>
      <c r="I266" s="86" t="e">
        <f t="shared" si="10"/>
        <v>#DIV/0!</v>
      </c>
      <c r="J266" s="87" t="e">
        <f t="shared" si="10"/>
        <v>#DIV/0!</v>
      </c>
      <c r="K266" s="87" t="e">
        <f t="shared" si="10"/>
        <v>#DIV/0!</v>
      </c>
      <c r="L266" s="87" t="e">
        <f t="shared" si="10"/>
        <v>#DIV/0!</v>
      </c>
      <c r="M266" s="88" t="e">
        <f t="shared" si="10"/>
        <v>#DIV/0!</v>
      </c>
      <c r="O266" s="121" t="str">
        <f t="shared" si="11"/>
        <v>זבולון</v>
      </c>
      <c r="P266" s="121" t="str">
        <f t="shared" si="11"/>
        <v>נהריה</v>
      </c>
    </row>
    <row r="267" spans="1:16" x14ac:dyDescent="0.3">
      <c r="A267" s="61">
        <v>11</v>
      </c>
      <c r="B267" s="61">
        <v>2</v>
      </c>
      <c r="C267" s="97"/>
      <c r="D267" s="79"/>
      <c r="E267" s="79"/>
      <c r="F267" s="79"/>
      <c r="G267" s="94"/>
      <c r="I267" s="86" t="e">
        <f t="shared" si="10"/>
        <v>#DIV/0!</v>
      </c>
      <c r="J267" s="87" t="e">
        <f t="shared" si="10"/>
        <v>#DIV/0!</v>
      </c>
      <c r="K267" s="87" t="e">
        <f t="shared" si="10"/>
        <v>#DIV/0!</v>
      </c>
      <c r="L267" s="87" t="e">
        <f t="shared" si="10"/>
        <v>#DIV/0!</v>
      </c>
      <c r="M267" s="88" t="e">
        <f t="shared" si="10"/>
        <v>#DIV/0!</v>
      </c>
      <c r="O267" s="121" t="str">
        <f t="shared" si="11"/>
        <v>זבולון</v>
      </c>
      <c r="P267" s="121" t="str">
        <f t="shared" si="11"/>
        <v>עכו</v>
      </c>
    </row>
    <row r="268" spans="1:16" x14ac:dyDescent="0.3">
      <c r="A268" s="61">
        <v>11</v>
      </c>
      <c r="B268" s="61">
        <v>3</v>
      </c>
      <c r="C268" s="97"/>
      <c r="D268" s="79"/>
      <c r="E268" s="79"/>
      <c r="F268" s="79"/>
      <c r="G268" s="94"/>
      <c r="I268" s="86" t="e">
        <f t="shared" si="10"/>
        <v>#DIV/0!</v>
      </c>
      <c r="J268" s="87" t="e">
        <f t="shared" si="10"/>
        <v>#DIV/0!</v>
      </c>
      <c r="K268" s="87" t="e">
        <f t="shared" si="10"/>
        <v>#DIV/0!</v>
      </c>
      <c r="L268" s="87" t="e">
        <f t="shared" si="10"/>
        <v>#DIV/0!</v>
      </c>
      <c r="M268" s="88" t="e">
        <f t="shared" si="10"/>
        <v>#DIV/0!</v>
      </c>
      <c r="O268" s="121" t="str">
        <f t="shared" si="11"/>
        <v>זבולון</v>
      </c>
      <c r="P268" s="121" t="str">
        <f t="shared" si="11"/>
        <v>כרמיאל</v>
      </c>
    </row>
    <row r="269" spans="1:16" x14ac:dyDescent="0.3">
      <c r="A269" s="61">
        <v>11</v>
      </c>
      <c r="B269" s="61">
        <v>4</v>
      </c>
      <c r="C269" s="97"/>
      <c r="D269" s="79"/>
      <c r="E269" s="79"/>
      <c r="F269" s="79"/>
      <c r="G269" s="94"/>
      <c r="I269" s="86" t="e">
        <f t="shared" si="10"/>
        <v>#DIV/0!</v>
      </c>
      <c r="J269" s="87" t="e">
        <f t="shared" si="10"/>
        <v>#DIV/0!</v>
      </c>
      <c r="K269" s="87" t="e">
        <f t="shared" si="10"/>
        <v>#DIV/0!</v>
      </c>
      <c r="L269" s="87" t="e">
        <f t="shared" si="10"/>
        <v>#DIV/0!</v>
      </c>
      <c r="M269" s="88" t="e">
        <f t="shared" si="10"/>
        <v>#DIV/0!</v>
      </c>
      <c r="O269" s="121" t="str">
        <f t="shared" si="11"/>
        <v>זבולון</v>
      </c>
      <c r="P269" s="121" t="str">
        <f t="shared" si="11"/>
        <v>שפרעם</v>
      </c>
    </row>
    <row r="270" spans="1:16" x14ac:dyDescent="0.3">
      <c r="A270" s="61">
        <v>11</v>
      </c>
      <c r="B270" s="61">
        <v>5</v>
      </c>
      <c r="C270" s="97"/>
      <c r="D270" s="79"/>
      <c r="E270" s="79"/>
      <c r="F270" s="79"/>
      <c r="G270" s="94"/>
      <c r="I270" s="86" t="e">
        <f t="shared" si="10"/>
        <v>#DIV/0!</v>
      </c>
      <c r="J270" s="87" t="e">
        <f t="shared" si="10"/>
        <v>#DIV/0!</v>
      </c>
      <c r="K270" s="87" t="e">
        <f t="shared" si="10"/>
        <v>#DIV/0!</v>
      </c>
      <c r="L270" s="87" t="e">
        <f t="shared" si="10"/>
        <v>#DIV/0!</v>
      </c>
      <c r="M270" s="88" t="e">
        <f t="shared" si="10"/>
        <v>#DIV/0!</v>
      </c>
      <c r="O270" s="121" t="str">
        <f t="shared" si="11"/>
        <v>זבולון</v>
      </c>
      <c r="P270" s="121" t="str">
        <f t="shared" si="11"/>
        <v>קרית ים</v>
      </c>
    </row>
    <row r="271" spans="1:16" x14ac:dyDescent="0.3">
      <c r="A271" s="61">
        <v>11</v>
      </c>
      <c r="B271" s="61">
        <v>6</v>
      </c>
      <c r="C271" s="97"/>
      <c r="D271" s="79"/>
      <c r="E271" s="79"/>
      <c r="F271" s="79"/>
      <c r="G271" s="94"/>
      <c r="I271" s="86" t="e">
        <f t="shared" si="10"/>
        <v>#DIV/0!</v>
      </c>
      <c r="J271" s="87" t="e">
        <f t="shared" si="10"/>
        <v>#DIV/0!</v>
      </c>
      <c r="K271" s="87" t="e">
        <f t="shared" si="10"/>
        <v>#DIV/0!</v>
      </c>
      <c r="L271" s="87" t="e">
        <f t="shared" si="10"/>
        <v>#DIV/0!</v>
      </c>
      <c r="M271" s="88" t="e">
        <f t="shared" si="10"/>
        <v>#DIV/0!</v>
      </c>
      <c r="O271" s="121" t="str">
        <f t="shared" si="11"/>
        <v>זבולון</v>
      </c>
      <c r="P271" s="121" t="str">
        <f t="shared" si="11"/>
        <v>קרית מוצקין</v>
      </c>
    </row>
    <row r="272" spans="1:16" x14ac:dyDescent="0.3">
      <c r="A272" s="61">
        <v>11</v>
      </c>
      <c r="B272" s="61">
        <v>7</v>
      </c>
      <c r="C272" s="97"/>
      <c r="D272" s="79"/>
      <c r="E272" s="79"/>
      <c r="F272" s="79"/>
      <c r="G272" s="94"/>
      <c r="I272" s="86" t="e">
        <f t="shared" si="10"/>
        <v>#DIV/0!</v>
      </c>
      <c r="J272" s="87" t="e">
        <f t="shared" si="10"/>
        <v>#DIV/0!</v>
      </c>
      <c r="K272" s="87" t="e">
        <f t="shared" si="10"/>
        <v>#DIV/0!</v>
      </c>
      <c r="L272" s="87" t="e">
        <f t="shared" si="10"/>
        <v>#DIV/0!</v>
      </c>
      <c r="M272" s="88" t="e">
        <f t="shared" si="10"/>
        <v>#DIV/0!</v>
      </c>
      <c r="O272" s="121" t="str">
        <f t="shared" si="11"/>
        <v>זבולון</v>
      </c>
      <c r="P272" s="121" t="str">
        <f t="shared" si="11"/>
        <v>קרית ביאליק</v>
      </c>
    </row>
    <row r="273" spans="1:16" x14ac:dyDescent="0.3">
      <c r="A273" s="61">
        <v>11</v>
      </c>
      <c r="B273" s="61">
        <v>8</v>
      </c>
      <c r="C273" s="97"/>
      <c r="D273" s="79"/>
      <c r="E273" s="79"/>
      <c r="F273" s="79"/>
      <c r="G273" s="94"/>
      <c r="I273" s="86" t="e">
        <f t="shared" si="10"/>
        <v>#DIV/0!</v>
      </c>
      <c r="J273" s="87" t="e">
        <f t="shared" si="10"/>
        <v>#DIV/0!</v>
      </c>
      <c r="K273" s="87" t="e">
        <f t="shared" si="10"/>
        <v>#DIV/0!</v>
      </c>
      <c r="L273" s="87" t="e">
        <f t="shared" si="10"/>
        <v>#DIV/0!</v>
      </c>
      <c r="M273" s="88" t="e">
        <f t="shared" si="10"/>
        <v>#DIV/0!</v>
      </c>
      <c r="O273" s="121" t="str">
        <f t="shared" si="11"/>
        <v>זבולון</v>
      </c>
      <c r="P273" s="121" t="str">
        <f t="shared" si="11"/>
        <v>קרית חיים</v>
      </c>
    </row>
    <row r="274" spans="1:16" x14ac:dyDescent="0.3">
      <c r="A274" s="61">
        <v>11</v>
      </c>
      <c r="B274" s="61">
        <v>9</v>
      </c>
      <c r="C274" s="97"/>
      <c r="D274" s="79"/>
      <c r="E274" s="79"/>
      <c r="F274" s="79"/>
      <c r="G274" s="94"/>
      <c r="I274" s="86" t="e">
        <f t="shared" ref="I274:M324" si="12">C274/SUM($C274:$G274)</f>
        <v>#DIV/0!</v>
      </c>
      <c r="J274" s="87" t="e">
        <f t="shared" si="12"/>
        <v>#DIV/0!</v>
      </c>
      <c r="K274" s="87" t="e">
        <f t="shared" si="12"/>
        <v>#DIV/0!</v>
      </c>
      <c r="L274" s="87" t="e">
        <f t="shared" si="12"/>
        <v>#DIV/0!</v>
      </c>
      <c r="M274" s="88" t="e">
        <f t="shared" si="12"/>
        <v>#DIV/0!</v>
      </c>
      <c r="O274" s="121" t="str">
        <f t="shared" si="11"/>
        <v>זבולון</v>
      </c>
      <c r="P274" s="121" t="str">
        <f t="shared" si="11"/>
        <v>קרית אתא</v>
      </c>
    </row>
    <row r="275" spans="1:16" x14ac:dyDescent="0.3">
      <c r="A275" s="61">
        <v>11</v>
      </c>
      <c r="B275" s="61">
        <v>10</v>
      </c>
      <c r="C275" s="97"/>
      <c r="D275" s="79"/>
      <c r="E275" s="79"/>
      <c r="F275" s="79"/>
      <c r="G275" s="94"/>
      <c r="I275" s="86" t="e">
        <f t="shared" si="12"/>
        <v>#DIV/0!</v>
      </c>
      <c r="J275" s="87" t="e">
        <f t="shared" si="12"/>
        <v>#DIV/0!</v>
      </c>
      <c r="K275" s="87" t="e">
        <f t="shared" si="12"/>
        <v>#DIV/0!</v>
      </c>
      <c r="L275" s="87" t="e">
        <f t="shared" si="12"/>
        <v>#DIV/0!</v>
      </c>
      <c r="M275" s="88" t="e">
        <f t="shared" si="12"/>
        <v>#DIV/0!</v>
      </c>
      <c r="O275" s="121" t="str">
        <f t="shared" si="11"/>
        <v>זבולון</v>
      </c>
      <c r="P275" s="121" t="str">
        <f t="shared" si="11"/>
        <v>כפר מנדא</v>
      </c>
    </row>
    <row r="276" spans="1:16" x14ac:dyDescent="0.3">
      <c r="A276" s="61">
        <v>11</v>
      </c>
      <c r="B276" s="61">
        <v>11</v>
      </c>
      <c r="C276" s="97"/>
      <c r="D276" s="79"/>
      <c r="E276" s="79"/>
      <c r="F276" s="79"/>
      <c r="G276" s="94"/>
      <c r="I276" s="86" t="e">
        <f t="shared" si="12"/>
        <v>#DIV/0!</v>
      </c>
      <c r="J276" s="87" t="e">
        <f t="shared" si="12"/>
        <v>#DIV/0!</v>
      </c>
      <c r="K276" s="87" t="e">
        <f t="shared" si="12"/>
        <v>#DIV/0!</v>
      </c>
      <c r="L276" s="87" t="e">
        <f t="shared" si="12"/>
        <v>#DIV/0!</v>
      </c>
      <c r="M276" s="88" t="e">
        <f t="shared" si="12"/>
        <v>#DIV/0!</v>
      </c>
      <c r="O276" s="121" t="str">
        <f t="shared" si="11"/>
        <v>זבולון</v>
      </c>
      <c r="P276" s="121" t="str">
        <f t="shared" si="11"/>
        <v>זבולון</v>
      </c>
    </row>
    <row r="277" spans="1:16" x14ac:dyDescent="0.3">
      <c r="A277" s="61">
        <v>11</v>
      </c>
      <c r="B277" s="61">
        <v>12</v>
      </c>
      <c r="C277" s="97"/>
      <c r="D277" s="79"/>
      <c r="E277" s="79"/>
      <c r="F277" s="79"/>
      <c r="G277" s="94"/>
      <c r="I277" s="86" t="e">
        <f t="shared" si="12"/>
        <v>#DIV/0!</v>
      </c>
      <c r="J277" s="87" t="e">
        <f t="shared" si="12"/>
        <v>#DIV/0!</v>
      </c>
      <c r="K277" s="87" t="e">
        <f t="shared" si="12"/>
        <v>#DIV/0!</v>
      </c>
      <c r="L277" s="87" t="e">
        <f t="shared" si="12"/>
        <v>#DIV/0!</v>
      </c>
      <c r="M277" s="88" t="e">
        <f t="shared" si="12"/>
        <v>#DIV/0!</v>
      </c>
      <c r="O277" s="121" t="str">
        <f t="shared" si="11"/>
        <v>זבולון</v>
      </c>
      <c r="P277" s="121" t="str">
        <f t="shared" si="11"/>
        <v>חיפה מפרץ</v>
      </c>
    </row>
    <row r="278" spans="1:16" x14ac:dyDescent="0.3">
      <c r="A278" s="61">
        <v>11</v>
      </c>
      <c r="B278" s="61">
        <v>13</v>
      </c>
      <c r="C278" s="97"/>
      <c r="D278" s="79"/>
      <c r="E278" s="79"/>
      <c r="F278" s="79"/>
      <c r="G278" s="94"/>
      <c r="I278" s="86" t="e">
        <f t="shared" si="12"/>
        <v>#DIV/0!</v>
      </c>
      <c r="J278" s="87" t="e">
        <f t="shared" si="12"/>
        <v>#DIV/0!</v>
      </c>
      <c r="K278" s="87" t="e">
        <f t="shared" si="12"/>
        <v>#DIV/0!</v>
      </c>
      <c r="L278" s="87" t="e">
        <f t="shared" si="12"/>
        <v>#DIV/0!</v>
      </c>
      <c r="M278" s="88" t="e">
        <f t="shared" si="12"/>
        <v>#DIV/0!</v>
      </c>
      <c r="O278" s="121" t="str">
        <f t="shared" si="11"/>
        <v>זבולון</v>
      </c>
      <c r="P278" s="121" t="str">
        <f t="shared" si="11"/>
        <v>חיפה עיר תחתית</v>
      </c>
    </row>
    <row r="279" spans="1:16" x14ac:dyDescent="0.3">
      <c r="A279" s="61">
        <v>11</v>
      </c>
      <c r="B279" s="61">
        <v>14</v>
      </c>
      <c r="C279" s="97"/>
      <c r="D279" s="79"/>
      <c r="E279" s="79"/>
      <c r="F279" s="79"/>
      <c r="G279" s="94"/>
      <c r="I279" s="86" t="e">
        <f t="shared" si="12"/>
        <v>#DIV/0!</v>
      </c>
      <c r="J279" s="87" t="e">
        <f t="shared" si="12"/>
        <v>#DIV/0!</v>
      </c>
      <c r="K279" s="87" t="e">
        <f t="shared" si="12"/>
        <v>#DIV/0!</v>
      </c>
      <c r="L279" s="87" t="e">
        <f t="shared" si="12"/>
        <v>#DIV/0!</v>
      </c>
      <c r="M279" s="88" t="e">
        <f t="shared" si="12"/>
        <v>#DIV/0!</v>
      </c>
      <c r="O279" s="121" t="str">
        <f t="shared" si="11"/>
        <v>זבולון</v>
      </c>
      <c r="P279" s="121" t="str">
        <f t="shared" si="11"/>
        <v>חיפה הדר-כרמל</v>
      </c>
    </row>
    <row r="280" spans="1:16" x14ac:dyDescent="0.3">
      <c r="A280" s="61">
        <v>11</v>
      </c>
      <c r="B280" s="61">
        <v>15</v>
      </c>
      <c r="C280" s="97"/>
      <c r="D280" s="79"/>
      <c r="E280" s="79"/>
      <c r="F280" s="79"/>
      <c r="G280" s="94"/>
      <c r="I280" s="86" t="e">
        <f t="shared" si="12"/>
        <v>#DIV/0!</v>
      </c>
      <c r="J280" s="87" t="e">
        <f t="shared" si="12"/>
        <v>#DIV/0!</v>
      </c>
      <c r="K280" s="87" t="e">
        <f t="shared" si="12"/>
        <v>#DIV/0!</v>
      </c>
      <c r="L280" s="87" t="e">
        <f t="shared" si="12"/>
        <v>#DIV/0!</v>
      </c>
      <c r="M280" s="88" t="e">
        <f t="shared" si="12"/>
        <v>#DIV/0!</v>
      </c>
      <c r="O280" s="121" t="str">
        <f t="shared" si="11"/>
        <v>זבולון</v>
      </c>
      <c r="P280" s="121" t="str">
        <f t="shared" si="11"/>
        <v>חיפה מערב</v>
      </c>
    </row>
    <row r="281" spans="1:16" x14ac:dyDescent="0.3">
      <c r="A281" s="61">
        <v>11</v>
      </c>
      <c r="B281" s="61">
        <v>16</v>
      </c>
      <c r="C281" s="97"/>
      <c r="D281" s="79"/>
      <c r="E281" s="79"/>
      <c r="F281" s="79"/>
      <c r="G281" s="94"/>
      <c r="I281" s="86" t="e">
        <f t="shared" si="12"/>
        <v>#DIV/0!</v>
      </c>
      <c r="J281" s="87" t="e">
        <f t="shared" si="12"/>
        <v>#DIV/0!</v>
      </c>
      <c r="K281" s="87" t="e">
        <f t="shared" si="12"/>
        <v>#DIV/0!</v>
      </c>
      <c r="L281" s="87" t="e">
        <f t="shared" si="12"/>
        <v>#DIV/0!</v>
      </c>
      <c r="M281" s="88" t="e">
        <f t="shared" si="12"/>
        <v>#DIV/0!</v>
      </c>
      <c r="O281" s="121" t="str">
        <f t="shared" si="11"/>
        <v>זבולון</v>
      </c>
      <c r="P281" s="121" t="str">
        <f t="shared" si="11"/>
        <v>חיפה כרמל</v>
      </c>
    </row>
    <row r="282" spans="1:16" x14ac:dyDescent="0.3">
      <c r="A282" s="61">
        <v>11</v>
      </c>
      <c r="B282" s="61">
        <v>17</v>
      </c>
      <c r="C282" s="97"/>
      <c r="D282" s="79"/>
      <c r="E282" s="79"/>
      <c r="F282" s="79"/>
      <c r="G282" s="94"/>
      <c r="I282" s="86" t="e">
        <f t="shared" si="12"/>
        <v>#DIV/0!</v>
      </c>
      <c r="J282" s="87" t="e">
        <f t="shared" si="12"/>
        <v>#DIV/0!</v>
      </c>
      <c r="K282" s="87" t="e">
        <f t="shared" si="12"/>
        <v>#DIV/0!</v>
      </c>
      <c r="L282" s="87" t="e">
        <f t="shared" si="12"/>
        <v>#DIV/0!</v>
      </c>
      <c r="M282" s="88" t="e">
        <f t="shared" si="12"/>
        <v>#DIV/0!</v>
      </c>
      <c r="O282" s="121" t="str">
        <f t="shared" si="11"/>
        <v>זבולון</v>
      </c>
      <c r="P282" s="121" t="str">
        <f t="shared" si="11"/>
        <v>חיפה נווה שאנן</v>
      </c>
    </row>
    <row r="283" spans="1:16" x14ac:dyDescent="0.3">
      <c r="A283" s="61">
        <v>11</v>
      </c>
      <c r="B283" s="61">
        <v>18</v>
      </c>
      <c r="C283" s="97"/>
      <c r="D283" s="79"/>
      <c r="E283" s="79"/>
      <c r="F283" s="79"/>
      <c r="G283" s="94"/>
      <c r="I283" s="86" t="e">
        <f t="shared" si="12"/>
        <v>#DIV/0!</v>
      </c>
      <c r="J283" s="87" t="e">
        <f t="shared" si="12"/>
        <v>#DIV/0!</v>
      </c>
      <c r="K283" s="87" t="e">
        <f t="shared" si="12"/>
        <v>#DIV/0!</v>
      </c>
      <c r="L283" s="87" t="e">
        <f t="shared" si="12"/>
        <v>#DIV/0!</v>
      </c>
      <c r="M283" s="88" t="e">
        <f t="shared" si="12"/>
        <v>#DIV/0!</v>
      </c>
      <c r="O283" s="121" t="str">
        <f t="shared" si="11"/>
        <v>זבולון</v>
      </c>
      <c r="P283" s="121" t="str">
        <f t="shared" si="11"/>
        <v>נשר</v>
      </c>
    </row>
    <row r="284" spans="1:16" x14ac:dyDescent="0.3">
      <c r="A284" s="61">
        <v>11</v>
      </c>
      <c r="B284" s="61">
        <v>19</v>
      </c>
      <c r="C284" s="97"/>
      <c r="D284" s="79"/>
      <c r="E284" s="79"/>
      <c r="F284" s="79"/>
      <c r="G284" s="94"/>
      <c r="I284" s="86" t="e">
        <f t="shared" si="12"/>
        <v>#DIV/0!</v>
      </c>
      <c r="J284" s="87" t="e">
        <f t="shared" si="12"/>
        <v>#DIV/0!</v>
      </c>
      <c r="K284" s="87" t="e">
        <f t="shared" si="12"/>
        <v>#DIV/0!</v>
      </c>
      <c r="L284" s="87" t="e">
        <f t="shared" si="12"/>
        <v>#DIV/0!</v>
      </c>
      <c r="M284" s="88" t="e">
        <f t="shared" si="12"/>
        <v>#DIV/0!</v>
      </c>
      <c r="O284" s="121" t="str">
        <f t="shared" si="11"/>
        <v>זבולון</v>
      </c>
      <c r="P284" s="121" t="str">
        <f t="shared" si="11"/>
        <v>נצרת</v>
      </c>
    </row>
    <row r="285" spans="1:16" x14ac:dyDescent="0.3">
      <c r="A285" s="61">
        <v>11</v>
      </c>
      <c r="B285" s="61">
        <v>20</v>
      </c>
      <c r="C285" s="97"/>
      <c r="D285" s="79"/>
      <c r="E285" s="79"/>
      <c r="F285" s="79"/>
      <c r="G285" s="94"/>
      <c r="I285" s="86" t="e">
        <f t="shared" si="12"/>
        <v>#DIV/0!</v>
      </c>
      <c r="J285" s="87" t="e">
        <f t="shared" si="12"/>
        <v>#DIV/0!</v>
      </c>
      <c r="K285" s="87" t="e">
        <f t="shared" si="12"/>
        <v>#DIV/0!</v>
      </c>
      <c r="L285" s="87" t="e">
        <f t="shared" si="12"/>
        <v>#DIV/0!</v>
      </c>
      <c r="M285" s="88" t="e">
        <f t="shared" si="12"/>
        <v>#DIV/0!</v>
      </c>
      <c r="O285" s="121" t="str">
        <f t="shared" si="11"/>
        <v>זבולון</v>
      </c>
      <c r="P285" s="121" t="str">
        <f t="shared" si="11"/>
        <v>נצרת-עילית</v>
      </c>
    </row>
    <row r="286" spans="1:16" x14ac:dyDescent="0.3">
      <c r="A286" s="61">
        <v>11</v>
      </c>
      <c r="B286" s="61">
        <v>21</v>
      </c>
      <c r="C286" s="97"/>
      <c r="D286" s="79"/>
      <c r="E286" s="79"/>
      <c r="F286" s="79"/>
      <c r="G286" s="94"/>
      <c r="I286" s="86" t="e">
        <f t="shared" si="12"/>
        <v>#DIV/0!</v>
      </c>
      <c r="J286" s="87" t="e">
        <f t="shared" si="12"/>
        <v>#DIV/0!</v>
      </c>
      <c r="K286" s="87" t="e">
        <f t="shared" si="12"/>
        <v>#DIV/0!</v>
      </c>
      <c r="L286" s="87" t="e">
        <f t="shared" si="12"/>
        <v>#DIV/0!</v>
      </c>
      <c r="M286" s="88" t="e">
        <f t="shared" si="12"/>
        <v>#DIV/0!</v>
      </c>
      <c r="O286" s="121" t="str">
        <f t="shared" si="11"/>
        <v>זבולון</v>
      </c>
      <c r="P286" s="121" t="str">
        <f t="shared" si="11"/>
        <v>מגדל העמק</v>
      </c>
    </row>
    <row r="287" spans="1:16" x14ac:dyDescent="0.3">
      <c r="A287" s="61">
        <v>11</v>
      </c>
      <c r="B287" s="61">
        <v>22</v>
      </c>
      <c r="C287" s="97"/>
      <c r="D287" s="79"/>
      <c r="E287" s="79"/>
      <c r="F287" s="79"/>
      <c r="G287" s="94"/>
      <c r="I287" s="86" t="e">
        <f t="shared" si="12"/>
        <v>#DIV/0!</v>
      </c>
      <c r="J287" s="87" t="e">
        <f t="shared" si="12"/>
        <v>#DIV/0!</v>
      </c>
      <c r="K287" s="87" t="e">
        <f t="shared" si="12"/>
        <v>#DIV/0!</v>
      </c>
      <c r="L287" s="87" t="e">
        <f t="shared" si="12"/>
        <v>#DIV/0!</v>
      </c>
      <c r="M287" s="88" t="e">
        <f t="shared" si="12"/>
        <v>#DIV/0!</v>
      </c>
      <c r="O287" s="121" t="str">
        <f t="shared" si="11"/>
        <v>זבולון</v>
      </c>
      <c r="P287" s="121" t="str">
        <f t="shared" si="11"/>
        <v>יוקנעם</v>
      </c>
    </row>
    <row r="288" spans="1:16" x14ac:dyDescent="0.3">
      <c r="A288" s="61">
        <v>11</v>
      </c>
      <c r="B288" s="61">
        <v>23</v>
      </c>
      <c r="C288" s="97"/>
      <c r="D288" s="79"/>
      <c r="E288" s="79"/>
      <c r="F288" s="79"/>
      <c r="G288" s="94"/>
      <c r="I288" s="86" t="e">
        <f t="shared" si="12"/>
        <v>#DIV/0!</v>
      </c>
      <c r="J288" s="87" t="e">
        <f t="shared" si="12"/>
        <v>#DIV/0!</v>
      </c>
      <c r="K288" s="87" t="e">
        <f t="shared" si="12"/>
        <v>#DIV/0!</v>
      </c>
      <c r="L288" s="87" t="e">
        <f t="shared" si="12"/>
        <v>#DIV/0!</v>
      </c>
      <c r="M288" s="88" t="e">
        <f t="shared" si="12"/>
        <v>#DIV/0!</v>
      </c>
      <c r="O288" s="121" t="str">
        <f t="shared" si="11"/>
        <v>זבולון</v>
      </c>
      <c r="P288" s="121" t="str">
        <f t="shared" si="11"/>
        <v>דלית אל כרמל</v>
      </c>
    </row>
    <row r="289" spans="1:16" x14ac:dyDescent="0.3">
      <c r="A289" s="61">
        <v>11</v>
      </c>
      <c r="B289" s="61">
        <v>24</v>
      </c>
      <c r="C289" s="97"/>
      <c r="D289" s="79"/>
      <c r="E289" s="79"/>
      <c r="F289" s="79"/>
      <c r="G289" s="94"/>
      <c r="I289" s="86" t="e">
        <f t="shared" si="12"/>
        <v>#DIV/0!</v>
      </c>
      <c r="J289" s="87" t="e">
        <f t="shared" si="12"/>
        <v>#DIV/0!</v>
      </c>
      <c r="K289" s="87" t="e">
        <f t="shared" si="12"/>
        <v>#DIV/0!</v>
      </c>
      <c r="L289" s="87" t="e">
        <f t="shared" si="12"/>
        <v>#DIV/0!</v>
      </c>
      <c r="M289" s="88" t="e">
        <f t="shared" si="12"/>
        <v>#DIV/0!</v>
      </c>
      <c r="O289" s="121" t="str">
        <f t="shared" si="11"/>
        <v>זבולון</v>
      </c>
      <c r="P289" s="121" t="str">
        <f t="shared" si="11"/>
        <v>חוף הכרמל</v>
      </c>
    </row>
    <row r="290" spans="1:16" x14ac:dyDescent="0.3">
      <c r="A290" s="61">
        <v>11</v>
      </c>
      <c r="B290" s="61">
        <v>25</v>
      </c>
      <c r="C290" s="97"/>
      <c r="D290" s="79"/>
      <c r="E290" s="79"/>
      <c r="F290" s="79"/>
      <c r="G290" s="94"/>
      <c r="I290" s="86" t="e">
        <f t="shared" si="12"/>
        <v>#DIV/0!</v>
      </c>
      <c r="J290" s="87" t="e">
        <f t="shared" si="12"/>
        <v>#DIV/0!</v>
      </c>
      <c r="K290" s="87" t="e">
        <f t="shared" si="12"/>
        <v>#DIV/0!</v>
      </c>
      <c r="L290" s="87" t="e">
        <f t="shared" si="12"/>
        <v>#DIV/0!</v>
      </c>
      <c r="M290" s="88" t="e">
        <f t="shared" si="12"/>
        <v>#DIV/0!</v>
      </c>
      <c r="O290" s="121" t="str">
        <f t="shared" si="11"/>
        <v>זבולון</v>
      </c>
      <c r="P290" s="121" t="str">
        <f t="shared" si="11"/>
        <v>זכרון יעקב</v>
      </c>
    </row>
    <row r="291" spans="1:16" x14ac:dyDescent="0.3">
      <c r="A291" s="61">
        <v>11</v>
      </c>
      <c r="B291" s="61">
        <v>30</v>
      </c>
      <c r="C291" s="97"/>
      <c r="D291" s="79"/>
      <c r="E291" s="79"/>
      <c r="F291" s="79"/>
      <c r="G291" s="94"/>
      <c r="I291" s="86" t="e">
        <f t="shared" si="12"/>
        <v>#DIV/0!</v>
      </c>
      <c r="J291" s="87" t="e">
        <f t="shared" si="12"/>
        <v>#DIV/0!</v>
      </c>
      <c r="K291" s="87" t="e">
        <f t="shared" si="12"/>
        <v>#DIV/0!</v>
      </c>
      <c r="L291" s="87" t="e">
        <f t="shared" si="12"/>
        <v>#DIV/0!</v>
      </c>
      <c r="M291" s="88" t="e">
        <f t="shared" si="12"/>
        <v>#DIV/0!</v>
      </c>
      <c r="O291" s="121" t="str">
        <f t="shared" si="11"/>
        <v>זבולון</v>
      </c>
      <c r="P291" s="121" t="str">
        <f t="shared" si="11"/>
        <v>סכנין</v>
      </c>
    </row>
    <row r="292" spans="1:16" x14ac:dyDescent="0.3">
      <c r="A292" s="61">
        <v>12</v>
      </c>
      <c r="B292" s="61">
        <v>1</v>
      </c>
      <c r="C292" s="97"/>
      <c r="D292" s="79"/>
      <c r="E292" s="79"/>
      <c r="F292" s="79"/>
      <c r="G292" s="94"/>
      <c r="I292" s="86" t="e">
        <f t="shared" si="12"/>
        <v>#DIV/0!</v>
      </c>
      <c r="J292" s="87" t="e">
        <f t="shared" si="12"/>
        <v>#DIV/0!</v>
      </c>
      <c r="K292" s="87" t="e">
        <f t="shared" si="12"/>
        <v>#DIV/0!</v>
      </c>
      <c r="L292" s="87" t="e">
        <f t="shared" si="12"/>
        <v>#DIV/0!</v>
      </c>
      <c r="M292" s="88" t="e">
        <f t="shared" si="12"/>
        <v>#DIV/0!</v>
      </c>
      <c r="O292" s="121" t="str">
        <f t="shared" si="11"/>
        <v>חיפה מפרץ</v>
      </c>
      <c r="P292" s="121" t="str">
        <f t="shared" si="11"/>
        <v>נהריה</v>
      </c>
    </row>
    <row r="293" spans="1:16" x14ac:dyDescent="0.3">
      <c r="A293" s="61">
        <v>12</v>
      </c>
      <c r="B293" s="61">
        <v>2</v>
      </c>
      <c r="C293" s="97"/>
      <c r="D293" s="79"/>
      <c r="E293" s="79"/>
      <c r="F293" s="79"/>
      <c r="G293" s="94"/>
      <c r="I293" s="86" t="e">
        <f t="shared" si="12"/>
        <v>#DIV/0!</v>
      </c>
      <c r="J293" s="87" t="e">
        <f t="shared" si="12"/>
        <v>#DIV/0!</v>
      </c>
      <c r="K293" s="87" t="e">
        <f t="shared" si="12"/>
        <v>#DIV/0!</v>
      </c>
      <c r="L293" s="87" t="e">
        <f t="shared" si="12"/>
        <v>#DIV/0!</v>
      </c>
      <c r="M293" s="88" t="e">
        <f t="shared" si="12"/>
        <v>#DIV/0!</v>
      </c>
      <c r="O293" s="121" t="str">
        <f t="shared" si="11"/>
        <v>חיפה מפרץ</v>
      </c>
      <c r="P293" s="121" t="str">
        <f t="shared" si="11"/>
        <v>עכו</v>
      </c>
    </row>
    <row r="294" spans="1:16" x14ac:dyDescent="0.3">
      <c r="A294" s="61">
        <v>12</v>
      </c>
      <c r="B294" s="61">
        <v>3</v>
      </c>
      <c r="C294" s="97"/>
      <c r="D294" s="79"/>
      <c r="E294" s="79"/>
      <c r="F294" s="79"/>
      <c r="G294" s="94"/>
      <c r="I294" s="86" t="e">
        <f t="shared" si="12"/>
        <v>#DIV/0!</v>
      </c>
      <c r="J294" s="87" t="e">
        <f t="shared" si="12"/>
        <v>#DIV/0!</v>
      </c>
      <c r="K294" s="87" t="e">
        <f t="shared" si="12"/>
        <v>#DIV/0!</v>
      </c>
      <c r="L294" s="87" t="e">
        <f t="shared" si="12"/>
        <v>#DIV/0!</v>
      </c>
      <c r="M294" s="88" t="e">
        <f t="shared" si="12"/>
        <v>#DIV/0!</v>
      </c>
      <c r="O294" s="121" t="str">
        <f t="shared" si="11"/>
        <v>חיפה מפרץ</v>
      </c>
      <c r="P294" s="121" t="str">
        <f t="shared" si="11"/>
        <v>כרמיאל</v>
      </c>
    </row>
    <row r="295" spans="1:16" x14ac:dyDescent="0.3">
      <c r="A295" s="61">
        <v>12</v>
      </c>
      <c r="B295" s="61">
        <v>4</v>
      </c>
      <c r="C295" s="97"/>
      <c r="D295" s="79"/>
      <c r="E295" s="79"/>
      <c r="F295" s="79"/>
      <c r="G295" s="94"/>
      <c r="I295" s="86" t="e">
        <f t="shared" si="12"/>
        <v>#DIV/0!</v>
      </c>
      <c r="J295" s="87" t="e">
        <f t="shared" si="12"/>
        <v>#DIV/0!</v>
      </c>
      <c r="K295" s="87" t="e">
        <f t="shared" si="12"/>
        <v>#DIV/0!</v>
      </c>
      <c r="L295" s="87" t="e">
        <f t="shared" si="12"/>
        <v>#DIV/0!</v>
      </c>
      <c r="M295" s="88" t="e">
        <f t="shared" si="12"/>
        <v>#DIV/0!</v>
      </c>
      <c r="O295" s="121" t="str">
        <f t="shared" si="11"/>
        <v>חיפה מפרץ</v>
      </c>
      <c r="P295" s="121" t="str">
        <f t="shared" si="11"/>
        <v>שפרעם</v>
      </c>
    </row>
    <row r="296" spans="1:16" x14ac:dyDescent="0.3">
      <c r="A296" s="61">
        <v>12</v>
      </c>
      <c r="B296" s="61">
        <v>5</v>
      </c>
      <c r="C296" s="97"/>
      <c r="D296" s="79"/>
      <c r="E296" s="79"/>
      <c r="F296" s="79"/>
      <c r="G296" s="94"/>
      <c r="I296" s="86" t="e">
        <f t="shared" si="12"/>
        <v>#DIV/0!</v>
      </c>
      <c r="J296" s="87" t="e">
        <f t="shared" si="12"/>
        <v>#DIV/0!</v>
      </c>
      <c r="K296" s="87" t="e">
        <f t="shared" si="12"/>
        <v>#DIV/0!</v>
      </c>
      <c r="L296" s="87" t="e">
        <f t="shared" si="12"/>
        <v>#DIV/0!</v>
      </c>
      <c r="M296" s="88" t="e">
        <f t="shared" si="12"/>
        <v>#DIV/0!</v>
      </c>
      <c r="O296" s="121" t="str">
        <f t="shared" si="11"/>
        <v>חיפה מפרץ</v>
      </c>
      <c r="P296" s="121" t="str">
        <f t="shared" si="11"/>
        <v>קרית ים</v>
      </c>
    </row>
    <row r="297" spans="1:16" x14ac:dyDescent="0.3">
      <c r="A297" s="61">
        <v>12</v>
      </c>
      <c r="B297" s="61">
        <v>6</v>
      </c>
      <c r="C297" s="97"/>
      <c r="D297" s="79"/>
      <c r="E297" s="79"/>
      <c r="F297" s="79"/>
      <c r="G297" s="94"/>
      <c r="I297" s="86" t="e">
        <f t="shared" si="12"/>
        <v>#DIV/0!</v>
      </c>
      <c r="J297" s="87" t="e">
        <f t="shared" si="12"/>
        <v>#DIV/0!</v>
      </c>
      <c r="K297" s="87" t="e">
        <f t="shared" si="12"/>
        <v>#DIV/0!</v>
      </c>
      <c r="L297" s="87" t="e">
        <f t="shared" si="12"/>
        <v>#DIV/0!</v>
      </c>
      <c r="M297" s="88" t="e">
        <f t="shared" si="12"/>
        <v>#DIV/0!</v>
      </c>
      <c r="O297" s="121" t="str">
        <f t="shared" si="11"/>
        <v>חיפה מפרץ</v>
      </c>
      <c r="P297" s="121" t="str">
        <f t="shared" si="11"/>
        <v>קרית מוצקין</v>
      </c>
    </row>
    <row r="298" spans="1:16" x14ac:dyDescent="0.3">
      <c r="A298" s="61">
        <v>12</v>
      </c>
      <c r="B298" s="61">
        <v>7</v>
      </c>
      <c r="C298" s="97"/>
      <c r="D298" s="79"/>
      <c r="E298" s="79"/>
      <c r="F298" s="79"/>
      <c r="G298" s="94"/>
      <c r="I298" s="86" t="e">
        <f t="shared" si="12"/>
        <v>#DIV/0!</v>
      </c>
      <c r="J298" s="87" t="e">
        <f t="shared" si="12"/>
        <v>#DIV/0!</v>
      </c>
      <c r="K298" s="87" t="e">
        <f t="shared" si="12"/>
        <v>#DIV/0!</v>
      </c>
      <c r="L298" s="87" t="e">
        <f t="shared" si="12"/>
        <v>#DIV/0!</v>
      </c>
      <c r="M298" s="88" t="e">
        <f t="shared" si="12"/>
        <v>#DIV/0!</v>
      </c>
      <c r="O298" s="121" t="str">
        <f t="shared" si="11"/>
        <v>חיפה מפרץ</v>
      </c>
      <c r="P298" s="121" t="str">
        <f t="shared" si="11"/>
        <v>קרית ביאליק</v>
      </c>
    </row>
    <row r="299" spans="1:16" x14ac:dyDescent="0.3">
      <c r="A299" s="61">
        <v>12</v>
      </c>
      <c r="B299" s="61">
        <v>8</v>
      </c>
      <c r="C299" s="97"/>
      <c r="D299" s="79"/>
      <c r="E299" s="79"/>
      <c r="F299" s="79"/>
      <c r="G299" s="94"/>
      <c r="I299" s="86" t="e">
        <f t="shared" si="12"/>
        <v>#DIV/0!</v>
      </c>
      <c r="J299" s="87" t="e">
        <f t="shared" si="12"/>
        <v>#DIV/0!</v>
      </c>
      <c r="K299" s="87" t="e">
        <f t="shared" si="12"/>
        <v>#DIV/0!</v>
      </c>
      <c r="L299" s="87" t="e">
        <f t="shared" si="12"/>
        <v>#DIV/0!</v>
      </c>
      <c r="M299" s="88" t="e">
        <f t="shared" si="12"/>
        <v>#DIV/0!</v>
      </c>
      <c r="O299" s="121" t="str">
        <f t="shared" si="11"/>
        <v>חיפה מפרץ</v>
      </c>
      <c r="P299" s="121" t="str">
        <f t="shared" si="11"/>
        <v>קרית חיים</v>
      </c>
    </row>
    <row r="300" spans="1:16" x14ac:dyDescent="0.3">
      <c r="A300" s="61">
        <v>12</v>
      </c>
      <c r="B300" s="61">
        <v>9</v>
      </c>
      <c r="C300" s="97"/>
      <c r="D300" s="79"/>
      <c r="E300" s="79"/>
      <c r="F300" s="79"/>
      <c r="G300" s="94"/>
      <c r="I300" s="86" t="e">
        <f t="shared" si="12"/>
        <v>#DIV/0!</v>
      </c>
      <c r="J300" s="87" t="e">
        <f t="shared" si="12"/>
        <v>#DIV/0!</v>
      </c>
      <c r="K300" s="87" t="e">
        <f t="shared" si="12"/>
        <v>#DIV/0!</v>
      </c>
      <c r="L300" s="87" t="e">
        <f t="shared" si="12"/>
        <v>#DIV/0!</v>
      </c>
      <c r="M300" s="88" t="e">
        <f t="shared" si="12"/>
        <v>#DIV/0!</v>
      </c>
      <c r="O300" s="121" t="str">
        <f t="shared" si="11"/>
        <v>חיפה מפרץ</v>
      </c>
      <c r="P300" s="121" t="str">
        <f t="shared" si="11"/>
        <v>קרית אתא</v>
      </c>
    </row>
    <row r="301" spans="1:16" x14ac:dyDescent="0.3">
      <c r="A301" s="61">
        <v>12</v>
      </c>
      <c r="B301" s="61">
        <v>10</v>
      </c>
      <c r="C301" s="97"/>
      <c r="D301" s="79"/>
      <c r="E301" s="79"/>
      <c r="F301" s="79"/>
      <c r="G301" s="94"/>
      <c r="I301" s="86" t="e">
        <f t="shared" si="12"/>
        <v>#DIV/0!</v>
      </c>
      <c r="J301" s="87" t="e">
        <f t="shared" si="12"/>
        <v>#DIV/0!</v>
      </c>
      <c r="K301" s="87" t="e">
        <f t="shared" si="12"/>
        <v>#DIV/0!</v>
      </c>
      <c r="L301" s="87" t="e">
        <f t="shared" si="12"/>
        <v>#DIV/0!</v>
      </c>
      <c r="M301" s="88" t="e">
        <f t="shared" si="12"/>
        <v>#DIV/0!</v>
      </c>
      <c r="O301" s="121" t="str">
        <f t="shared" si="11"/>
        <v>חיפה מפרץ</v>
      </c>
      <c r="P301" s="121" t="str">
        <f t="shared" si="11"/>
        <v>כפר מנדא</v>
      </c>
    </row>
    <row r="302" spans="1:16" x14ac:dyDescent="0.3">
      <c r="A302" s="61">
        <v>12</v>
      </c>
      <c r="B302" s="61">
        <v>11</v>
      </c>
      <c r="C302" s="97"/>
      <c r="D302" s="79"/>
      <c r="E302" s="79"/>
      <c r="F302" s="79"/>
      <c r="G302" s="94"/>
      <c r="I302" s="86" t="e">
        <f t="shared" si="12"/>
        <v>#DIV/0!</v>
      </c>
      <c r="J302" s="87" t="e">
        <f t="shared" si="12"/>
        <v>#DIV/0!</v>
      </c>
      <c r="K302" s="87" t="e">
        <f t="shared" si="12"/>
        <v>#DIV/0!</v>
      </c>
      <c r="L302" s="87" t="e">
        <f t="shared" si="12"/>
        <v>#DIV/0!</v>
      </c>
      <c r="M302" s="88" t="e">
        <f t="shared" si="12"/>
        <v>#DIV/0!</v>
      </c>
      <c r="O302" s="121" t="str">
        <f t="shared" si="11"/>
        <v>חיפה מפרץ</v>
      </c>
      <c r="P302" s="121" t="str">
        <f t="shared" si="11"/>
        <v>זבולון</v>
      </c>
    </row>
    <row r="303" spans="1:16" x14ac:dyDescent="0.3">
      <c r="A303" s="61">
        <v>12</v>
      </c>
      <c r="B303" s="61">
        <v>12</v>
      </c>
      <c r="C303" s="97"/>
      <c r="D303" s="79"/>
      <c r="E303" s="79"/>
      <c r="F303" s="79"/>
      <c r="G303" s="94"/>
      <c r="I303" s="86" t="e">
        <f t="shared" si="12"/>
        <v>#DIV/0!</v>
      </c>
      <c r="J303" s="87" t="e">
        <f t="shared" si="12"/>
        <v>#DIV/0!</v>
      </c>
      <c r="K303" s="87" t="e">
        <f t="shared" si="12"/>
        <v>#DIV/0!</v>
      </c>
      <c r="L303" s="87" t="e">
        <f t="shared" si="12"/>
        <v>#DIV/0!</v>
      </c>
      <c r="M303" s="88" t="e">
        <f t="shared" si="12"/>
        <v>#DIV/0!</v>
      </c>
      <c r="O303" s="121" t="str">
        <f t="shared" si="11"/>
        <v>חיפה מפרץ</v>
      </c>
      <c r="P303" s="121" t="str">
        <f t="shared" si="11"/>
        <v>חיפה מפרץ</v>
      </c>
    </row>
    <row r="304" spans="1:16" x14ac:dyDescent="0.3">
      <c r="A304" s="61">
        <v>12</v>
      </c>
      <c r="B304" s="61">
        <v>13</v>
      </c>
      <c r="C304" s="97"/>
      <c r="D304" s="79"/>
      <c r="E304" s="79"/>
      <c r="F304" s="79"/>
      <c r="G304" s="94"/>
      <c r="I304" s="86" t="e">
        <f t="shared" si="12"/>
        <v>#DIV/0!</v>
      </c>
      <c r="J304" s="87" t="e">
        <f t="shared" si="12"/>
        <v>#DIV/0!</v>
      </c>
      <c r="K304" s="87" t="e">
        <f t="shared" si="12"/>
        <v>#DIV/0!</v>
      </c>
      <c r="L304" s="87" t="e">
        <f t="shared" si="12"/>
        <v>#DIV/0!</v>
      </c>
      <c r="M304" s="88" t="e">
        <f t="shared" si="12"/>
        <v>#DIV/0!</v>
      </c>
      <c r="O304" s="121" t="str">
        <f t="shared" si="11"/>
        <v>חיפה מפרץ</v>
      </c>
      <c r="P304" s="121" t="str">
        <f t="shared" si="11"/>
        <v>חיפה עיר תחתית</v>
      </c>
    </row>
    <row r="305" spans="1:16" x14ac:dyDescent="0.3">
      <c r="A305" s="61">
        <v>12</v>
      </c>
      <c r="B305" s="61">
        <v>14</v>
      </c>
      <c r="C305" s="97"/>
      <c r="D305" s="79"/>
      <c r="E305" s="79"/>
      <c r="F305" s="79"/>
      <c r="G305" s="94"/>
      <c r="I305" s="86" t="e">
        <f t="shared" si="12"/>
        <v>#DIV/0!</v>
      </c>
      <c r="J305" s="87" t="e">
        <f t="shared" si="12"/>
        <v>#DIV/0!</v>
      </c>
      <c r="K305" s="87" t="e">
        <f t="shared" si="12"/>
        <v>#DIV/0!</v>
      </c>
      <c r="L305" s="87" t="e">
        <f t="shared" si="12"/>
        <v>#DIV/0!</v>
      </c>
      <c r="M305" s="88" t="e">
        <f t="shared" si="12"/>
        <v>#DIV/0!</v>
      </c>
      <c r="O305" s="121" t="str">
        <f t="shared" si="11"/>
        <v>חיפה מפרץ</v>
      </c>
      <c r="P305" s="121" t="str">
        <f t="shared" si="11"/>
        <v>חיפה הדר-כרמל</v>
      </c>
    </row>
    <row r="306" spans="1:16" x14ac:dyDescent="0.3">
      <c r="A306" s="61">
        <v>12</v>
      </c>
      <c r="B306" s="61">
        <v>15</v>
      </c>
      <c r="C306" s="97"/>
      <c r="D306" s="79"/>
      <c r="E306" s="79"/>
      <c r="F306" s="79"/>
      <c r="G306" s="94"/>
      <c r="I306" s="86" t="e">
        <f t="shared" si="12"/>
        <v>#DIV/0!</v>
      </c>
      <c r="J306" s="87" t="e">
        <f t="shared" si="12"/>
        <v>#DIV/0!</v>
      </c>
      <c r="K306" s="87" t="e">
        <f t="shared" si="12"/>
        <v>#DIV/0!</v>
      </c>
      <c r="L306" s="87" t="e">
        <f t="shared" si="12"/>
        <v>#DIV/0!</v>
      </c>
      <c r="M306" s="88" t="e">
        <f t="shared" si="12"/>
        <v>#DIV/0!</v>
      </c>
      <c r="O306" s="121" t="str">
        <f t="shared" si="11"/>
        <v>חיפה מפרץ</v>
      </c>
      <c r="P306" s="121" t="str">
        <f t="shared" si="11"/>
        <v>חיפה מערב</v>
      </c>
    </row>
    <row r="307" spans="1:16" x14ac:dyDescent="0.3">
      <c r="A307" s="61">
        <v>12</v>
      </c>
      <c r="B307" s="61">
        <v>16</v>
      </c>
      <c r="C307" s="97"/>
      <c r="D307" s="79"/>
      <c r="E307" s="79"/>
      <c r="F307" s="79"/>
      <c r="G307" s="94"/>
      <c r="I307" s="86" t="e">
        <f t="shared" si="12"/>
        <v>#DIV/0!</v>
      </c>
      <c r="J307" s="87" t="e">
        <f t="shared" si="12"/>
        <v>#DIV/0!</v>
      </c>
      <c r="K307" s="87" t="e">
        <f t="shared" si="12"/>
        <v>#DIV/0!</v>
      </c>
      <c r="L307" s="87" t="e">
        <f t="shared" si="12"/>
        <v>#DIV/0!</v>
      </c>
      <c r="M307" s="88" t="e">
        <f t="shared" si="12"/>
        <v>#DIV/0!</v>
      </c>
      <c r="O307" s="121" t="str">
        <f t="shared" si="11"/>
        <v>חיפה מפרץ</v>
      </c>
      <c r="P307" s="121" t="str">
        <f t="shared" si="11"/>
        <v>חיפה כרמל</v>
      </c>
    </row>
    <row r="308" spans="1:16" x14ac:dyDescent="0.3">
      <c r="A308" s="61">
        <v>12</v>
      </c>
      <c r="B308" s="61">
        <v>17</v>
      </c>
      <c r="C308" s="97"/>
      <c r="D308" s="79"/>
      <c r="E308" s="79"/>
      <c r="F308" s="79"/>
      <c r="G308" s="94"/>
      <c r="I308" s="86" t="e">
        <f t="shared" si="12"/>
        <v>#DIV/0!</v>
      </c>
      <c r="J308" s="87" t="e">
        <f t="shared" si="12"/>
        <v>#DIV/0!</v>
      </c>
      <c r="K308" s="87" t="e">
        <f t="shared" si="12"/>
        <v>#DIV/0!</v>
      </c>
      <c r="L308" s="87" t="e">
        <f t="shared" si="12"/>
        <v>#DIV/0!</v>
      </c>
      <c r="M308" s="88" t="e">
        <f t="shared" si="12"/>
        <v>#DIV/0!</v>
      </c>
      <c r="O308" s="121" t="str">
        <f t="shared" si="11"/>
        <v>חיפה מפרץ</v>
      </c>
      <c r="P308" s="121" t="str">
        <f t="shared" si="11"/>
        <v>חיפה נווה שאנן</v>
      </c>
    </row>
    <row r="309" spans="1:16" x14ac:dyDescent="0.3">
      <c r="A309" s="61">
        <v>12</v>
      </c>
      <c r="B309" s="61">
        <v>18</v>
      </c>
      <c r="C309" s="97"/>
      <c r="D309" s="79"/>
      <c r="E309" s="79"/>
      <c r="F309" s="79"/>
      <c r="G309" s="94"/>
      <c r="I309" s="86" t="e">
        <f t="shared" si="12"/>
        <v>#DIV/0!</v>
      </c>
      <c r="J309" s="87" t="e">
        <f t="shared" si="12"/>
        <v>#DIV/0!</v>
      </c>
      <c r="K309" s="87" t="e">
        <f t="shared" si="12"/>
        <v>#DIV/0!</v>
      </c>
      <c r="L309" s="87" t="e">
        <f t="shared" si="12"/>
        <v>#DIV/0!</v>
      </c>
      <c r="M309" s="88" t="e">
        <f t="shared" si="12"/>
        <v>#DIV/0!</v>
      </c>
      <c r="O309" s="121" t="str">
        <f t="shared" si="11"/>
        <v>חיפה מפרץ</v>
      </c>
      <c r="P309" s="121" t="str">
        <f t="shared" si="11"/>
        <v>נשר</v>
      </c>
    </row>
    <row r="310" spans="1:16" x14ac:dyDescent="0.3">
      <c r="A310" s="61">
        <v>12</v>
      </c>
      <c r="B310" s="61">
        <v>19</v>
      </c>
      <c r="C310" s="97"/>
      <c r="D310" s="79"/>
      <c r="E310" s="79"/>
      <c r="F310" s="79"/>
      <c r="G310" s="94"/>
      <c r="I310" s="86" t="e">
        <f t="shared" si="12"/>
        <v>#DIV/0!</v>
      </c>
      <c r="J310" s="87" t="e">
        <f t="shared" si="12"/>
        <v>#DIV/0!</v>
      </c>
      <c r="K310" s="87" t="e">
        <f t="shared" si="12"/>
        <v>#DIV/0!</v>
      </c>
      <c r="L310" s="87" t="e">
        <f t="shared" si="12"/>
        <v>#DIV/0!</v>
      </c>
      <c r="M310" s="88" t="e">
        <f t="shared" si="12"/>
        <v>#DIV/0!</v>
      </c>
      <c r="O310" s="121" t="str">
        <f t="shared" si="11"/>
        <v>חיפה מפרץ</v>
      </c>
      <c r="P310" s="121" t="str">
        <f t="shared" si="11"/>
        <v>נצרת</v>
      </c>
    </row>
    <row r="311" spans="1:16" x14ac:dyDescent="0.3">
      <c r="A311" s="61">
        <v>12</v>
      </c>
      <c r="B311" s="61">
        <v>20</v>
      </c>
      <c r="C311" s="97"/>
      <c r="D311" s="79"/>
      <c r="E311" s="79"/>
      <c r="F311" s="79"/>
      <c r="G311" s="94"/>
      <c r="I311" s="86" t="e">
        <f t="shared" si="12"/>
        <v>#DIV/0!</v>
      </c>
      <c r="J311" s="87" t="e">
        <f t="shared" si="12"/>
        <v>#DIV/0!</v>
      </c>
      <c r="K311" s="87" t="e">
        <f t="shared" si="12"/>
        <v>#DIV/0!</v>
      </c>
      <c r="L311" s="87" t="e">
        <f t="shared" si="12"/>
        <v>#DIV/0!</v>
      </c>
      <c r="M311" s="88" t="e">
        <f t="shared" si="12"/>
        <v>#DIV/0!</v>
      </c>
      <c r="O311" s="121" t="str">
        <f t="shared" si="11"/>
        <v>חיפה מפרץ</v>
      </c>
      <c r="P311" s="121" t="str">
        <f t="shared" si="11"/>
        <v>נצרת-עילית</v>
      </c>
    </row>
    <row r="312" spans="1:16" x14ac:dyDescent="0.3">
      <c r="A312" s="61">
        <v>12</v>
      </c>
      <c r="B312" s="61">
        <v>21</v>
      </c>
      <c r="C312" s="97"/>
      <c r="D312" s="79"/>
      <c r="E312" s="79"/>
      <c r="F312" s="79"/>
      <c r="G312" s="94"/>
      <c r="I312" s="86" t="e">
        <f t="shared" si="12"/>
        <v>#DIV/0!</v>
      </c>
      <c r="J312" s="87" t="e">
        <f t="shared" si="12"/>
        <v>#DIV/0!</v>
      </c>
      <c r="K312" s="87" t="e">
        <f t="shared" si="12"/>
        <v>#DIV/0!</v>
      </c>
      <c r="L312" s="87" t="e">
        <f t="shared" si="12"/>
        <v>#DIV/0!</v>
      </c>
      <c r="M312" s="88" t="e">
        <f t="shared" si="12"/>
        <v>#DIV/0!</v>
      </c>
      <c r="O312" s="121" t="str">
        <f t="shared" si="11"/>
        <v>חיפה מפרץ</v>
      </c>
      <c r="P312" s="121" t="str">
        <f t="shared" si="11"/>
        <v>מגדל העמק</v>
      </c>
    </row>
    <row r="313" spans="1:16" x14ac:dyDescent="0.3">
      <c r="A313" s="61">
        <v>12</v>
      </c>
      <c r="B313" s="61">
        <v>22</v>
      </c>
      <c r="C313" s="97"/>
      <c r="D313" s="79"/>
      <c r="E313" s="79"/>
      <c r="F313" s="79"/>
      <c r="G313" s="94"/>
      <c r="I313" s="86" t="e">
        <f t="shared" si="12"/>
        <v>#DIV/0!</v>
      </c>
      <c r="J313" s="87" t="e">
        <f t="shared" si="12"/>
        <v>#DIV/0!</v>
      </c>
      <c r="K313" s="87" t="e">
        <f t="shared" si="12"/>
        <v>#DIV/0!</v>
      </c>
      <c r="L313" s="87" t="e">
        <f t="shared" si="12"/>
        <v>#DIV/0!</v>
      </c>
      <c r="M313" s="88" t="e">
        <f t="shared" si="12"/>
        <v>#DIV/0!</v>
      </c>
      <c r="O313" s="121" t="str">
        <f t="shared" si="11"/>
        <v>חיפה מפרץ</v>
      </c>
      <c r="P313" s="121" t="str">
        <f t="shared" si="11"/>
        <v>יוקנעם</v>
      </c>
    </row>
    <row r="314" spans="1:16" x14ac:dyDescent="0.3">
      <c r="A314" s="61">
        <v>12</v>
      </c>
      <c r="B314" s="61">
        <v>23</v>
      </c>
      <c r="C314" s="97"/>
      <c r="D314" s="79"/>
      <c r="E314" s="79"/>
      <c r="F314" s="79"/>
      <c r="G314" s="94"/>
      <c r="I314" s="86" t="e">
        <f t="shared" si="12"/>
        <v>#DIV/0!</v>
      </c>
      <c r="J314" s="87" t="e">
        <f t="shared" si="12"/>
        <v>#DIV/0!</v>
      </c>
      <c r="K314" s="87" t="e">
        <f t="shared" si="12"/>
        <v>#DIV/0!</v>
      </c>
      <c r="L314" s="87" t="e">
        <f t="shared" si="12"/>
        <v>#DIV/0!</v>
      </c>
      <c r="M314" s="88" t="e">
        <f t="shared" si="12"/>
        <v>#DIV/0!</v>
      </c>
      <c r="O314" s="121" t="str">
        <f t="shared" si="11"/>
        <v>חיפה מפרץ</v>
      </c>
      <c r="P314" s="121" t="str">
        <f t="shared" si="11"/>
        <v>דלית אל כרמל</v>
      </c>
    </row>
    <row r="315" spans="1:16" x14ac:dyDescent="0.3">
      <c r="A315" s="61">
        <v>12</v>
      </c>
      <c r="B315" s="61">
        <v>24</v>
      </c>
      <c r="C315" s="97"/>
      <c r="D315" s="79"/>
      <c r="E315" s="79"/>
      <c r="F315" s="79"/>
      <c r="G315" s="94"/>
      <c r="I315" s="86" t="e">
        <f t="shared" si="12"/>
        <v>#DIV/0!</v>
      </c>
      <c r="J315" s="87" t="e">
        <f t="shared" si="12"/>
        <v>#DIV/0!</v>
      </c>
      <c r="K315" s="87" t="e">
        <f t="shared" si="12"/>
        <v>#DIV/0!</v>
      </c>
      <c r="L315" s="87" t="e">
        <f t="shared" si="12"/>
        <v>#DIV/0!</v>
      </c>
      <c r="M315" s="88" t="e">
        <f t="shared" si="12"/>
        <v>#DIV/0!</v>
      </c>
      <c r="O315" s="121" t="str">
        <f t="shared" si="11"/>
        <v>חיפה מפרץ</v>
      </c>
      <c r="P315" s="121" t="str">
        <f t="shared" si="11"/>
        <v>חוף הכרמל</v>
      </c>
    </row>
    <row r="316" spans="1:16" x14ac:dyDescent="0.3">
      <c r="A316" s="61">
        <v>12</v>
      </c>
      <c r="B316" s="61">
        <v>25</v>
      </c>
      <c r="C316" s="97"/>
      <c r="D316" s="79"/>
      <c r="E316" s="79"/>
      <c r="F316" s="79"/>
      <c r="G316" s="94"/>
      <c r="I316" s="86" t="e">
        <f t="shared" si="12"/>
        <v>#DIV/0!</v>
      </c>
      <c r="J316" s="87" t="e">
        <f t="shared" si="12"/>
        <v>#DIV/0!</v>
      </c>
      <c r="K316" s="87" t="e">
        <f t="shared" si="12"/>
        <v>#DIV/0!</v>
      </c>
      <c r="L316" s="87" t="e">
        <f t="shared" si="12"/>
        <v>#DIV/0!</v>
      </c>
      <c r="M316" s="88" t="e">
        <f t="shared" si="12"/>
        <v>#DIV/0!</v>
      </c>
      <c r="O316" s="121" t="str">
        <f t="shared" si="11"/>
        <v>חיפה מפרץ</v>
      </c>
      <c r="P316" s="121" t="str">
        <f t="shared" si="11"/>
        <v>זכרון יעקב</v>
      </c>
    </row>
    <row r="317" spans="1:16" x14ac:dyDescent="0.3">
      <c r="A317" s="61">
        <v>12</v>
      </c>
      <c r="B317" s="61">
        <v>30</v>
      </c>
      <c r="C317" s="97"/>
      <c r="D317" s="79"/>
      <c r="E317" s="79"/>
      <c r="F317" s="79"/>
      <c r="G317" s="94"/>
      <c r="I317" s="86" t="e">
        <f t="shared" si="12"/>
        <v>#DIV/0!</v>
      </c>
      <c r="J317" s="87" t="e">
        <f t="shared" si="12"/>
        <v>#DIV/0!</v>
      </c>
      <c r="K317" s="87" t="e">
        <f t="shared" si="12"/>
        <v>#DIV/0!</v>
      </c>
      <c r="L317" s="87" t="e">
        <f t="shared" si="12"/>
        <v>#DIV/0!</v>
      </c>
      <c r="M317" s="88" t="e">
        <f t="shared" si="12"/>
        <v>#DIV/0!</v>
      </c>
      <c r="O317" s="121" t="str">
        <f t="shared" si="11"/>
        <v>חיפה מפרץ</v>
      </c>
      <c r="P317" s="121" t="str">
        <f t="shared" si="11"/>
        <v>סכנין</v>
      </c>
    </row>
    <row r="318" spans="1:16" x14ac:dyDescent="0.3">
      <c r="A318" s="61">
        <v>13</v>
      </c>
      <c r="B318" s="61">
        <v>1</v>
      </c>
      <c r="C318" s="97"/>
      <c r="D318" s="79"/>
      <c r="E318" s="79"/>
      <c r="F318" s="79"/>
      <c r="G318" s="94"/>
      <c r="I318" s="86" t="e">
        <f t="shared" si="12"/>
        <v>#DIV/0!</v>
      </c>
      <c r="J318" s="87" t="e">
        <f t="shared" si="12"/>
        <v>#DIV/0!</v>
      </c>
      <c r="K318" s="87" t="e">
        <f t="shared" si="12"/>
        <v>#DIV/0!</v>
      </c>
      <c r="L318" s="87" t="e">
        <f t="shared" si="12"/>
        <v>#DIV/0!</v>
      </c>
      <c r="M318" s="88" t="e">
        <f t="shared" si="12"/>
        <v>#DIV/0!</v>
      </c>
      <c r="O318" s="121" t="str">
        <f t="shared" si="11"/>
        <v>חיפה עיר תחתית</v>
      </c>
      <c r="P318" s="121" t="str">
        <f t="shared" si="11"/>
        <v>נהריה</v>
      </c>
    </row>
    <row r="319" spans="1:16" x14ac:dyDescent="0.3">
      <c r="A319" s="61">
        <v>13</v>
      </c>
      <c r="B319" s="61">
        <v>2</v>
      </c>
      <c r="C319" s="97"/>
      <c r="D319" s="79"/>
      <c r="E319" s="79"/>
      <c r="F319" s="79"/>
      <c r="G319" s="94"/>
      <c r="I319" s="86" t="e">
        <f t="shared" si="12"/>
        <v>#DIV/0!</v>
      </c>
      <c r="J319" s="87" t="e">
        <f t="shared" si="12"/>
        <v>#DIV/0!</v>
      </c>
      <c r="K319" s="87" t="e">
        <f t="shared" si="12"/>
        <v>#DIV/0!</v>
      </c>
      <c r="L319" s="87" t="e">
        <f t="shared" si="12"/>
        <v>#DIV/0!</v>
      </c>
      <c r="M319" s="88" t="e">
        <f t="shared" si="12"/>
        <v>#DIV/0!</v>
      </c>
      <c r="O319" s="121" t="str">
        <f t="shared" si="11"/>
        <v>חיפה עיר תחתית</v>
      </c>
      <c r="P319" s="121" t="str">
        <f t="shared" si="11"/>
        <v>עכו</v>
      </c>
    </row>
    <row r="320" spans="1:16" x14ac:dyDescent="0.3">
      <c r="A320" s="61">
        <v>13</v>
      </c>
      <c r="B320" s="61">
        <v>3</v>
      </c>
      <c r="C320" s="97"/>
      <c r="D320" s="79"/>
      <c r="E320" s="79"/>
      <c r="F320" s="79"/>
      <c r="G320" s="94"/>
      <c r="I320" s="86" t="e">
        <f t="shared" si="12"/>
        <v>#DIV/0!</v>
      </c>
      <c r="J320" s="87" t="e">
        <f t="shared" si="12"/>
        <v>#DIV/0!</v>
      </c>
      <c r="K320" s="87" t="e">
        <f t="shared" si="12"/>
        <v>#DIV/0!</v>
      </c>
      <c r="L320" s="87" t="e">
        <f t="shared" si="12"/>
        <v>#DIV/0!</v>
      </c>
      <c r="M320" s="88" t="e">
        <f t="shared" si="12"/>
        <v>#DIV/0!</v>
      </c>
      <c r="O320" s="121" t="str">
        <f t="shared" si="11"/>
        <v>חיפה עיר תחתית</v>
      </c>
      <c r="P320" s="121" t="str">
        <f t="shared" si="11"/>
        <v>כרמיאל</v>
      </c>
    </row>
    <row r="321" spans="1:16" x14ac:dyDescent="0.3">
      <c r="A321" s="61">
        <v>13</v>
      </c>
      <c r="B321" s="61">
        <v>4</v>
      </c>
      <c r="C321" s="97"/>
      <c r="D321" s="79"/>
      <c r="E321" s="79"/>
      <c r="F321" s="79"/>
      <c r="G321" s="94"/>
      <c r="I321" s="86" t="e">
        <f t="shared" si="12"/>
        <v>#DIV/0!</v>
      </c>
      <c r="J321" s="87" t="e">
        <f t="shared" si="12"/>
        <v>#DIV/0!</v>
      </c>
      <c r="K321" s="87" t="e">
        <f t="shared" si="12"/>
        <v>#DIV/0!</v>
      </c>
      <c r="L321" s="87" t="e">
        <f t="shared" si="12"/>
        <v>#DIV/0!</v>
      </c>
      <c r="M321" s="88" t="e">
        <f t="shared" si="12"/>
        <v>#DIV/0!</v>
      </c>
      <c r="O321" s="121" t="str">
        <f t="shared" si="11"/>
        <v>חיפה עיר תחתית</v>
      </c>
      <c r="P321" s="121" t="str">
        <f t="shared" si="11"/>
        <v>שפרעם</v>
      </c>
    </row>
    <row r="322" spans="1:16" x14ac:dyDescent="0.3">
      <c r="A322" s="61">
        <v>13</v>
      </c>
      <c r="B322" s="61">
        <v>5</v>
      </c>
      <c r="C322" s="97"/>
      <c r="D322" s="79"/>
      <c r="E322" s="79"/>
      <c r="F322" s="79"/>
      <c r="G322" s="94"/>
      <c r="I322" s="86" t="e">
        <f t="shared" si="12"/>
        <v>#DIV/0!</v>
      </c>
      <c r="J322" s="87" t="e">
        <f t="shared" si="12"/>
        <v>#DIV/0!</v>
      </c>
      <c r="K322" s="87" t="e">
        <f t="shared" si="12"/>
        <v>#DIV/0!</v>
      </c>
      <c r="L322" s="87" t="e">
        <f t="shared" si="12"/>
        <v>#DIV/0!</v>
      </c>
      <c r="M322" s="88" t="e">
        <f t="shared" si="12"/>
        <v>#DIV/0!</v>
      </c>
      <c r="O322" s="121" t="str">
        <f t="shared" si="11"/>
        <v>חיפה עיר תחתית</v>
      </c>
      <c r="P322" s="121" t="str">
        <f t="shared" si="11"/>
        <v>קרית ים</v>
      </c>
    </row>
    <row r="323" spans="1:16" x14ac:dyDescent="0.3">
      <c r="A323" s="61">
        <v>13</v>
      </c>
      <c r="B323" s="61">
        <v>6</v>
      </c>
      <c r="C323" s="97"/>
      <c r="D323" s="79"/>
      <c r="E323" s="79"/>
      <c r="F323" s="79"/>
      <c r="G323" s="94"/>
      <c r="I323" s="86" t="e">
        <f t="shared" si="12"/>
        <v>#DIV/0!</v>
      </c>
      <c r="J323" s="87" t="e">
        <f t="shared" si="12"/>
        <v>#DIV/0!</v>
      </c>
      <c r="K323" s="87" t="e">
        <f t="shared" si="12"/>
        <v>#DIV/0!</v>
      </c>
      <c r="L323" s="87" t="e">
        <f t="shared" si="12"/>
        <v>#DIV/0!</v>
      </c>
      <c r="M323" s="88" t="e">
        <f t="shared" si="12"/>
        <v>#DIV/0!</v>
      </c>
      <c r="O323" s="121" t="str">
        <f t="shared" si="11"/>
        <v>חיפה עיר תחתית</v>
      </c>
      <c r="P323" s="121" t="str">
        <f t="shared" si="11"/>
        <v>קרית מוצקין</v>
      </c>
    </row>
    <row r="324" spans="1:16" x14ac:dyDescent="0.3">
      <c r="A324" s="61">
        <v>13</v>
      </c>
      <c r="B324" s="61">
        <v>7</v>
      </c>
      <c r="C324" s="97"/>
      <c r="D324" s="79"/>
      <c r="E324" s="79"/>
      <c r="F324" s="79"/>
      <c r="G324" s="94"/>
      <c r="I324" s="86" t="e">
        <f t="shared" si="12"/>
        <v>#DIV/0!</v>
      </c>
      <c r="J324" s="87" t="e">
        <f t="shared" si="12"/>
        <v>#DIV/0!</v>
      </c>
      <c r="K324" s="87" t="e">
        <f t="shared" si="12"/>
        <v>#DIV/0!</v>
      </c>
      <c r="L324" s="87" t="e">
        <f t="shared" si="12"/>
        <v>#DIV/0!</v>
      </c>
      <c r="M324" s="88" t="e">
        <f t="shared" si="12"/>
        <v>#DIV/0!</v>
      </c>
      <c r="O324" s="121" t="str">
        <f t="shared" si="11"/>
        <v>חיפה עיר תחתית</v>
      </c>
      <c r="P324" s="121" t="str">
        <f t="shared" si="11"/>
        <v>קרית ביאליק</v>
      </c>
    </row>
    <row r="325" spans="1:16" x14ac:dyDescent="0.3">
      <c r="A325" s="61">
        <v>13</v>
      </c>
      <c r="B325" s="61">
        <v>8</v>
      </c>
      <c r="C325" s="97"/>
      <c r="D325" s="79"/>
      <c r="E325" s="79"/>
      <c r="F325" s="79"/>
      <c r="G325" s="94"/>
      <c r="I325" s="86" t="e">
        <f t="shared" ref="I325:M375" si="13">C325/SUM($C325:$G325)</f>
        <v>#DIV/0!</v>
      </c>
      <c r="J325" s="87" t="e">
        <f t="shared" si="13"/>
        <v>#DIV/0!</v>
      </c>
      <c r="K325" s="87" t="e">
        <f t="shared" si="13"/>
        <v>#DIV/0!</v>
      </c>
      <c r="L325" s="87" t="e">
        <f t="shared" si="13"/>
        <v>#DIV/0!</v>
      </c>
      <c r="M325" s="88" t="e">
        <f t="shared" si="13"/>
        <v>#DIV/0!</v>
      </c>
      <c r="O325" s="121" t="str">
        <f t="shared" si="11"/>
        <v>חיפה עיר תחתית</v>
      </c>
      <c r="P325" s="121" t="str">
        <f t="shared" si="11"/>
        <v>קרית חיים</v>
      </c>
    </row>
    <row r="326" spans="1:16" x14ac:dyDescent="0.3">
      <c r="A326" s="61">
        <v>13</v>
      </c>
      <c r="B326" s="61">
        <v>9</v>
      </c>
      <c r="C326" s="97"/>
      <c r="D326" s="79"/>
      <c r="E326" s="79"/>
      <c r="F326" s="79"/>
      <c r="G326" s="94"/>
      <c r="I326" s="86" t="e">
        <f t="shared" si="13"/>
        <v>#DIV/0!</v>
      </c>
      <c r="J326" s="87" t="e">
        <f t="shared" si="13"/>
        <v>#DIV/0!</v>
      </c>
      <c r="K326" s="87" t="e">
        <f t="shared" si="13"/>
        <v>#DIV/0!</v>
      </c>
      <c r="L326" s="87" t="e">
        <f t="shared" si="13"/>
        <v>#DIV/0!</v>
      </c>
      <c r="M326" s="88" t="e">
        <f t="shared" si="13"/>
        <v>#DIV/0!</v>
      </c>
      <c r="O326" s="121" t="str">
        <f t="shared" si="11"/>
        <v>חיפה עיר תחתית</v>
      </c>
      <c r="P326" s="121" t="str">
        <f t="shared" si="11"/>
        <v>קרית אתא</v>
      </c>
    </row>
    <row r="327" spans="1:16" x14ac:dyDescent="0.3">
      <c r="A327" s="61">
        <v>13</v>
      </c>
      <c r="B327" s="61">
        <v>10</v>
      </c>
      <c r="C327" s="97"/>
      <c r="D327" s="79"/>
      <c r="E327" s="79"/>
      <c r="F327" s="79"/>
      <c r="G327" s="94"/>
      <c r="I327" s="86" t="e">
        <f t="shared" si="13"/>
        <v>#DIV/0!</v>
      </c>
      <c r="J327" s="87" t="e">
        <f t="shared" si="13"/>
        <v>#DIV/0!</v>
      </c>
      <c r="K327" s="87" t="e">
        <f t="shared" si="13"/>
        <v>#DIV/0!</v>
      </c>
      <c r="L327" s="87" t="e">
        <f t="shared" si="13"/>
        <v>#DIV/0!</v>
      </c>
      <c r="M327" s="88" t="e">
        <f t="shared" si="13"/>
        <v>#DIV/0!</v>
      </c>
      <c r="O327" s="121" t="str">
        <f t="shared" si="11"/>
        <v>חיפה עיר תחתית</v>
      </c>
      <c r="P327" s="121" t="str">
        <f t="shared" si="11"/>
        <v>כפר מנדא</v>
      </c>
    </row>
    <row r="328" spans="1:16" x14ac:dyDescent="0.3">
      <c r="A328" s="61">
        <v>13</v>
      </c>
      <c r="B328" s="61">
        <v>11</v>
      </c>
      <c r="C328" s="97"/>
      <c r="D328" s="79"/>
      <c r="E328" s="79"/>
      <c r="F328" s="79"/>
      <c r="G328" s="94"/>
      <c r="I328" s="86" t="e">
        <f t="shared" si="13"/>
        <v>#DIV/0!</v>
      </c>
      <c r="J328" s="87" t="e">
        <f t="shared" si="13"/>
        <v>#DIV/0!</v>
      </c>
      <c r="K328" s="87" t="e">
        <f t="shared" si="13"/>
        <v>#DIV/0!</v>
      </c>
      <c r="L328" s="87" t="e">
        <f t="shared" si="13"/>
        <v>#DIV/0!</v>
      </c>
      <c r="M328" s="88" t="e">
        <f t="shared" si="13"/>
        <v>#DIV/0!</v>
      </c>
      <c r="O328" s="121" t="str">
        <f t="shared" ref="O328:P391" si="14">VLOOKUP(A328,$S$6:$T$31,2,0)</f>
        <v>חיפה עיר תחתית</v>
      </c>
      <c r="P328" s="121" t="str">
        <f t="shared" si="14"/>
        <v>זבולון</v>
      </c>
    </row>
    <row r="329" spans="1:16" x14ac:dyDescent="0.3">
      <c r="A329" s="61">
        <v>13</v>
      </c>
      <c r="B329" s="61">
        <v>12</v>
      </c>
      <c r="C329" s="97"/>
      <c r="D329" s="79"/>
      <c r="E329" s="79"/>
      <c r="F329" s="79"/>
      <c r="G329" s="94"/>
      <c r="I329" s="86" t="e">
        <f t="shared" si="13"/>
        <v>#DIV/0!</v>
      </c>
      <c r="J329" s="87" t="e">
        <f t="shared" si="13"/>
        <v>#DIV/0!</v>
      </c>
      <c r="K329" s="87" t="e">
        <f t="shared" si="13"/>
        <v>#DIV/0!</v>
      </c>
      <c r="L329" s="87" t="e">
        <f t="shared" si="13"/>
        <v>#DIV/0!</v>
      </c>
      <c r="M329" s="88" t="e">
        <f t="shared" si="13"/>
        <v>#DIV/0!</v>
      </c>
      <c r="O329" s="121" t="str">
        <f t="shared" si="14"/>
        <v>חיפה עיר תחתית</v>
      </c>
      <c r="P329" s="121" t="str">
        <f t="shared" si="14"/>
        <v>חיפה מפרץ</v>
      </c>
    </row>
    <row r="330" spans="1:16" x14ac:dyDescent="0.3">
      <c r="A330" s="61">
        <v>13</v>
      </c>
      <c r="B330" s="61">
        <v>13</v>
      </c>
      <c r="C330" s="97"/>
      <c r="D330" s="79"/>
      <c r="E330" s="79"/>
      <c r="F330" s="79"/>
      <c r="G330" s="94"/>
      <c r="I330" s="86" t="e">
        <f t="shared" si="13"/>
        <v>#DIV/0!</v>
      </c>
      <c r="J330" s="87" t="e">
        <f t="shared" si="13"/>
        <v>#DIV/0!</v>
      </c>
      <c r="K330" s="87" t="e">
        <f t="shared" si="13"/>
        <v>#DIV/0!</v>
      </c>
      <c r="L330" s="87" t="e">
        <f t="shared" si="13"/>
        <v>#DIV/0!</v>
      </c>
      <c r="M330" s="88" t="e">
        <f t="shared" si="13"/>
        <v>#DIV/0!</v>
      </c>
      <c r="O330" s="121" t="str">
        <f t="shared" si="14"/>
        <v>חיפה עיר תחתית</v>
      </c>
      <c r="P330" s="121" t="str">
        <f t="shared" si="14"/>
        <v>חיפה עיר תחתית</v>
      </c>
    </row>
    <row r="331" spans="1:16" x14ac:dyDescent="0.3">
      <c r="A331" s="61">
        <v>13</v>
      </c>
      <c r="B331" s="61">
        <v>14</v>
      </c>
      <c r="C331" s="97"/>
      <c r="D331" s="79"/>
      <c r="E331" s="79"/>
      <c r="F331" s="79"/>
      <c r="G331" s="94"/>
      <c r="I331" s="86" t="e">
        <f t="shared" si="13"/>
        <v>#DIV/0!</v>
      </c>
      <c r="J331" s="87" t="e">
        <f t="shared" si="13"/>
        <v>#DIV/0!</v>
      </c>
      <c r="K331" s="87" t="e">
        <f t="shared" si="13"/>
        <v>#DIV/0!</v>
      </c>
      <c r="L331" s="87" t="e">
        <f t="shared" si="13"/>
        <v>#DIV/0!</v>
      </c>
      <c r="M331" s="88" t="e">
        <f t="shared" si="13"/>
        <v>#DIV/0!</v>
      </c>
      <c r="O331" s="121" t="str">
        <f t="shared" si="14"/>
        <v>חיפה עיר תחתית</v>
      </c>
      <c r="P331" s="121" t="str">
        <f t="shared" si="14"/>
        <v>חיפה הדר-כרמל</v>
      </c>
    </row>
    <row r="332" spans="1:16" x14ac:dyDescent="0.3">
      <c r="A332" s="61">
        <v>13</v>
      </c>
      <c r="B332" s="61">
        <v>15</v>
      </c>
      <c r="C332" s="97"/>
      <c r="D332" s="79"/>
      <c r="E332" s="79"/>
      <c r="F332" s="79"/>
      <c r="G332" s="94"/>
      <c r="I332" s="86" t="e">
        <f t="shared" si="13"/>
        <v>#DIV/0!</v>
      </c>
      <c r="J332" s="87" t="e">
        <f t="shared" si="13"/>
        <v>#DIV/0!</v>
      </c>
      <c r="K332" s="87" t="e">
        <f t="shared" si="13"/>
        <v>#DIV/0!</v>
      </c>
      <c r="L332" s="87" t="e">
        <f t="shared" si="13"/>
        <v>#DIV/0!</v>
      </c>
      <c r="M332" s="88" t="e">
        <f t="shared" si="13"/>
        <v>#DIV/0!</v>
      </c>
      <c r="O332" s="121" t="str">
        <f t="shared" si="14"/>
        <v>חיפה עיר תחתית</v>
      </c>
      <c r="P332" s="121" t="str">
        <f t="shared" si="14"/>
        <v>חיפה מערב</v>
      </c>
    </row>
    <row r="333" spans="1:16" x14ac:dyDescent="0.3">
      <c r="A333" s="61">
        <v>13</v>
      </c>
      <c r="B333" s="61">
        <v>16</v>
      </c>
      <c r="C333" s="97"/>
      <c r="D333" s="79"/>
      <c r="E333" s="79"/>
      <c r="F333" s="79"/>
      <c r="G333" s="94"/>
      <c r="I333" s="86" t="e">
        <f t="shared" si="13"/>
        <v>#DIV/0!</v>
      </c>
      <c r="J333" s="87" t="e">
        <f t="shared" si="13"/>
        <v>#DIV/0!</v>
      </c>
      <c r="K333" s="87" t="e">
        <f t="shared" si="13"/>
        <v>#DIV/0!</v>
      </c>
      <c r="L333" s="87" t="e">
        <f t="shared" si="13"/>
        <v>#DIV/0!</v>
      </c>
      <c r="M333" s="88" t="e">
        <f t="shared" si="13"/>
        <v>#DIV/0!</v>
      </c>
      <c r="O333" s="121" t="str">
        <f t="shared" si="14"/>
        <v>חיפה עיר תחתית</v>
      </c>
      <c r="P333" s="121" t="str">
        <f t="shared" si="14"/>
        <v>חיפה כרמל</v>
      </c>
    </row>
    <row r="334" spans="1:16" x14ac:dyDescent="0.3">
      <c r="A334" s="61">
        <v>13</v>
      </c>
      <c r="B334" s="61">
        <v>17</v>
      </c>
      <c r="C334" s="97"/>
      <c r="D334" s="79"/>
      <c r="E334" s="79"/>
      <c r="F334" s="79"/>
      <c r="G334" s="94"/>
      <c r="I334" s="86" t="e">
        <f t="shared" si="13"/>
        <v>#DIV/0!</v>
      </c>
      <c r="J334" s="87" t="e">
        <f t="shared" si="13"/>
        <v>#DIV/0!</v>
      </c>
      <c r="K334" s="87" t="e">
        <f t="shared" si="13"/>
        <v>#DIV/0!</v>
      </c>
      <c r="L334" s="87" t="e">
        <f t="shared" si="13"/>
        <v>#DIV/0!</v>
      </c>
      <c r="M334" s="88" t="e">
        <f t="shared" si="13"/>
        <v>#DIV/0!</v>
      </c>
      <c r="O334" s="121" t="str">
        <f t="shared" si="14"/>
        <v>חיפה עיר תחתית</v>
      </c>
      <c r="P334" s="121" t="str">
        <f t="shared" si="14"/>
        <v>חיפה נווה שאנן</v>
      </c>
    </row>
    <row r="335" spans="1:16" x14ac:dyDescent="0.3">
      <c r="A335" s="61">
        <v>13</v>
      </c>
      <c r="B335" s="61">
        <v>18</v>
      </c>
      <c r="C335" s="97"/>
      <c r="D335" s="79"/>
      <c r="E335" s="79"/>
      <c r="F335" s="79"/>
      <c r="G335" s="94"/>
      <c r="I335" s="86" t="e">
        <f t="shared" si="13"/>
        <v>#DIV/0!</v>
      </c>
      <c r="J335" s="87" t="e">
        <f t="shared" si="13"/>
        <v>#DIV/0!</v>
      </c>
      <c r="K335" s="87" t="e">
        <f t="shared" si="13"/>
        <v>#DIV/0!</v>
      </c>
      <c r="L335" s="87" t="e">
        <f t="shared" si="13"/>
        <v>#DIV/0!</v>
      </c>
      <c r="M335" s="88" t="e">
        <f t="shared" si="13"/>
        <v>#DIV/0!</v>
      </c>
      <c r="O335" s="121" t="str">
        <f t="shared" si="14"/>
        <v>חיפה עיר תחתית</v>
      </c>
      <c r="P335" s="121" t="str">
        <f t="shared" si="14"/>
        <v>נשר</v>
      </c>
    </row>
    <row r="336" spans="1:16" x14ac:dyDescent="0.3">
      <c r="A336" s="61">
        <v>13</v>
      </c>
      <c r="B336" s="61">
        <v>19</v>
      </c>
      <c r="C336" s="97"/>
      <c r="D336" s="79"/>
      <c r="E336" s="79"/>
      <c r="F336" s="79"/>
      <c r="G336" s="94"/>
      <c r="I336" s="86" t="e">
        <f t="shared" si="13"/>
        <v>#DIV/0!</v>
      </c>
      <c r="J336" s="87" t="e">
        <f t="shared" si="13"/>
        <v>#DIV/0!</v>
      </c>
      <c r="K336" s="87" t="e">
        <f t="shared" si="13"/>
        <v>#DIV/0!</v>
      </c>
      <c r="L336" s="87" t="e">
        <f t="shared" si="13"/>
        <v>#DIV/0!</v>
      </c>
      <c r="M336" s="88" t="e">
        <f t="shared" si="13"/>
        <v>#DIV/0!</v>
      </c>
      <c r="O336" s="121" t="str">
        <f t="shared" si="14"/>
        <v>חיפה עיר תחתית</v>
      </c>
      <c r="P336" s="121" t="str">
        <f t="shared" si="14"/>
        <v>נצרת</v>
      </c>
    </row>
    <row r="337" spans="1:16" x14ac:dyDescent="0.3">
      <c r="A337" s="61">
        <v>13</v>
      </c>
      <c r="B337" s="61">
        <v>20</v>
      </c>
      <c r="C337" s="97"/>
      <c r="D337" s="79"/>
      <c r="E337" s="79"/>
      <c r="F337" s="79"/>
      <c r="G337" s="94"/>
      <c r="I337" s="86" t="e">
        <f t="shared" si="13"/>
        <v>#DIV/0!</v>
      </c>
      <c r="J337" s="87" t="e">
        <f t="shared" si="13"/>
        <v>#DIV/0!</v>
      </c>
      <c r="K337" s="87" t="e">
        <f t="shared" si="13"/>
        <v>#DIV/0!</v>
      </c>
      <c r="L337" s="87" t="e">
        <f t="shared" si="13"/>
        <v>#DIV/0!</v>
      </c>
      <c r="M337" s="88" t="e">
        <f t="shared" si="13"/>
        <v>#DIV/0!</v>
      </c>
      <c r="O337" s="121" t="str">
        <f t="shared" si="14"/>
        <v>חיפה עיר תחתית</v>
      </c>
      <c r="P337" s="121" t="str">
        <f t="shared" si="14"/>
        <v>נצרת-עילית</v>
      </c>
    </row>
    <row r="338" spans="1:16" x14ac:dyDescent="0.3">
      <c r="A338" s="61">
        <v>13</v>
      </c>
      <c r="B338" s="61">
        <v>21</v>
      </c>
      <c r="C338" s="97"/>
      <c r="D338" s="79"/>
      <c r="E338" s="79"/>
      <c r="F338" s="79"/>
      <c r="G338" s="94"/>
      <c r="I338" s="86" t="e">
        <f t="shared" si="13"/>
        <v>#DIV/0!</v>
      </c>
      <c r="J338" s="87" t="e">
        <f t="shared" si="13"/>
        <v>#DIV/0!</v>
      </c>
      <c r="K338" s="87" t="e">
        <f t="shared" si="13"/>
        <v>#DIV/0!</v>
      </c>
      <c r="L338" s="87" t="e">
        <f t="shared" si="13"/>
        <v>#DIV/0!</v>
      </c>
      <c r="M338" s="88" t="e">
        <f t="shared" si="13"/>
        <v>#DIV/0!</v>
      </c>
      <c r="O338" s="121" t="str">
        <f t="shared" si="14"/>
        <v>חיפה עיר תחתית</v>
      </c>
      <c r="P338" s="121" t="str">
        <f t="shared" si="14"/>
        <v>מגדל העמק</v>
      </c>
    </row>
    <row r="339" spans="1:16" x14ac:dyDescent="0.3">
      <c r="A339" s="61">
        <v>13</v>
      </c>
      <c r="B339" s="61">
        <v>22</v>
      </c>
      <c r="C339" s="97"/>
      <c r="D339" s="79"/>
      <c r="E339" s="79"/>
      <c r="F339" s="79"/>
      <c r="G339" s="94"/>
      <c r="I339" s="86" t="e">
        <f t="shared" si="13"/>
        <v>#DIV/0!</v>
      </c>
      <c r="J339" s="87" t="e">
        <f t="shared" si="13"/>
        <v>#DIV/0!</v>
      </c>
      <c r="K339" s="87" t="e">
        <f t="shared" si="13"/>
        <v>#DIV/0!</v>
      </c>
      <c r="L339" s="87" t="e">
        <f t="shared" si="13"/>
        <v>#DIV/0!</v>
      </c>
      <c r="M339" s="88" t="e">
        <f t="shared" si="13"/>
        <v>#DIV/0!</v>
      </c>
      <c r="O339" s="121" t="str">
        <f t="shared" si="14"/>
        <v>חיפה עיר תחתית</v>
      </c>
      <c r="P339" s="121" t="str">
        <f t="shared" si="14"/>
        <v>יוקנעם</v>
      </c>
    </row>
    <row r="340" spans="1:16" x14ac:dyDescent="0.3">
      <c r="A340" s="61">
        <v>13</v>
      </c>
      <c r="B340" s="61">
        <v>23</v>
      </c>
      <c r="C340" s="97"/>
      <c r="D340" s="79"/>
      <c r="E340" s="79"/>
      <c r="F340" s="79"/>
      <c r="G340" s="94"/>
      <c r="I340" s="86" t="e">
        <f t="shared" si="13"/>
        <v>#DIV/0!</v>
      </c>
      <c r="J340" s="87" t="e">
        <f t="shared" si="13"/>
        <v>#DIV/0!</v>
      </c>
      <c r="K340" s="87" t="e">
        <f t="shared" si="13"/>
        <v>#DIV/0!</v>
      </c>
      <c r="L340" s="87" t="e">
        <f t="shared" si="13"/>
        <v>#DIV/0!</v>
      </c>
      <c r="M340" s="88" t="e">
        <f t="shared" si="13"/>
        <v>#DIV/0!</v>
      </c>
      <c r="O340" s="121" t="str">
        <f t="shared" si="14"/>
        <v>חיפה עיר תחתית</v>
      </c>
      <c r="P340" s="121" t="str">
        <f t="shared" si="14"/>
        <v>דלית אל כרמל</v>
      </c>
    </row>
    <row r="341" spans="1:16" x14ac:dyDescent="0.3">
      <c r="A341" s="61">
        <v>13</v>
      </c>
      <c r="B341" s="61">
        <v>24</v>
      </c>
      <c r="C341" s="97"/>
      <c r="D341" s="79"/>
      <c r="E341" s="79"/>
      <c r="F341" s="79"/>
      <c r="G341" s="94"/>
      <c r="I341" s="86" t="e">
        <f t="shared" si="13"/>
        <v>#DIV/0!</v>
      </c>
      <c r="J341" s="87" t="e">
        <f t="shared" si="13"/>
        <v>#DIV/0!</v>
      </c>
      <c r="K341" s="87" t="e">
        <f t="shared" si="13"/>
        <v>#DIV/0!</v>
      </c>
      <c r="L341" s="87" t="e">
        <f t="shared" si="13"/>
        <v>#DIV/0!</v>
      </c>
      <c r="M341" s="88" t="e">
        <f t="shared" si="13"/>
        <v>#DIV/0!</v>
      </c>
      <c r="O341" s="121" t="str">
        <f t="shared" si="14"/>
        <v>חיפה עיר תחתית</v>
      </c>
      <c r="P341" s="121" t="str">
        <f t="shared" si="14"/>
        <v>חוף הכרמל</v>
      </c>
    </row>
    <row r="342" spans="1:16" x14ac:dyDescent="0.3">
      <c r="A342" s="61">
        <v>13</v>
      </c>
      <c r="B342" s="61">
        <v>25</v>
      </c>
      <c r="C342" s="97"/>
      <c r="D342" s="79"/>
      <c r="E342" s="79"/>
      <c r="F342" s="79"/>
      <c r="G342" s="94"/>
      <c r="I342" s="86" t="e">
        <f t="shared" si="13"/>
        <v>#DIV/0!</v>
      </c>
      <c r="J342" s="87" t="e">
        <f t="shared" si="13"/>
        <v>#DIV/0!</v>
      </c>
      <c r="K342" s="87" t="e">
        <f t="shared" si="13"/>
        <v>#DIV/0!</v>
      </c>
      <c r="L342" s="87" t="e">
        <f t="shared" si="13"/>
        <v>#DIV/0!</v>
      </c>
      <c r="M342" s="88" t="e">
        <f t="shared" si="13"/>
        <v>#DIV/0!</v>
      </c>
      <c r="O342" s="121" t="str">
        <f t="shared" si="14"/>
        <v>חיפה עיר תחתית</v>
      </c>
      <c r="P342" s="121" t="str">
        <f t="shared" si="14"/>
        <v>זכרון יעקב</v>
      </c>
    </row>
    <row r="343" spans="1:16" x14ac:dyDescent="0.3">
      <c r="A343" s="61">
        <v>13</v>
      </c>
      <c r="B343" s="61">
        <v>30</v>
      </c>
      <c r="C343" s="97"/>
      <c r="D343" s="79"/>
      <c r="E343" s="79"/>
      <c r="F343" s="79"/>
      <c r="G343" s="94"/>
      <c r="I343" s="86" t="e">
        <f t="shared" si="13"/>
        <v>#DIV/0!</v>
      </c>
      <c r="J343" s="87" t="e">
        <f t="shared" si="13"/>
        <v>#DIV/0!</v>
      </c>
      <c r="K343" s="87" t="e">
        <f t="shared" si="13"/>
        <v>#DIV/0!</v>
      </c>
      <c r="L343" s="87" t="e">
        <f t="shared" si="13"/>
        <v>#DIV/0!</v>
      </c>
      <c r="M343" s="88" t="e">
        <f t="shared" si="13"/>
        <v>#DIV/0!</v>
      </c>
      <c r="O343" s="121" t="str">
        <f t="shared" si="14"/>
        <v>חיפה עיר תחתית</v>
      </c>
      <c r="P343" s="121" t="str">
        <f t="shared" si="14"/>
        <v>סכנין</v>
      </c>
    </row>
    <row r="344" spans="1:16" x14ac:dyDescent="0.3">
      <c r="A344" s="61">
        <v>14</v>
      </c>
      <c r="B344" s="61">
        <v>1</v>
      </c>
      <c r="C344" s="97"/>
      <c r="D344" s="79"/>
      <c r="E344" s="79"/>
      <c r="F344" s="79"/>
      <c r="G344" s="94"/>
      <c r="I344" s="86" t="e">
        <f t="shared" si="13"/>
        <v>#DIV/0!</v>
      </c>
      <c r="J344" s="87" t="e">
        <f t="shared" si="13"/>
        <v>#DIV/0!</v>
      </c>
      <c r="K344" s="87" t="e">
        <f t="shared" si="13"/>
        <v>#DIV/0!</v>
      </c>
      <c r="L344" s="87" t="e">
        <f t="shared" si="13"/>
        <v>#DIV/0!</v>
      </c>
      <c r="M344" s="88" t="e">
        <f t="shared" si="13"/>
        <v>#DIV/0!</v>
      </c>
      <c r="O344" s="121" t="str">
        <f t="shared" si="14"/>
        <v>חיפה הדר-כרמל</v>
      </c>
      <c r="P344" s="121" t="str">
        <f t="shared" si="14"/>
        <v>נהריה</v>
      </c>
    </row>
    <row r="345" spans="1:16" x14ac:dyDescent="0.3">
      <c r="A345" s="61">
        <v>14</v>
      </c>
      <c r="B345" s="61">
        <v>2</v>
      </c>
      <c r="C345" s="97"/>
      <c r="D345" s="79"/>
      <c r="E345" s="79"/>
      <c r="F345" s="79"/>
      <c r="G345" s="94"/>
      <c r="I345" s="86" t="e">
        <f t="shared" si="13"/>
        <v>#DIV/0!</v>
      </c>
      <c r="J345" s="87" t="e">
        <f t="shared" si="13"/>
        <v>#DIV/0!</v>
      </c>
      <c r="K345" s="87" t="e">
        <f t="shared" si="13"/>
        <v>#DIV/0!</v>
      </c>
      <c r="L345" s="87" t="e">
        <f t="shared" si="13"/>
        <v>#DIV/0!</v>
      </c>
      <c r="M345" s="88" t="e">
        <f t="shared" si="13"/>
        <v>#DIV/0!</v>
      </c>
      <c r="O345" s="121" t="str">
        <f t="shared" si="14"/>
        <v>חיפה הדר-כרמל</v>
      </c>
      <c r="P345" s="121" t="str">
        <f t="shared" si="14"/>
        <v>עכו</v>
      </c>
    </row>
    <row r="346" spans="1:16" x14ac:dyDescent="0.3">
      <c r="A346" s="61">
        <v>14</v>
      </c>
      <c r="B346" s="61">
        <v>3</v>
      </c>
      <c r="C346" s="97"/>
      <c r="D346" s="79"/>
      <c r="E346" s="79"/>
      <c r="F346" s="79"/>
      <c r="G346" s="94"/>
      <c r="I346" s="86" t="e">
        <f t="shared" si="13"/>
        <v>#DIV/0!</v>
      </c>
      <c r="J346" s="87" t="e">
        <f t="shared" si="13"/>
        <v>#DIV/0!</v>
      </c>
      <c r="K346" s="87" t="e">
        <f t="shared" si="13"/>
        <v>#DIV/0!</v>
      </c>
      <c r="L346" s="87" t="e">
        <f t="shared" si="13"/>
        <v>#DIV/0!</v>
      </c>
      <c r="M346" s="88" t="e">
        <f t="shared" si="13"/>
        <v>#DIV/0!</v>
      </c>
      <c r="O346" s="121" t="str">
        <f t="shared" si="14"/>
        <v>חיפה הדר-כרמל</v>
      </c>
      <c r="P346" s="121" t="str">
        <f t="shared" si="14"/>
        <v>כרמיאל</v>
      </c>
    </row>
    <row r="347" spans="1:16" x14ac:dyDescent="0.3">
      <c r="A347" s="61">
        <v>14</v>
      </c>
      <c r="B347" s="61">
        <v>4</v>
      </c>
      <c r="C347" s="97"/>
      <c r="D347" s="79"/>
      <c r="E347" s="79"/>
      <c r="F347" s="79"/>
      <c r="G347" s="94"/>
      <c r="I347" s="86" t="e">
        <f t="shared" si="13"/>
        <v>#DIV/0!</v>
      </c>
      <c r="J347" s="87" t="e">
        <f t="shared" si="13"/>
        <v>#DIV/0!</v>
      </c>
      <c r="K347" s="87" t="e">
        <f t="shared" si="13"/>
        <v>#DIV/0!</v>
      </c>
      <c r="L347" s="87" t="e">
        <f t="shared" si="13"/>
        <v>#DIV/0!</v>
      </c>
      <c r="M347" s="88" t="e">
        <f t="shared" si="13"/>
        <v>#DIV/0!</v>
      </c>
      <c r="O347" s="121" t="str">
        <f t="shared" si="14"/>
        <v>חיפה הדר-כרמל</v>
      </c>
      <c r="P347" s="121" t="str">
        <f t="shared" si="14"/>
        <v>שפרעם</v>
      </c>
    </row>
    <row r="348" spans="1:16" x14ac:dyDescent="0.3">
      <c r="A348" s="61">
        <v>14</v>
      </c>
      <c r="B348" s="61">
        <v>5</v>
      </c>
      <c r="C348" s="97"/>
      <c r="D348" s="79"/>
      <c r="E348" s="79"/>
      <c r="F348" s="79"/>
      <c r="G348" s="94"/>
      <c r="I348" s="86" t="e">
        <f t="shared" si="13"/>
        <v>#DIV/0!</v>
      </c>
      <c r="J348" s="87" t="e">
        <f t="shared" si="13"/>
        <v>#DIV/0!</v>
      </c>
      <c r="K348" s="87" t="e">
        <f t="shared" si="13"/>
        <v>#DIV/0!</v>
      </c>
      <c r="L348" s="87" t="e">
        <f t="shared" si="13"/>
        <v>#DIV/0!</v>
      </c>
      <c r="M348" s="88" t="e">
        <f t="shared" si="13"/>
        <v>#DIV/0!</v>
      </c>
      <c r="O348" s="121" t="str">
        <f t="shared" si="14"/>
        <v>חיפה הדר-כרמל</v>
      </c>
      <c r="P348" s="121" t="str">
        <f t="shared" si="14"/>
        <v>קרית ים</v>
      </c>
    </row>
    <row r="349" spans="1:16" x14ac:dyDescent="0.3">
      <c r="A349" s="61">
        <v>14</v>
      </c>
      <c r="B349" s="61">
        <v>6</v>
      </c>
      <c r="C349" s="97"/>
      <c r="D349" s="79"/>
      <c r="E349" s="79"/>
      <c r="F349" s="79"/>
      <c r="G349" s="94"/>
      <c r="I349" s="86" t="e">
        <f t="shared" si="13"/>
        <v>#DIV/0!</v>
      </c>
      <c r="J349" s="87" t="e">
        <f t="shared" si="13"/>
        <v>#DIV/0!</v>
      </c>
      <c r="K349" s="87" t="e">
        <f t="shared" si="13"/>
        <v>#DIV/0!</v>
      </c>
      <c r="L349" s="87" t="e">
        <f t="shared" si="13"/>
        <v>#DIV/0!</v>
      </c>
      <c r="M349" s="88" t="e">
        <f t="shared" si="13"/>
        <v>#DIV/0!</v>
      </c>
      <c r="O349" s="121" t="str">
        <f t="shared" si="14"/>
        <v>חיפה הדר-כרמל</v>
      </c>
      <c r="P349" s="121" t="str">
        <f t="shared" si="14"/>
        <v>קרית מוצקין</v>
      </c>
    </row>
    <row r="350" spans="1:16" x14ac:dyDescent="0.3">
      <c r="A350" s="61">
        <v>14</v>
      </c>
      <c r="B350" s="61">
        <v>7</v>
      </c>
      <c r="C350" s="97"/>
      <c r="D350" s="79"/>
      <c r="E350" s="79"/>
      <c r="F350" s="79"/>
      <c r="G350" s="94"/>
      <c r="I350" s="86" t="e">
        <f t="shared" si="13"/>
        <v>#DIV/0!</v>
      </c>
      <c r="J350" s="87" t="e">
        <f t="shared" si="13"/>
        <v>#DIV/0!</v>
      </c>
      <c r="K350" s="87" t="e">
        <f t="shared" si="13"/>
        <v>#DIV/0!</v>
      </c>
      <c r="L350" s="87" t="e">
        <f t="shared" si="13"/>
        <v>#DIV/0!</v>
      </c>
      <c r="M350" s="88" t="e">
        <f t="shared" si="13"/>
        <v>#DIV/0!</v>
      </c>
      <c r="O350" s="121" t="str">
        <f t="shared" si="14"/>
        <v>חיפה הדר-כרמל</v>
      </c>
      <c r="P350" s="121" t="str">
        <f t="shared" si="14"/>
        <v>קרית ביאליק</v>
      </c>
    </row>
    <row r="351" spans="1:16" x14ac:dyDescent="0.3">
      <c r="A351" s="61">
        <v>14</v>
      </c>
      <c r="B351" s="61">
        <v>8</v>
      </c>
      <c r="C351" s="97"/>
      <c r="D351" s="79"/>
      <c r="E351" s="79"/>
      <c r="F351" s="79"/>
      <c r="G351" s="94"/>
      <c r="I351" s="86" t="e">
        <f t="shared" si="13"/>
        <v>#DIV/0!</v>
      </c>
      <c r="J351" s="87" t="e">
        <f t="shared" si="13"/>
        <v>#DIV/0!</v>
      </c>
      <c r="K351" s="87" t="e">
        <f t="shared" si="13"/>
        <v>#DIV/0!</v>
      </c>
      <c r="L351" s="87" t="e">
        <f t="shared" si="13"/>
        <v>#DIV/0!</v>
      </c>
      <c r="M351" s="88" t="e">
        <f t="shared" si="13"/>
        <v>#DIV/0!</v>
      </c>
      <c r="O351" s="121" t="str">
        <f t="shared" si="14"/>
        <v>חיפה הדר-כרמל</v>
      </c>
      <c r="P351" s="121" t="str">
        <f t="shared" si="14"/>
        <v>קרית חיים</v>
      </c>
    </row>
    <row r="352" spans="1:16" x14ac:dyDescent="0.3">
      <c r="A352" s="61">
        <v>14</v>
      </c>
      <c r="B352" s="61">
        <v>9</v>
      </c>
      <c r="C352" s="97"/>
      <c r="D352" s="79"/>
      <c r="E352" s="79"/>
      <c r="F352" s="79"/>
      <c r="G352" s="94"/>
      <c r="I352" s="86" t="e">
        <f t="shared" si="13"/>
        <v>#DIV/0!</v>
      </c>
      <c r="J352" s="87" t="e">
        <f t="shared" si="13"/>
        <v>#DIV/0!</v>
      </c>
      <c r="K352" s="87" t="e">
        <f t="shared" si="13"/>
        <v>#DIV/0!</v>
      </c>
      <c r="L352" s="87" t="e">
        <f t="shared" si="13"/>
        <v>#DIV/0!</v>
      </c>
      <c r="M352" s="88" t="e">
        <f t="shared" si="13"/>
        <v>#DIV/0!</v>
      </c>
      <c r="O352" s="121" t="str">
        <f t="shared" si="14"/>
        <v>חיפה הדר-כרמל</v>
      </c>
      <c r="P352" s="121" t="str">
        <f t="shared" si="14"/>
        <v>קרית אתא</v>
      </c>
    </row>
    <row r="353" spans="1:16" x14ac:dyDescent="0.3">
      <c r="A353" s="61">
        <v>14</v>
      </c>
      <c r="B353" s="61">
        <v>10</v>
      </c>
      <c r="C353" s="97"/>
      <c r="D353" s="79"/>
      <c r="E353" s="79"/>
      <c r="F353" s="79"/>
      <c r="G353" s="94"/>
      <c r="I353" s="86" t="e">
        <f t="shared" si="13"/>
        <v>#DIV/0!</v>
      </c>
      <c r="J353" s="87" t="e">
        <f t="shared" si="13"/>
        <v>#DIV/0!</v>
      </c>
      <c r="K353" s="87" t="e">
        <f t="shared" si="13"/>
        <v>#DIV/0!</v>
      </c>
      <c r="L353" s="87" t="e">
        <f t="shared" si="13"/>
        <v>#DIV/0!</v>
      </c>
      <c r="M353" s="88" t="e">
        <f t="shared" si="13"/>
        <v>#DIV/0!</v>
      </c>
      <c r="O353" s="121" t="str">
        <f t="shared" si="14"/>
        <v>חיפה הדר-כרמל</v>
      </c>
      <c r="P353" s="121" t="str">
        <f t="shared" si="14"/>
        <v>כפר מנדא</v>
      </c>
    </row>
    <row r="354" spans="1:16" x14ac:dyDescent="0.3">
      <c r="A354" s="61">
        <v>14</v>
      </c>
      <c r="B354" s="61">
        <v>11</v>
      </c>
      <c r="C354" s="97"/>
      <c r="D354" s="79"/>
      <c r="E354" s="79"/>
      <c r="F354" s="79"/>
      <c r="G354" s="94"/>
      <c r="I354" s="86" t="e">
        <f t="shared" si="13"/>
        <v>#DIV/0!</v>
      </c>
      <c r="J354" s="87" t="e">
        <f t="shared" si="13"/>
        <v>#DIV/0!</v>
      </c>
      <c r="K354" s="87" t="e">
        <f t="shared" si="13"/>
        <v>#DIV/0!</v>
      </c>
      <c r="L354" s="87" t="e">
        <f t="shared" si="13"/>
        <v>#DIV/0!</v>
      </c>
      <c r="M354" s="88" t="e">
        <f t="shared" si="13"/>
        <v>#DIV/0!</v>
      </c>
      <c r="O354" s="121" t="str">
        <f t="shared" si="14"/>
        <v>חיפה הדר-כרמל</v>
      </c>
      <c r="P354" s="121" t="str">
        <f t="shared" si="14"/>
        <v>זבולון</v>
      </c>
    </row>
    <row r="355" spans="1:16" x14ac:dyDescent="0.3">
      <c r="A355" s="61">
        <v>14</v>
      </c>
      <c r="B355" s="61">
        <v>12</v>
      </c>
      <c r="C355" s="97"/>
      <c r="D355" s="79"/>
      <c r="E355" s="79"/>
      <c r="F355" s="79"/>
      <c r="G355" s="94"/>
      <c r="I355" s="86" t="e">
        <f t="shared" si="13"/>
        <v>#DIV/0!</v>
      </c>
      <c r="J355" s="87" t="e">
        <f t="shared" si="13"/>
        <v>#DIV/0!</v>
      </c>
      <c r="K355" s="87" t="e">
        <f t="shared" si="13"/>
        <v>#DIV/0!</v>
      </c>
      <c r="L355" s="87" t="e">
        <f t="shared" si="13"/>
        <v>#DIV/0!</v>
      </c>
      <c r="M355" s="88" t="e">
        <f t="shared" si="13"/>
        <v>#DIV/0!</v>
      </c>
      <c r="O355" s="121" t="str">
        <f t="shared" si="14"/>
        <v>חיפה הדר-כרמל</v>
      </c>
      <c r="P355" s="121" t="str">
        <f t="shared" si="14"/>
        <v>חיפה מפרץ</v>
      </c>
    </row>
    <row r="356" spans="1:16" x14ac:dyDescent="0.3">
      <c r="A356" s="61">
        <v>14</v>
      </c>
      <c r="B356" s="61">
        <v>13</v>
      </c>
      <c r="C356" s="97"/>
      <c r="D356" s="79"/>
      <c r="E356" s="79"/>
      <c r="F356" s="79"/>
      <c r="G356" s="94"/>
      <c r="I356" s="86" t="e">
        <f t="shared" si="13"/>
        <v>#DIV/0!</v>
      </c>
      <c r="J356" s="87" t="e">
        <f t="shared" si="13"/>
        <v>#DIV/0!</v>
      </c>
      <c r="K356" s="87" t="e">
        <f t="shared" si="13"/>
        <v>#DIV/0!</v>
      </c>
      <c r="L356" s="87" t="e">
        <f t="shared" si="13"/>
        <v>#DIV/0!</v>
      </c>
      <c r="M356" s="88" t="e">
        <f t="shared" si="13"/>
        <v>#DIV/0!</v>
      </c>
      <c r="O356" s="121" t="str">
        <f t="shared" si="14"/>
        <v>חיפה הדר-כרמל</v>
      </c>
      <c r="P356" s="121" t="str">
        <f t="shared" si="14"/>
        <v>חיפה עיר תחתית</v>
      </c>
    </row>
    <row r="357" spans="1:16" x14ac:dyDescent="0.3">
      <c r="A357" s="61">
        <v>14</v>
      </c>
      <c r="B357" s="61">
        <v>14</v>
      </c>
      <c r="C357" s="97"/>
      <c r="D357" s="79"/>
      <c r="E357" s="79"/>
      <c r="F357" s="79"/>
      <c r="G357" s="94"/>
      <c r="I357" s="86" t="e">
        <f t="shared" si="13"/>
        <v>#DIV/0!</v>
      </c>
      <c r="J357" s="87" t="e">
        <f t="shared" si="13"/>
        <v>#DIV/0!</v>
      </c>
      <c r="K357" s="87" t="e">
        <f t="shared" si="13"/>
        <v>#DIV/0!</v>
      </c>
      <c r="L357" s="87" t="e">
        <f t="shared" si="13"/>
        <v>#DIV/0!</v>
      </c>
      <c r="M357" s="88" t="e">
        <f t="shared" si="13"/>
        <v>#DIV/0!</v>
      </c>
      <c r="O357" s="121" t="str">
        <f t="shared" si="14"/>
        <v>חיפה הדר-כרמל</v>
      </c>
      <c r="P357" s="121" t="str">
        <f t="shared" si="14"/>
        <v>חיפה הדר-כרמל</v>
      </c>
    </row>
    <row r="358" spans="1:16" x14ac:dyDescent="0.3">
      <c r="A358" s="61">
        <v>14</v>
      </c>
      <c r="B358" s="61">
        <v>15</v>
      </c>
      <c r="C358" s="97"/>
      <c r="D358" s="79"/>
      <c r="E358" s="79"/>
      <c r="F358" s="79"/>
      <c r="G358" s="94"/>
      <c r="I358" s="86" t="e">
        <f t="shared" si="13"/>
        <v>#DIV/0!</v>
      </c>
      <c r="J358" s="87" t="e">
        <f t="shared" si="13"/>
        <v>#DIV/0!</v>
      </c>
      <c r="K358" s="87" t="e">
        <f t="shared" si="13"/>
        <v>#DIV/0!</v>
      </c>
      <c r="L358" s="87" t="e">
        <f t="shared" si="13"/>
        <v>#DIV/0!</v>
      </c>
      <c r="M358" s="88" t="e">
        <f t="shared" si="13"/>
        <v>#DIV/0!</v>
      </c>
      <c r="O358" s="121" t="str">
        <f t="shared" si="14"/>
        <v>חיפה הדר-כרמל</v>
      </c>
      <c r="P358" s="121" t="str">
        <f t="shared" si="14"/>
        <v>חיפה מערב</v>
      </c>
    </row>
    <row r="359" spans="1:16" x14ac:dyDescent="0.3">
      <c r="A359" s="61">
        <v>14</v>
      </c>
      <c r="B359" s="61">
        <v>16</v>
      </c>
      <c r="C359" s="97"/>
      <c r="D359" s="79"/>
      <c r="E359" s="79"/>
      <c r="F359" s="79"/>
      <c r="G359" s="94"/>
      <c r="I359" s="86" t="e">
        <f t="shared" si="13"/>
        <v>#DIV/0!</v>
      </c>
      <c r="J359" s="87" t="e">
        <f t="shared" si="13"/>
        <v>#DIV/0!</v>
      </c>
      <c r="K359" s="87" t="e">
        <f t="shared" si="13"/>
        <v>#DIV/0!</v>
      </c>
      <c r="L359" s="87" t="e">
        <f t="shared" si="13"/>
        <v>#DIV/0!</v>
      </c>
      <c r="M359" s="88" t="e">
        <f t="shared" si="13"/>
        <v>#DIV/0!</v>
      </c>
      <c r="O359" s="121" t="str">
        <f t="shared" si="14"/>
        <v>חיפה הדר-כרמל</v>
      </c>
      <c r="P359" s="121" t="str">
        <f t="shared" si="14"/>
        <v>חיפה כרמל</v>
      </c>
    </row>
    <row r="360" spans="1:16" x14ac:dyDescent="0.3">
      <c r="A360" s="61">
        <v>14</v>
      </c>
      <c r="B360" s="61">
        <v>17</v>
      </c>
      <c r="C360" s="97"/>
      <c r="D360" s="79"/>
      <c r="E360" s="79"/>
      <c r="F360" s="79"/>
      <c r="G360" s="94"/>
      <c r="I360" s="86" t="e">
        <f t="shared" si="13"/>
        <v>#DIV/0!</v>
      </c>
      <c r="J360" s="87" t="e">
        <f t="shared" si="13"/>
        <v>#DIV/0!</v>
      </c>
      <c r="K360" s="87" t="e">
        <f t="shared" si="13"/>
        <v>#DIV/0!</v>
      </c>
      <c r="L360" s="87" t="e">
        <f t="shared" si="13"/>
        <v>#DIV/0!</v>
      </c>
      <c r="M360" s="88" t="e">
        <f t="shared" si="13"/>
        <v>#DIV/0!</v>
      </c>
      <c r="O360" s="121" t="str">
        <f t="shared" si="14"/>
        <v>חיפה הדר-כרמל</v>
      </c>
      <c r="P360" s="121" t="str">
        <f t="shared" si="14"/>
        <v>חיפה נווה שאנן</v>
      </c>
    </row>
    <row r="361" spans="1:16" x14ac:dyDescent="0.3">
      <c r="A361" s="61">
        <v>14</v>
      </c>
      <c r="B361" s="61">
        <v>18</v>
      </c>
      <c r="C361" s="97"/>
      <c r="D361" s="79"/>
      <c r="E361" s="79"/>
      <c r="F361" s="79"/>
      <c r="G361" s="94"/>
      <c r="I361" s="86" t="e">
        <f t="shared" si="13"/>
        <v>#DIV/0!</v>
      </c>
      <c r="J361" s="87" t="e">
        <f t="shared" si="13"/>
        <v>#DIV/0!</v>
      </c>
      <c r="K361" s="87" t="e">
        <f t="shared" si="13"/>
        <v>#DIV/0!</v>
      </c>
      <c r="L361" s="87" t="e">
        <f t="shared" si="13"/>
        <v>#DIV/0!</v>
      </c>
      <c r="M361" s="88" t="e">
        <f t="shared" si="13"/>
        <v>#DIV/0!</v>
      </c>
      <c r="O361" s="121" t="str">
        <f t="shared" si="14"/>
        <v>חיפה הדר-כרמל</v>
      </c>
      <c r="P361" s="121" t="str">
        <f t="shared" si="14"/>
        <v>נשר</v>
      </c>
    </row>
    <row r="362" spans="1:16" x14ac:dyDescent="0.3">
      <c r="A362" s="61">
        <v>14</v>
      </c>
      <c r="B362" s="61">
        <v>19</v>
      </c>
      <c r="C362" s="97"/>
      <c r="D362" s="79"/>
      <c r="E362" s="79"/>
      <c r="F362" s="79"/>
      <c r="G362" s="94"/>
      <c r="I362" s="86" t="e">
        <f t="shared" si="13"/>
        <v>#DIV/0!</v>
      </c>
      <c r="J362" s="87" t="e">
        <f t="shared" si="13"/>
        <v>#DIV/0!</v>
      </c>
      <c r="K362" s="87" t="e">
        <f t="shared" si="13"/>
        <v>#DIV/0!</v>
      </c>
      <c r="L362" s="87" t="e">
        <f t="shared" si="13"/>
        <v>#DIV/0!</v>
      </c>
      <c r="M362" s="88" t="e">
        <f t="shared" si="13"/>
        <v>#DIV/0!</v>
      </c>
      <c r="O362" s="121" t="str">
        <f t="shared" si="14"/>
        <v>חיפה הדר-כרמל</v>
      </c>
      <c r="P362" s="121" t="str">
        <f t="shared" si="14"/>
        <v>נצרת</v>
      </c>
    </row>
    <row r="363" spans="1:16" x14ac:dyDescent="0.3">
      <c r="A363" s="61">
        <v>14</v>
      </c>
      <c r="B363" s="61">
        <v>20</v>
      </c>
      <c r="C363" s="97"/>
      <c r="D363" s="79"/>
      <c r="E363" s="79"/>
      <c r="F363" s="79"/>
      <c r="G363" s="94"/>
      <c r="I363" s="86" t="e">
        <f t="shared" si="13"/>
        <v>#DIV/0!</v>
      </c>
      <c r="J363" s="87" t="e">
        <f t="shared" si="13"/>
        <v>#DIV/0!</v>
      </c>
      <c r="K363" s="87" t="e">
        <f t="shared" si="13"/>
        <v>#DIV/0!</v>
      </c>
      <c r="L363" s="87" t="e">
        <f t="shared" si="13"/>
        <v>#DIV/0!</v>
      </c>
      <c r="M363" s="88" t="e">
        <f t="shared" si="13"/>
        <v>#DIV/0!</v>
      </c>
      <c r="O363" s="121" t="str">
        <f t="shared" si="14"/>
        <v>חיפה הדר-כרמל</v>
      </c>
      <c r="P363" s="121" t="str">
        <f t="shared" si="14"/>
        <v>נצרת-עילית</v>
      </c>
    </row>
    <row r="364" spans="1:16" x14ac:dyDescent="0.3">
      <c r="A364" s="61">
        <v>14</v>
      </c>
      <c r="B364" s="61">
        <v>21</v>
      </c>
      <c r="C364" s="97"/>
      <c r="D364" s="79"/>
      <c r="E364" s="79"/>
      <c r="F364" s="79"/>
      <c r="G364" s="94"/>
      <c r="I364" s="86" t="e">
        <f t="shared" si="13"/>
        <v>#DIV/0!</v>
      </c>
      <c r="J364" s="87" t="e">
        <f t="shared" si="13"/>
        <v>#DIV/0!</v>
      </c>
      <c r="K364" s="87" t="e">
        <f t="shared" si="13"/>
        <v>#DIV/0!</v>
      </c>
      <c r="L364" s="87" t="e">
        <f t="shared" si="13"/>
        <v>#DIV/0!</v>
      </c>
      <c r="M364" s="88" t="e">
        <f t="shared" si="13"/>
        <v>#DIV/0!</v>
      </c>
      <c r="O364" s="121" t="str">
        <f t="shared" si="14"/>
        <v>חיפה הדר-כרמל</v>
      </c>
      <c r="P364" s="121" t="str">
        <f t="shared" si="14"/>
        <v>מגדל העמק</v>
      </c>
    </row>
    <row r="365" spans="1:16" x14ac:dyDescent="0.3">
      <c r="A365" s="61">
        <v>14</v>
      </c>
      <c r="B365" s="61">
        <v>22</v>
      </c>
      <c r="C365" s="97"/>
      <c r="D365" s="79"/>
      <c r="E365" s="79"/>
      <c r="F365" s="79"/>
      <c r="G365" s="94"/>
      <c r="I365" s="86" t="e">
        <f t="shared" si="13"/>
        <v>#DIV/0!</v>
      </c>
      <c r="J365" s="87" t="e">
        <f t="shared" si="13"/>
        <v>#DIV/0!</v>
      </c>
      <c r="K365" s="87" t="e">
        <f t="shared" si="13"/>
        <v>#DIV/0!</v>
      </c>
      <c r="L365" s="87" t="e">
        <f t="shared" si="13"/>
        <v>#DIV/0!</v>
      </c>
      <c r="M365" s="88" t="e">
        <f t="shared" si="13"/>
        <v>#DIV/0!</v>
      </c>
      <c r="O365" s="121" t="str">
        <f t="shared" si="14"/>
        <v>חיפה הדר-כרמל</v>
      </c>
      <c r="P365" s="121" t="str">
        <f t="shared" si="14"/>
        <v>יוקנעם</v>
      </c>
    </row>
    <row r="366" spans="1:16" x14ac:dyDescent="0.3">
      <c r="A366" s="61">
        <v>14</v>
      </c>
      <c r="B366" s="61">
        <v>23</v>
      </c>
      <c r="C366" s="97"/>
      <c r="D366" s="79"/>
      <c r="E366" s="79"/>
      <c r="F366" s="79"/>
      <c r="G366" s="94"/>
      <c r="I366" s="86" t="e">
        <f t="shared" si="13"/>
        <v>#DIV/0!</v>
      </c>
      <c r="J366" s="87" t="e">
        <f t="shared" si="13"/>
        <v>#DIV/0!</v>
      </c>
      <c r="K366" s="87" t="e">
        <f t="shared" si="13"/>
        <v>#DIV/0!</v>
      </c>
      <c r="L366" s="87" t="e">
        <f t="shared" si="13"/>
        <v>#DIV/0!</v>
      </c>
      <c r="M366" s="88" t="e">
        <f t="shared" si="13"/>
        <v>#DIV/0!</v>
      </c>
      <c r="O366" s="121" t="str">
        <f t="shared" si="14"/>
        <v>חיפה הדר-כרמל</v>
      </c>
      <c r="P366" s="121" t="str">
        <f t="shared" si="14"/>
        <v>דלית אל כרמל</v>
      </c>
    </row>
    <row r="367" spans="1:16" x14ac:dyDescent="0.3">
      <c r="A367" s="61">
        <v>14</v>
      </c>
      <c r="B367" s="61">
        <v>24</v>
      </c>
      <c r="C367" s="97"/>
      <c r="D367" s="79"/>
      <c r="E367" s="79"/>
      <c r="F367" s="79"/>
      <c r="G367" s="94"/>
      <c r="I367" s="86" t="e">
        <f t="shared" si="13"/>
        <v>#DIV/0!</v>
      </c>
      <c r="J367" s="87" t="e">
        <f t="shared" si="13"/>
        <v>#DIV/0!</v>
      </c>
      <c r="K367" s="87" t="e">
        <f t="shared" si="13"/>
        <v>#DIV/0!</v>
      </c>
      <c r="L367" s="87" t="e">
        <f t="shared" si="13"/>
        <v>#DIV/0!</v>
      </c>
      <c r="M367" s="88" t="e">
        <f t="shared" si="13"/>
        <v>#DIV/0!</v>
      </c>
      <c r="O367" s="121" t="str">
        <f t="shared" si="14"/>
        <v>חיפה הדר-כרמל</v>
      </c>
      <c r="P367" s="121" t="str">
        <f t="shared" si="14"/>
        <v>חוף הכרמל</v>
      </c>
    </row>
    <row r="368" spans="1:16" x14ac:dyDescent="0.3">
      <c r="A368" s="61">
        <v>14</v>
      </c>
      <c r="B368" s="61">
        <v>25</v>
      </c>
      <c r="C368" s="97"/>
      <c r="D368" s="79"/>
      <c r="E368" s="79"/>
      <c r="F368" s="79"/>
      <c r="G368" s="94"/>
      <c r="I368" s="86" t="e">
        <f t="shared" si="13"/>
        <v>#DIV/0!</v>
      </c>
      <c r="J368" s="87" t="e">
        <f t="shared" si="13"/>
        <v>#DIV/0!</v>
      </c>
      <c r="K368" s="87" t="e">
        <f t="shared" si="13"/>
        <v>#DIV/0!</v>
      </c>
      <c r="L368" s="87" t="e">
        <f t="shared" si="13"/>
        <v>#DIV/0!</v>
      </c>
      <c r="M368" s="88" t="e">
        <f t="shared" si="13"/>
        <v>#DIV/0!</v>
      </c>
      <c r="O368" s="121" t="str">
        <f t="shared" si="14"/>
        <v>חיפה הדר-כרמל</v>
      </c>
      <c r="P368" s="121" t="str">
        <f t="shared" si="14"/>
        <v>זכרון יעקב</v>
      </c>
    </row>
    <row r="369" spans="1:16" x14ac:dyDescent="0.3">
      <c r="A369" s="61">
        <v>14</v>
      </c>
      <c r="B369" s="61">
        <v>30</v>
      </c>
      <c r="C369" s="97"/>
      <c r="D369" s="79"/>
      <c r="E369" s="79"/>
      <c r="F369" s="79"/>
      <c r="G369" s="94"/>
      <c r="I369" s="86" t="e">
        <f t="shared" si="13"/>
        <v>#DIV/0!</v>
      </c>
      <c r="J369" s="87" t="e">
        <f t="shared" si="13"/>
        <v>#DIV/0!</v>
      </c>
      <c r="K369" s="87" t="e">
        <f t="shared" si="13"/>
        <v>#DIV/0!</v>
      </c>
      <c r="L369" s="87" t="e">
        <f t="shared" si="13"/>
        <v>#DIV/0!</v>
      </c>
      <c r="M369" s="88" t="e">
        <f t="shared" si="13"/>
        <v>#DIV/0!</v>
      </c>
      <c r="O369" s="121" t="str">
        <f t="shared" si="14"/>
        <v>חיפה הדר-כרמל</v>
      </c>
      <c r="P369" s="121" t="str">
        <f t="shared" si="14"/>
        <v>סכנין</v>
      </c>
    </row>
    <row r="370" spans="1:16" x14ac:dyDescent="0.3">
      <c r="A370" s="61">
        <v>15</v>
      </c>
      <c r="B370" s="61">
        <v>1</v>
      </c>
      <c r="C370" s="97"/>
      <c r="D370" s="79"/>
      <c r="E370" s="79"/>
      <c r="F370" s="79"/>
      <c r="G370" s="94"/>
      <c r="I370" s="86" t="e">
        <f t="shared" si="13"/>
        <v>#DIV/0!</v>
      </c>
      <c r="J370" s="87" t="e">
        <f t="shared" si="13"/>
        <v>#DIV/0!</v>
      </c>
      <c r="K370" s="87" t="e">
        <f t="shared" si="13"/>
        <v>#DIV/0!</v>
      </c>
      <c r="L370" s="87" t="e">
        <f t="shared" si="13"/>
        <v>#DIV/0!</v>
      </c>
      <c r="M370" s="88" t="e">
        <f t="shared" si="13"/>
        <v>#DIV/0!</v>
      </c>
      <c r="O370" s="121" t="str">
        <f t="shared" si="14"/>
        <v>חיפה מערב</v>
      </c>
      <c r="P370" s="121" t="str">
        <f t="shared" si="14"/>
        <v>נהריה</v>
      </c>
    </row>
    <row r="371" spans="1:16" x14ac:dyDescent="0.3">
      <c r="A371" s="61">
        <v>15</v>
      </c>
      <c r="B371" s="61">
        <v>2</v>
      </c>
      <c r="C371" s="97"/>
      <c r="D371" s="79"/>
      <c r="E371" s="79"/>
      <c r="F371" s="79"/>
      <c r="G371" s="94"/>
      <c r="I371" s="86" t="e">
        <f t="shared" si="13"/>
        <v>#DIV/0!</v>
      </c>
      <c r="J371" s="87" t="e">
        <f t="shared" si="13"/>
        <v>#DIV/0!</v>
      </c>
      <c r="K371" s="87" t="e">
        <f t="shared" si="13"/>
        <v>#DIV/0!</v>
      </c>
      <c r="L371" s="87" t="e">
        <f t="shared" si="13"/>
        <v>#DIV/0!</v>
      </c>
      <c r="M371" s="88" t="e">
        <f t="shared" si="13"/>
        <v>#DIV/0!</v>
      </c>
      <c r="O371" s="121" t="str">
        <f t="shared" si="14"/>
        <v>חיפה מערב</v>
      </c>
      <c r="P371" s="121" t="str">
        <f t="shared" si="14"/>
        <v>עכו</v>
      </c>
    </row>
    <row r="372" spans="1:16" x14ac:dyDescent="0.3">
      <c r="A372" s="61">
        <v>15</v>
      </c>
      <c r="B372" s="61">
        <v>3</v>
      </c>
      <c r="C372" s="97"/>
      <c r="D372" s="79"/>
      <c r="E372" s="79"/>
      <c r="F372" s="79"/>
      <c r="G372" s="94"/>
      <c r="I372" s="86" t="e">
        <f t="shared" si="13"/>
        <v>#DIV/0!</v>
      </c>
      <c r="J372" s="87" t="e">
        <f t="shared" si="13"/>
        <v>#DIV/0!</v>
      </c>
      <c r="K372" s="87" t="e">
        <f t="shared" si="13"/>
        <v>#DIV/0!</v>
      </c>
      <c r="L372" s="87" t="e">
        <f t="shared" si="13"/>
        <v>#DIV/0!</v>
      </c>
      <c r="M372" s="88" t="e">
        <f t="shared" si="13"/>
        <v>#DIV/0!</v>
      </c>
      <c r="O372" s="121" t="str">
        <f t="shared" si="14"/>
        <v>חיפה מערב</v>
      </c>
      <c r="P372" s="121" t="str">
        <f t="shared" si="14"/>
        <v>כרמיאל</v>
      </c>
    </row>
    <row r="373" spans="1:16" x14ac:dyDescent="0.3">
      <c r="A373" s="61">
        <v>15</v>
      </c>
      <c r="B373" s="61">
        <v>4</v>
      </c>
      <c r="C373" s="97"/>
      <c r="D373" s="79"/>
      <c r="E373" s="79"/>
      <c r="F373" s="79"/>
      <c r="G373" s="94"/>
      <c r="I373" s="86" t="e">
        <f t="shared" si="13"/>
        <v>#DIV/0!</v>
      </c>
      <c r="J373" s="87" t="e">
        <f t="shared" si="13"/>
        <v>#DIV/0!</v>
      </c>
      <c r="K373" s="87" t="e">
        <f t="shared" si="13"/>
        <v>#DIV/0!</v>
      </c>
      <c r="L373" s="87" t="e">
        <f t="shared" si="13"/>
        <v>#DIV/0!</v>
      </c>
      <c r="M373" s="88" t="e">
        <f t="shared" si="13"/>
        <v>#DIV/0!</v>
      </c>
      <c r="O373" s="121" t="str">
        <f t="shared" si="14"/>
        <v>חיפה מערב</v>
      </c>
      <c r="P373" s="121" t="str">
        <f t="shared" si="14"/>
        <v>שפרעם</v>
      </c>
    </row>
    <row r="374" spans="1:16" x14ac:dyDescent="0.3">
      <c r="A374" s="61">
        <v>15</v>
      </c>
      <c r="B374" s="61">
        <v>5</v>
      </c>
      <c r="C374" s="97"/>
      <c r="D374" s="79"/>
      <c r="E374" s="79"/>
      <c r="F374" s="79"/>
      <c r="G374" s="94"/>
      <c r="I374" s="86" t="e">
        <f t="shared" si="13"/>
        <v>#DIV/0!</v>
      </c>
      <c r="J374" s="87" t="e">
        <f t="shared" si="13"/>
        <v>#DIV/0!</v>
      </c>
      <c r="K374" s="87" t="e">
        <f t="shared" si="13"/>
        <v>#DIV/0!</v>
      </c>
      <c r="L374" s="87" t="e">
        <f t="shared" si="13"/>
        <v>#DIV/0!</v>
      </c>
      <c r="M374" s="88" t="e">
        <f t="shared" si="13"/>
        <v>#DIV/0!</v>
      </c>
      <c r="O374" s="121" t="str">
        <f t="shared" si="14"/>
        <v>חיפה מערב</v>
      </c>
      <c r="P374" s="121" t="str">
        <f t="shared" si="14"/>
        <v>קרית ים</v>
      </c>
    </row>
    <row r="375" spans="1:16" x14ac:dyDescent="0.3">
      <c r="A375" s="61">
        <v>15</v>
      </c>
      <c r="B375" s="61">
        <v>6</v>
      </c>
      <c r="C375" s="97"/>
      <c r="D375" s="79"/>
      <c r="E375" s="79"/>
      <c r="F375" s="79"/>
      <c r="G375" s="94"/>
      <c r="I375" s="86" t="e">
        <f t="shared" si="13"/>
        <v>#DIV/0!</v>
      </c>
      <c r="J375" s="87" t="e">
        <f t="shared" si="13"/>
        <v>#DIV/0!</v>
      </c>
      <c r="K375" s="87" t="e">
        <f t="shared" si="13"/>
        <v>#DIV/0!</v>
      </c>
      <c r="L375" s="87" t="e">
        <f t="shared" si="13"/>
        <v>#DIV/0!</v>
      </c>
      <c r="M375" s="88" t="e">
        <f t="shared" si="13"/>
        <v>#DIV/0!</v>
      </c>
      <c r="O375" s="121" t="str">
        <f t="shared" si="14"/>
        <v>חיפה מערב</v>
      </c>
      <c r="P375" s="121" t="str">
        <f t="shared" si="14"/>
        <v>קרית מוצקין</v>
      </c>
    </row>
    <row r="376" spans="1:16" x14ac:dyDescent="0.3">
      <c r="A376" s="61">
        <v>15</v>
      </c>
      <c r="B376" s="61">
        <v>7</v>
      </c>
      <c r="C376" s="97"/>
      <c r="D376" s="79"/>
      <c r="E376" s="79"/>
      <c r="F376" s="79"/>
      <c r="G376" s="94"/>
      <c r="I376" s="86" t="e">
        <f t="shared" ref="I376:M426" si="15">C376/SUM($C376:$G376)</f>
        <v>#DIV/0!</v>
      </c>
      <c r="J376" s="87" t="e">
        <f t="shared" si="15"/>
        <v>#DIV/0!</v>
      </c>
      <c r="K376" s="87" t="e">
        <f t="shared" si="15"/>
        <v>#DIV/0!</v>
      </c>
      <c r="L376" s="87" t="e">
        <f t="shared" si="15"/>
        <v>#DIV/0!</v>
      </c>
      <c r="M376" s="88" t="e">
        <f t="shared" si="15"/>
        <v>#DIV/0!</v>
      </c>
      <c r="O376" s="121" t="str">
        <f t="shared" si="14"/>
        <v>חיפה מערב</v>
      </c>
      <c r="P376" s="121" t="str">
        <f t="shared" si="14"/>
        <v>קרית ביאליק</v>
      </c>
    </row>
    <row r="377" spans="1:16" x14ac:dyDescent="0.3">
      <c r="A377" s="61">
        <v>15</v>
      </c>
      <c r="B377" s="61">
        <v>8</v>
      </c>
      <c r="C377" s="97"/>
      <c r="D377" s="79"/>
      <c r="E377" s="79"/>
      <c r="F377" s="79"/>
      <c r="G377" s="94"/>
      <c r="I377" s="86" t="e">
        <f t="shared" si="15"/>
        <v>#DIV/0!</v>
      </c>
      <c r="J377" s="87" t="e">
        <f t="shared" si="15"/>
        <v>#DIV/0!</v>
      </c>
      <c r="K377" s="87" t="e">
        <f t="shared" si="15"/>
        <v>#DIV/0!</v>
      </c>
      <c r="L377" s="87" t="e">
        <f t="shared" si="15"/>
        <v>#DIV/0!</v>
      </c>
      <c r="M377" s="88" t="e">
        <f t="shared" si="15"/>
        <v>#DIV/0!</v>
      </c>
      <c r="O377" s="121" t="str">
        <f t="shared" si="14"/>
        <v>חיפה מערב</v>
      </c>
      <c r="P377" s="121" t="str">
        <f t="shared" si="14"/>
        <v>קרית חיים</v>
      </c>
    </row>
    <row r="378" spans="1:16" x14ac:dyDescent="0.3">
      <c r="A378" s="61">
        <v>15</v>
      </c>
      <c r="B378" s="61">
        <v>9</v>
      </c>
      <c r="C378" s="97"/>
      <c r="D378" s="79"/>
      <c r="E378" s="79"/>
      <c r="F378" s="79"/>
      <c r="G378" s="94"/>
      <c r="I378" s="86" t="e">
        <f t="shared" si="15"/>
        <v>#DIV/0!</v>
      </c>
      <c r="J378" s="87" t="e">
        <f t="shared" si="15"/>
        <v>#DIV/0!</v>
      </c>
      <c r="K378" s="87" t="e">
        <f t="shared" si="15"/>
        <v>#DIV/0!</v>
      </c>
      <c r="L378" s="87" t="e">
        <f t="shared" si="15"/>
        <v>#DIV/0!</v>
      </c>
      <c r="M378" s="88" t="e">
        <f t="shared" si="15"/>
        <v>#DIV/0!</v>
      </c>
      <c r="O378" s="121" t="str">
        <f t="shared" si="14"/>
        <v>חיפה מערב</v>
      </c>
      <c r="P378" s="121" t="str">
        <f t="shared" si="14"/>
        <v>קרית אתא</v>
      </c>
    </row>
    <row r="379" spans="1:16" x14ac:dyDescent="0.3">
      <c r="A379" s="61">
        <v>15</v>
      </c>
      <c r="B379" s="61">
        <v>10</v>
      </c>
      <c r="C379" s="97"/>
      <c r="D379" s="79"/>
      <c r="E379" s="79"/>
      <c r="F379" s="79"/>
      <c r="G379" s="94"/>
      <c r="I379" s="86" t="e">
        <f t="shared" si="15"/>
        <v>#DIV/0!</v>
      </c>
      <c r="J379" s="87" t="e">
        <f t="shared" si="15"/>
        <v>#DIV/0!</v>
      </c>
      <c r="K379" s="87" t="e">
        <f t="shared" si="15"/>
        <v>#DIV/0!</v>
      </c>
      <c r="L379" s="87" t="e">
        <f t="shared" si="15"/>
        <v>#DIV/0!</v>
      </c>
      <c r="M379" s="88" t="e">
        <f t="shared" si="15"/>
        <v>#DIV/0!</v>
      </c>
      <c r="O379" s="121" t="str">
        <f t="shared" si="14"/>
        <v>חיפה מערב</v>
      </c>
      <c r="P379" s="121" t="str">
        <f t="shared" si="14"/>
        <v>כפר מנדא</v>
      </c>
    </row>
    <row r="380" spans="1:16" x14ac:dyDescent="0.3">
      <c r="A380" s="61">
        <v>15</v>
      </c>
      <c r="B380" s="61">
        <v>11</v>
      </c>
      <c r="C380" s="97"/>
      <c r="D380" s="79"/>
      <c r="E380" s="79"/>
      <c r="F380" s="79"/>
      <c r="G380" s="94"/>
      <c r="I380" s="86" t="e">
        <f t="shared" si="15"/>
        <v>#DIV/0!</v>
      </c>
      <c r="J380" s="87" t="e">
        <f t="shared" si="15"/>
        <v>#DIV/0!</v>
      </c>
      <c r="K380" s="87" t="e">
        <f t="shared" si="15"/>
        <v>#DIV/0!</v>
      </c>
      <c r="L380" s="87" t="e">
        <f t="shared" si="15"/>
        <v>#DIV/0!</v>
      </c>
      <c r="M380" s="88" t="e">
        <f t="shared" si="15"/>
        <v>#DIV/0!</v>
      </c>
      <c r="O380" s="121" t="str">
        <f t="shared" si="14"/>
        <v>חיפה מערב</v>
      </c>
      <c r="P380" s="121" t="str">
        <f t="shared" si="14"/>
        <v>זבולון</v>
      </c>
    </row>
    <row r="381" spans="1:16" x14ac:dyDescent="0.3">
      <c r="A381" s="61">
        <v>15</v>
      </c>
      <c r="B381" s="61">
        <v>12</v>
      </c>
      <c r="C381" s="97"/>
      <c r="D381" s="79"/>
      <c r="E381" s="79"/>
      <c r="F381" s="79"/>
      <c r="G381" s="94"/>
      <c r="I381" s="86" t="e">
        <f t="shared" si="15"/>
        <v>#DIV/0!</v>
      </c>
      <c r="J381" s="87" t="e">
        <f t="shared" si="15"/>
        <v>#DIV/0!</v>
      </c>
      <c r="K381" s="87" t="e">
        <f t="shared" si="15"/>
        <v>#DIV/0!</v>
      </c>
      <c r="L381" s="87" t="e">
        <f t="shared" si="15"/>
        <v>#DIV/0!</v>
      </c>
      <c r="M381" s="88" t="e">
        <f t="shared" si="15"/>
        <v>#DIV/0!</v>
      </c>
      <c r="O381" s="121" t="str">
        <f t="shared" si="14"/>
        <v>חיפה מערב</v>
      </c>
      <c r="P381" s="121" t="str">
        <f t="shared" si="14"/>
        <v>חיפה מפרץ</v>
      </c>
    </row>
    <row r="382" spans="1:16" x14ac:dyDescent="0.3">
      <c r="A382" s="61">
        <v>15</v>
      </c>
      <c r="B382" s="61">
        <v>13</v>
      </c>
      <c r="C382" s="97"/>
      <c r="D382" s="79"/>
      <c r="E382" s="79"/>
      <c r="F382" s="79"/>
      <c r="G382" s="94"/>
      <c r="I382" s="86" t="e">
        <f t="shared" si="15"/>
        <v>#DIV/0!</v>
      </c>
      <c r="J382" s="87" t="e">
        <f t="shared" si="15"/>
        <v>#DIV/0!</v>
      </c>
      <c r="K382" s="87" t="e">
        <f t="shared" si="15"/>
        <v>#DIV/0!</v>
      </c>
      <c r="L382" s="87" t="e">
        <f t="shared" si="15"/>
        <v>#DIV/0!</v>
      </c>
      <c r="M382" s="88" t="e">
        <f t="shared" si="15"/>
        <v>#DIV/0!</v>
      </c>
      <c r="O382" s="121" t="str">
        <f t="shared" si="14"/>
        <v>חיפה מערב</v>
      </c>
      <c r="P382" s="121" t="str">
        <f t="shared" si="14"/>
        <v>חיפה עיר תחתית</v>
      </c>
    </row>
    <row r="383" spans="1:16" x14ac:dyDescent="0.3">
      <c r="A383" s="61">
        <v>15</v>
      </c>
      <c r="B383" s="61">
        <v>14</v>
      </c>
      <c r="C383" s="97"/>
      <c r="D383" s="79"/>
      <c r="E383" s="79"/>
      <c r="F383" s="79"/>
      <c r="G383" s="94"/>
      <c r="I383" s="86" t="e">
        <f t="shared" si="15"/>
        <v>#DIV/0!</v>
      </c>
      <c r="J383" s="87" t="e">
        <f t="shared" si="15"/>
        <v>#DIV/0!</v>
      </c>
      <c r="K383" s="87" t="e">
        <f t="shared" si="15"/>
        <v>#DIV/0!</v>
      </c>
      <c r="L383" s="87" t="e">
        <f t="shared" si="15"/>
        <v>#DIV/0!</v>
      </c>
      <c r="M383" s="88" t="e">
        <f t="shared" si="15"/>
        <v>#DIV/0!</v>
      </c>
      <c r="O383" s="121" t="str">
        <f t="shared" si="14"/>
        <v>חיפה מערב</v>
      </c>
      <c r="P383" s="121" t="str">
        <f t="shared" si="14"/>
        <v>חיפה הדר-כרמל</v>
      </c>
    </row>
    <row r="384" spans="1:16" x14ac:dyDescent="0.3">
      <c r="A384" s="61">
        <v>15</v>
      </c>
      <c r="B384" s="61">
        <v>15</v>
      </c>
      <c r="C384" s="97"/>
      <c r="D384" s="79"/>
      <c r="E384" s="79"/>
      <c r="F384" s="79"/>
      <c r="G384" s="94"/>
      <c r="I384" s="86" t="e">
        <f t="shared" si="15"/>
        <v>#DIV/0!</v>
      </c>
      <c r="J384" s="87" t="e">
        <f t="shared" si="15"/>
        <v>#DIV/0!</v>
      </c>
      <c r="K384" s="87" t="e">
        <f t="shared" si="15"/>
        <v>#DIV/0!</v>
      </c>
      <c r="L384" s="87" t="e">
        <f t="shared" si="15"/>
        <v>#DIV/0!</v>
      </c>
      <c r="M384" s="88" t="e">
        <f t="shared" si="15"/>
        <v>#DIV/0!</v>
      </c>
      <c r="O384" s="121" t="str">
        <f t="shared" si="14"/>
        <v>חיפה מערב</v>
      </c>
      <c r="P384" s="121" t="str">
        <f t="shared" si="14"/>
        <v>חיפה מערב</v>
      </c>
    </row>
    <row r="385" spans="1:16" x14ac:dyDescent="0.3">
      <c r="A385" s="61">
        <v>15</v>
      </c>
      <c r="B385" s="61">
        <v>16</v>
      </c>
      <c r="C385" s="97"/>
      <c r="D385" s="79"/>
      <c r="E385" s="79"/>
      <c r="F385" s="79"/>
      <c r="G385" s="94"/>
      <c r="I385" s="86" t="e">
        <f t="shared" si="15"/>
        <v>#DIV/0!</v>
      </c>
      <c r="J385" s="87" t="e">
        <f t="shared" si="15"/>
        <v>#DIV/0!</v>
      </c>
      <c r="K385" s="87" t="e">
        <f t="shared" si="15"/>
        <v>#DIV/0!</v>
      </c>
      <c r="L385" s="87" t="e">
        <f t="shared" si="15"/>
        <v>#DIV/0!</v>
      </c>
      <c r="M385" s="88" t="e">
        <f t="shared" si="15"/>
        <v>#DIV/0!</v>
      </c>
      <c r="O385" s="121" t="str">
        <f t="shared" si="14"/>
        <v>חיפה מערב</v>
      </c>
      <c r="P385" s="121" t="str">
        <f t="shared" si="14"/>
        <v>חיפה כרמל</v>
      </c>
    </row>
    <row r="386" spans="1:16" x14ac:dyDescent="0.3">
      <c r="A386" s="61">
        <v>15</v>
      </c>
      <c r="B386" s="61">
        <v>17</v>
      </c>
      <c r="C386" s="97"/>
      <c r="D386" s="79"/>
      <c r="E386" s="79"/>
      <c r="F386" s="79"/>
      <c r="G386" s="94"/>
      <c r="I386" s="86" t="e">
        <f t="shared" si="15"/>
        <v>#DIV/0!</v>
      </c>
      <c r="J386" s="87" t="e">
        <f t="shared" si="15"/>
        <v>#DIV/0!</v>
      </c>
      <c r="K386" s="87" t="e">
        <f t="shared" si="15"/>
        <v>#DIV/0!</v>
      </c>
      <c r="L386" s="87" t="e">
        <f t="shared" si="15"/>
        <v>#DIV/0!</v>
      </c>
      <c r="M386" s="88" t="e">
        <f t="shared" si="15"/>
        <v>#DIV/0!</v>
      </c>
      <c r="O386" s="121" t="str">
        <f t="shared" si="14"/>
        <v>חיפה מערב</v>
      </c>
      <c r="P386" s="121" t="str">
        <f t="shared" si="14"/>
        <v>חיפה נווה שאנן</v>
      </c>
    </row>
    <row r="387" spans="1:16" x14ac:dyDescent="0.3">
      <c r="A387" s="61">
        <v>15</v>
      </c>
      <c r="B387" s="61">
        <v>18</v>
      </c>
      <c r="C387" s="97"/>
      <c r="D387" s="79"/>
      <c r="E387" s="79"/>
      <c r="F387" s="79"/>
      <c r="G387" s="94"/>
      <c r="I387" s="86" t="e">
        <f t="shared" si="15"/>
        <v>#DIV/0!</v>
      </c>
      <c r="J387" s="87" t="e">
        <f t="shared" si="15"/>
        <v>#DIV/0!</v>
      </c>
      <c r="K387" s="87" t="e">
        <f t="shared" si="15"/>
        <v>#DIV/0!</v>
      </c>
      <c r="L387" s="87" t="e">
        <f t="shared" si="15"/>
        <v>#DIV/0!</v>
      </c>
      <c r="M387" s="88" t="e">
        <f t="shared" si="15"/>
        <v>#DIV/0!</v>
      </c>
      <c r="O387" s="121" t="str">
        <f t="shared" si="14"/>
        <v>חיפה מערב</v>
      </c>
      <c r="P387" s="121" t="str">
        <f t="shared" si="14"/>
        <v>נשר</v>
      </c>
    </row>
    <row r="388" spans="1:16" x14ac:dyDescent="0.3">
      <c r="A388" s="61">
        <v>15</v>
      </c>
      <c r="B388" s="61">
        <v>19</v>
      </c>
      <c r="C388" s="97"/>
      <c r="D388" s="79"/>
      <c r="E388" s="79"/>
      <c r="F388" s="79"/>
      <c r="G388" s="94"/>
      <c r="I388" s="86" t="e">
        <f t="shared" si="15"/>
        <v>#DIV/0!</v>
      </c>
      <c r="J388" s="87" t="e">
        <f t="shared" si="15"/>
        <v>#DIV/0!</v>
      </c>
      <c r="K388" s="87" t="e">
        <f t="shared" si="15"/>
        <v>#DIV/0!</v>
      </c>
      <c r="L388" s="87" t="e">
        <f t="shared" si="15"/>
        <v>#DIV/0!</v>
      </c>
      <c r="M388" s="88" t="e">
        <f t="shared" si="15"/>
        <v>#DIV/0!</v>
      </c>
      <c r="O388" s="121" t="str">
        <f t="shared" si="14"/>
        <v>חיפה מערב</v>
      </c>
      <c r="P388" s="121" t="str">
        <f t="shared" si="14"/>
        <v>נצרת</v>
      </c>
    </row>
    <row r="389" spans="1:16" x14ac:dyDescent="0.3">
      <c r="A389" s="61">
        <v>15</v>
      </c>
      <c r="B389" s="61">
        <v>20</v>
      </c>
      <c r="C389" s="97"/>
      <c r="D389" s="79"/>
      <c r="E389" s="79"/>
      <c r="F389" s="79"/>
      <c r="G389" s="94"/>
      <c r="I389" s="86" t="e">
        <f t="shared" si="15"/>
        <v>#DIV/0!</v>
      </c>
      <c r="J389" s="87" t="e">
        <f t="shared" si="15"/>
        <v>#DIV/0!</v>
      </c>
      <c r="K389" s="87" t="e">
        <f t="shared" si="15"/>
        <v>#DIV/0!</v>
      </c>
      <c r="L389" s="87" t="e">
        <f t="shared" si="15"/>
        <v>#DIV/0!</v>
      </c>
      <c r="M389" s="88" t="e">
        <f t="shared" si="15"/>
        <v>#DIV/0!</v>
      </c>
      <c r="O389" s="121" t="str">
        <f t="shared" si="14"/>
        <v>חיפה מערב</v>
      </c>
      <c r="P389" s="121" t="str">
        <f t="shared" si="14"/>
        <v>נצרת-עילית</v>
      </c>
    </row>
    <row r="390" spans="1:16" x14ac:dyDescent="0.3">
      <c r="A390" s="61">
        <v>15</v>
      </c>
      <c r="B390" s="61">
        <v>21</v>
      </c>
      <c r="C390" s="97"/>
      <c r="D390" s="79"/>
      <c r="E390" s="79"/>
      <c r="F390" s="79"/>
      <c r="G390" s="94"/>
      <c r="I390" s="86" t="e">
        <f t="shared" si="15"/>
        <v>#DIV/0!</v>
      </c>
      <c r="J390" s="87" t="e">
        <f t="shared" si="15"/>
        <v>#DIV/0!</v>
      </c>
      <c r="K390" s="87" t="e">
        <f t="shared" si="15"/>
        <v>#DIV/0!</v>
      </c>
      <c r="L390" s="87" t="e">
        <f t="shared" si="15"/>
        <v>#DIV/0!</v>
      </c>
      <c r="M390" s="88" t="e">
        <f t="shared" si="15"/>
        <v>#DIV/0!</v>
      </c>
      <c r="O390" s="121" t="str">
        <f t="shared" si="14"/>
        <v>חיפה מערב</v>
      </c>
      <c r="P390" s="121" t="str">
        <f t="shared" si="14"/>
        <v>מגדל העמק</v>
      </c>
    </row>
    <row r="391" spans="1:16" x14ac:dyDescent="0.3">
      <c r="A391" s="61">
        <v>15</v>
      </c>
      <c r="B391" s="61">
        <v>22</v>
      </c>
      <c r="C391" s="97"/>
      <c r="D391" s="79"/>
      <c r="E391" s="79"/>
      <c r="F391" s="79"/>
      <c r="G391" s="94"/>
      <c r="I391" s="86" t="e">
        <f t="shared" si="15"/>
        <v>#DIV/0!</v>
      </c>
      <c r="J391" s="87" t="e">
        <f t="shared" si="15"/>
        <v>#DIV/0!</v>
      </c>
      <c r="K391" s="87" t="e">
        <f t="shared" si="15"/>
        <v>#DIV/0!</v>
      </c>
      <c r="L391" s="87" t="e">
        <f t="shared" si="15"/>
        <v>#DIV/0!</v>
      </c>
      <c r="M391" s="88" t="e">
        <f t="shared" si="15"/>
        <v>#DIV/0!</v>
      </c>
      <c r="O391" s="121" t="str">
        <f t="shared" si="14"/>
        <v>חיפה מערב</v>
      </c>
      <c r="P391" s="121" t="str">
        <f t="shared" si="14"/>
        <v>יוקנעם</v>
      </c>
    </row>
    <row r="392" spans="1:16" x14ac:dyDescent="0.3">
      <c r="A392" s="61">
        <v>15</v>
      </c>
      <c r="B392" s="61">
        <v>23</v>
      </c>
      <c r="C392" s="97"/>
      <c r="D392" s="79"/>
      <c r="E392" s="79"/>
      <c r="F392" s="79"/>
      <c r="G392" s="94"/>
      <c r="I392" s="86" t="e">
        <f t="shared" si="15"/>
        <v>#DIV/0!</v>
      </c>
      <c r="J392" s="87" t="e">
        <f t="shared" si="15"/>
        <v>#DIV/0!</v>
      </c>
      <c r="K392" s="87" t="e">
        <f t="shared" si="15"/>
        <v>#DIV/0!</v>
      </c>
      <c r="L392" s="87" t="e">
        <f t="shared" si="15"/>
        <v>#DIV/0!</v>
      </c>
      <c r="M392" s="88" t="e">
        <f t="shared" si="15"/>
        <v>#DIV/0!</v>
      </c>
      <c r="O392" s="121" t="str">
        <f t="shared" ref="O392:P455" si="16">VLOOKUP(A392,$S$6:$T$31,2,0)</f>
        <v>חיפה מערב</v>
      </c>
      <c r="P392" s="121" t="str">
        <f t="shared" si="16"/>
        <v>דלית אל כרמל</v>
      </c>
    </row>
    <row r="393" spans="1:16" x14ac:dyDescent="0.3">
      <c r="A393" s="61">
        <v>15</v>
      </c>
      <c r="B393" s="61">
        <v>24</v>
      </c>
      <c r="C393" s="97"/>
      <c r="D393" s="79"/>
      <c r="E393" s="79"/>
      <c r="F393" s="79"/>
      <c r="G393" s="94"/>
      <c r="I393" s="86" t="e">
        <f t="shared" si="15"/>
        <v>#DIV/0!</v>
      </c>
      <c r="J393" s="87" t="e">
        <f t="shared" si="15"/>
        <v>#DIV/0!</v>
      </c>
      <c r="K393" s="87" t="e">
        <f t="shared" si="15"/>
        <v>#DIV/0!</v>
      </c>
      <c r="L393" s="87" t="e">
        <f t="shared" si="15"/>
        <v>#DIV/0!</v>
      </c>
      <c r="M393" s="88" t="e">
        <f t="shared" si="15"/>
        <v>#DIV/0!</v>
      </c>
      <c r="O393" s="121" t="str">
        <f t="shared" si="16"/>
        <v>חיפה מערב</v>
      </c>
      <c r="P393" s="121" t="str">
        <f t="shared" si="16"/>
        <v>חוף הכרמל</v>
      </c>
    </row>
    <row r="394" spans="1:16" x14ac:dyDescent="0.3">
      <c r="A394" s="61">
        <v>15</v>
      </c>
      <c r="B394" s="61">
        <v>25</v>
      </c>
      <c r="C394" s="97"/>
      <c r="D394" s="79"/>
      <c r="E394" s="79"/>
      <c r="F394" s="79"/>
      <c r="G394" s="94"/>
      <c r="I394" s="86" t="e">
        <f t="shared" si="15"/>
        <v>#DIV/0!</v>
      </c>
      <c r="J394" s="87" t="e">
        <f t="shared" si="15"/>
        <v>#DIV/0!</v>
      </c>
      <c r="K394" s="87" t="e">
        <f t="shared" si="15"/>
        <v>#DIV/0!</v>
      </c>
      <c r="L394" s="87" t="e">
        <f t="shared" si="15"/>
        <v>#DIV/0!</v>
      </c>
      <c r="M394" s="88" t="e">
        <f t="shared" si="15"/>
        <v>#DIV/0!</v>
      </c>
      <c r="O394" s="121" t="str">
        <f t="shared" si="16"/>
        <v>חיפה מערב</v>
      </c>
      <c r="P394" s="121" t="str">
        <f t="shared" si="16"/>
        <v>זכרון יעקב</v>
      </c>
    </row>
    <row r="395" spans="1:16" x14ac:dyDescent="0.3">
      <c r="A395" s="61">
        <v>15</v>
      </c>
      <c r="B395" s="61">
        <v>30</v>
      </c>
      <c r="C395" s="97"/>
      <c r="D395" s="79"/>
      <c r="E395" s="79"/>
      <c r="F395" s="79"/>
      <c r="G395" s="94"/>
      <c r="I395" s="86" t="e">
        <f t="shared" si="15"/>
        <v>#DIV/0!</v>
      </c>
      <c r="J395" s="87" t="e">
        <f t="shared" si="15"/>
        <v>#DIV/0!</v>
      </c>
      <c r="K395" s="87" t="e">
        <f t="shared" si="15"/>
        <v>#DIV/0!</v>
      </c>
      <c r="L395" s="87" t="e">
        <f t="shared" si="15"/>
        <v>#DIV/0!</v>
      </c>
      <c r="M395" s="88" t="e">
        <f t="shared" si="15"/>
        <v>#DIV/0!</v>
      </c>
      <c r="O395" s="121" t="str">
        <f t="shared" si="16"/>
        <v>חיפה מערב</v>
      </c>
      <c r="P395" s="121" t="str">
        <f t="shared" si="16"/>
        <v>סכנין</v>
      </c>
    </row>
    <row r="396" spans="1:16" x14ac:dyDescent="0.3">
      <c r="A396" s="61">
        <v>16</v>
      </c>
      <c r="B396" s="61">
        <v>1</v>
      </c>
      <c r="C396" s="97"/>
      <c r="D396" s="79"/>
      <c r="E396" s="79"/>
      <c r="F396" s="79"/>
      <c r="G396" s="94"/>
      <c r="I396" s="86" t="e">
        <f t="shared" si="15"/>
        <v>#DIV/0!</v>
      </c>
      <c r="J396" s="87" t="e">
        <f t="shared" si="15"/>
        <v>#DIV/0!</v>
      </c>
      <c r="K396" s="87" t="e">
        <f t="shared" si="15"/>
        <v>#DIV/0!</v>
      </c>
      <c r="L396" s="87" t="e">
        <f t="shared" si="15"/>
        <v>#DIV/0!</v>
      </c>
      <c r="M396" s="88" t="e">
        <f t="shared" si="15"/>
        <v>#DIV/0!</v>
      </c>
      <c r="O396" s="121" t="str">
        <f t="shared" si="16"/>
        <v>חיפה כרמל</v>
      </c>
      <c r="P396" s="121" t="str">
        <f t="shared" si="16"/>
        <v>נהריה</v>
      </c>
    </row>
    <row r="397" spans="1:16" x14ac:dyDescent="0.3">
      <c r="A397" s="61">
        <v>16</v>
      </c>
      <c r="B397" s="61">
        <v>2</v>
      </c>
      <c r="C397" s="97"/>
      <c r="D397" s="79"/>
      <c r="E397" s="79"/>
      <c r="F397" s="79"/>
      <c r="G397" s="94"/>
      <c r="I397" s="86" t="e">
        <f t="shared" si="15"/>
        <v>#DIV/0!</v>
      </c>
      <c r="J397" s="87" t="e">
        <f t="shared" si="15"/>
        <v>#DIV/0!</v>
      </c>
      <c r="K397" s="87" t="e">
        <f t="shared" si="15"/>
        <v>#DIV/0!</v>
      </c>
      <c r="L397" s="87" t="e">
        <f t="shared" si="15"/>
        <v>#DIV/0!</v>
      </c>
      <c r="M397" s="88" t="e">
        <f t="shared" si="15"/>
        <v>#DIV/0!</v>
      </c>
      <c r="O397" s="121" t="str">
        <f t="shared" si="16"/>
        <v>חיפה כרמל</v>
      </c>
      <c r="P397" s="121" t="str">
        <f t="shared" si="16"/>
        <v>עכו</v>
      </c>
    </row>
    <row r="398" spans="1:16" x14ac:dyDescent="0.3">
      <c r="A398" s="61">
        <v>16</v>
      </c>
      <c r="B398" s="61">
        <v>3</v>
      </c>
      <c r="C398" s="97"/>
      <c r="D398" s="79"/>
      <c r="E398" s="79"/>
      <c r="F398" s="79"/>
      <c r="G398" s="94"/>
      <c r="I398" s="86" t="e">
        <f t="shared" si="15"/>
        <v>#DIV/0!</v>
      </c>
      <c r="J398" s="87" t="e">
        <f t="shared" si="15"/>
        <v>#DIV/0!</v>
      </c>
      <c r="K398" s="87" t="e">
        <f t="shared" si="15"/>
        <v>#DIV/0!</v>
      </c>
      <c r="L398" s="87" t="e">
        <f t="shared" si="15"/>
        <v>#DIV/0!</v>
      </c>
      <c r="M398" s="88" t="e">
        <f t="shared" si="15"/>
        <v>#DIV/0!</v>
      </c>
      <c r="O398" s="121" t="str">
        <f t="shared" si="16"/>
        <v>חיפה כרמל</v>
      </c>
      <c r="P398" s="121" t="str">
        <f t="shared" si="16"/>
        <v>כרמיאל</v>
      </c>
    </row>
    <row r="399" spans="1:16" x14ac:dyDescent="0.3">
      <c r="A399" s="61">
        <v>16</v>
      </c>
      <c r="B399" s="61">
        <v>4</v>
      </c>
      <c r="C399" s="97"/>
      <c r="D399" s="79"/>
      <c r="E399" s="79"/>
      <c r="F399" s="79"/>
      <c r="G399" s="94"/>
      <c r="I399" s="86" t="e">
        <f t="shared" si="15"/>
        <v>#DIV/0!</v>
      </c>
      <c r="J399" s="87" t="e">
        <f t="shared" si="15"/>
        <v>#DIV/0!</v>
      </c>
      <c r="K399" s="87" t="e">
        <f t="shared" si="15"/>
        <v>#DIV/0!</v>
      </c>
      <c r="L399" s="87" t="e">
        <f t="shared" si="15"/>
        <v>#DIV/0!</v>
      </c>
      <c r="M399" s="88" t="e">
        <f t="shared" si="15"/>
        <v>#DIV/0!</v>
      </c>
      <c r="O399" s="121" t="str">
        <f t="shared" si="16"/>
        <v>חיפה כרמל</v>
      </c>
      <c r="P399" s="121" t="str">
        <f t="shared" si="16"/>
        <v>שפרעם</v>
      </c>
    </row>
    <row r="400" spans="1:16" x14ac:dyDescent="0.3">
      <c r="A400" s="61">
        <v>16</v>
      </c>
      <c r="B400" s="61">
        <v>5</v>
      </c>
      <c r="C400" s="97"/>
      <c r="D400" s="79"/>
      <c r="E400" s="79"/>
      <c r="F400" s="79"/>
      <c r="G400" s="94"/>
      <c r="I400" s="86" t="e">
        <f t="shared" si="15"/>
        <v>#DIV/0!</v>
      </c>
      <c r="J400" s="87" t="e">
        <f t="shared" si="15"/>
        <v>#DIV/0!</v>
      </c>
      <c r="K400" s="87" t="e">
        <f t="shared" si="15"/>
        <v>#DIV/0!</v>
      </c>
      <c r="L400" s="87" t="e">
        <f t="shared" si="15"/>
        <v>#DIV/0!</v>
      </c>
      <c r="M400" s="88" t="e">
        <f t="shared" si="15"/>
        <v>#DIV/0!</v>
      </c>
      <c r="O400" s="121" t="str">
        <f t="shared" si="16"/>
        <v>חיפה כרמל</v>
      </c>
      <c r="P400" s="121" t="str">
        <f t="shared" si="16"/>
        <v>קרית ים</v>
      </c>
    </row>
    <row r="401" spans="1:16" x14ac:dyDescent="0.3">
      <c r="A401" s="61">
        <v>16</v>
      </c>
      <c r="B401" s="61">
        <v>6</v>
      </c>
      <c r="C401" s="97"/>
      <c r="D401" s="79"/>
      <c r="E401" s="79"/>
      <c r="F401" s="79"/>
      <c r="G401" s="94"/>
      <c r="I401" s="86" t="e">
        <f t="shared" si="15"/>
        <v>#DIV/0!</v>
      </c>
      <c r="J401" s="87" t="e">
        <f t="shared" si="15"/>
        <v>#DIV/0!</v>
      </c>
      <c r="K401" s="87" t="e">
        <f t="shared" si="15"/>
        <v>#DIV/0!</v>
      </c>
      <c r="L401" s="87" t="e">
        <f t="shared" si="15"/>
        <v>#DIV/0!</v>
      </c>
      <c r="M401" s="88" t="e">
        <f t="shared" si="15"/>
        <v>#DIV/0!</v>
      </c>
      <c r="O401" s="121" t="str">
        <f t="shared" si="16"/>
        <v>חיפה כרמל</v>
      </c>
      <c r="P401" s="121" t="str">
        <f t="shared" si="16"/>
        <v>קרית מוצקין</v>
      </c>
    </row>
    <row r="402" spans="1:16" x14ac:dyDescent="0.3">
      <c r="A402" s="61">
        <v>16</v>
      </c>
      <c r="B402" s="61">
        <v>7</v>
      </c>
      <c r="C402" s="97"/>
      <c r="D402" s="79"/>
      <c r="E402" s="79"/>
      <c r="F402" s="79"/>
      <c r="G402" s="94"/>
      <c r="I402" s="86" t="e">
        <f t="shared" si="15"/>
        <v>#DIV/0!</v>
      </c>
      <c r="J402" s="87" t="e">
        <f t="shared" si="15"/>
        <v>#DIV/0!</v>
      </c>
      <c r="K402" s="87" t="e">
        <f t="shared" si="15"/>
        <v>#DIV/0!</v>
      </c>
      <c r="L402" s="87" t="e">
        <f t="shared" si="15"/>
        <v>#DIV/0!</v>
      </c>
      <c r="M402" s="88" t="e">
        <f t="shared" si="15"/>
        <v>#DIV/0!</v>
      </c>
      <c r="O402" s="121" t="str">
        <f t="shared" si="16"/>
        <v>חיפה כרמל</v>
      </c>
      <c r="P402" s="121" t="str">
        <f t="shared" si="16"/>
        <v>קרית ביאליק</v>
      </c>
    </row>
    <row r="403" spans="1:16" x14ac:dyDescent="0.3">
      <c r="A403" s="61">
        <v>16</v>
      </c>
      <c r="B403" s="61">
        <v>8</v>
      </c>
      <c r="C403" s="97"/>
      <c r="D403" s="79"/>
      <c r="E403" s="79"/>
      <c r="F403" s="79"/>
      <c r="G403" s="94"/>
      <c r="I403" s="86" t="e">
        <f t="shared" si="15"/>
        <v>#DIV/0!</v>
      </c>
      <c r="J403" s="87" t="e">
        <f t="shared" si="15"/>
        <v>#DIV/0!</v>
      </c>
      <c r="K403" s="87" t="e">
        <f t="shared" si="15"/>
        <v>#DIV/0!</v>
      </c>
      <c r="L403" s="87" t="e">
        <f t="shared" si="15"/>
        <v>#DIV/0!</v>
      </c>
      <c r="M403" s="88" t="e">
        <f t="shared" si="15"/>
        <v>#DIV/0!</v>
      </c>
      <c r="O403" s="121" t="str">
        <f t="shared" si="16"/>
        <v>חיפה כרמל</v>
      </c>
      <c r="P403" s="121" t="str">
        <f t="shared" si="16"/>
        <v>קרית חיים</v>
      </c>
    </row>
    <row r="404" spans="1:16" x14ac:dyDescent="0.3">
      <c r="A404" s="61">
        <v>16</v>
      </c>
      <c r="B404" s="61">
        <v>9</v>
      </c>
      <c r="C404" s="97"/>
      <c r="D404" s="79"/>
      <c r="E404" s="79"/>
      <c r="F404" s="79"/>
      <c r="G404" s="94"/>
      <c r="I404" s="86" t="e">
        <f t="shared" si="15"/>
        <v>#DIV/0!</v>
      </c>
      <c r="J404" s="87" t="e">
        <f t="shared" si="15"/>
        <v>#DIV/0!</v>
      </c>
      <c r="K404" s="87" t="e">
        <f t="shared" si="15"/>
        <v>#DIV/0!</v>
      </c>
      <c r="L404" s="87" t="e">
        <f t="shared" si="15"/>
        <v>#DIV/0!</v>
      </c>
      <c r="M404" s="88" t="e">
        <f t="shared" si="15"/>
        <v>#DIV/0!</v>
      </c>
      <c r="O404" s="121" t="str">
        <f t="shared" si="16"/>
        <v>חיפה כרמל</v>
      </c>
      <c r="P404" s="121" t="str">
        <f t="shared" si="16"/>
        <v>קרית אתא</v>
      </c>
    </row>
    <row r="405" spans="1:16" x14ac:dyDescent="0.3">
      <c r="A405" s="61">
        <v>16</v>
      </c>
      <c r="B405" s="61">
        <v>10</v>
      </c>
      <c r="C405" s="97"/>
      <c r="D405" s="79"/>
      <c r="E405" s="79"/>
      <c r="F405" s="79"/>
      <c r="G405" s="94"/>
      <c r="I405" s="86" t="e">
        <f t="shared" si="15"/>
        <v>#DIV/0!</v>
      </c>
      <c r="J405" s="87" t="e">
        <f t="shared" si="15"/>
        <v>#DIV/0!</v>
      </c>
      <c r="K405" s="87" t="e">
        <f t="shared" si="15"/>
        <v>#DIV/0!</v>
      </c>
      <c r="L405" s="87" t="e">
        <f t="shared" si="15"/>
        <v>#DIV/0!</v>
      </c>
      <c r="M405" s="88" t="e">
        <f t="shared" si="15"/>
        <v>#DIV/0!</v>
      </c>
      <c r="O405" s="121" t="str">
        <f t="shared" si="16"/>
        <v>חיפה כרמל</v>
      </c>
      <c r="P405" s="121" t="str">
        <f t="shared" si="16"/>
        <v>כפר מנדא</v>
      </c>
    </row>
    <row r="406" spans="1:16" x14ac:dyDescent="0.3">
      <c r="A406" s="61">
        <v>16</v>
      </c>
      <c r="B406" s="61">
        <v>11</v>
      </c>
      <c r="C406" s="97"/>
      <c r="D406" s="79"/>
      <c r="E406" s="79"/>
      <c r="F406" s="79"/>
      <c r="G406" s="94"/>
      <c r="I406" s="86" t="e">
        <f t="shared" si="15"/>
        <v>#DIV/0!</v>
      </c>
      <c r="J406" s="87" t="e">
        <f t="shared" si="15"/>
        <v>#DIV/0!</v>
      </c>
      <c r="K406" s="87" t="e">
        <f t="shared" si="15"/>
        <v>#DIV/0!</v>
      </c>
      <c r="L406" s="87" t="e">
        <f t="shared" si="15"/>
        <v>#DIV/0!</v>
      </c>
      <c r="M406" s="88" t="e">
        <f t="shared" si="15"/>
        <v>#DIV/0!</v>
      </c>
      <c r="O406" s="121" t="str">
        <f t="shared" si="16"/>
        <v>חיפה כרמל</v>
      </c>
      <c r="P406" s="121" t="str">
        <f t="shared" si="16"/>
        <v>זבולון</v>
      </c>
    </row>
    <row r="407" spans="1:16" x14ac:dyDescent="0.3">
      <c r="A407" s="61">
        <v>16</v>
      </c>
      <c r="B407" s="61">
        <v>12</v>
      </c>
      <c r="C407" s="97"/>
      <c r="D407" s="79"/>
      <c r="E407" s="79"/>
      <c r="F407" s="79"/>
      <c r="G407" s="94"/>
      <c r="I407" s="86" t="e">
        <f t="shared" si="15"/>
        <v>#DIV/0!</v>
      </c>
      <c r="J407" s="87" t="e">
        <f t="shared" si="15"/>
        <v>#DIV/0!</v>
      </c>
      <c r="K407" s="87" t="e">
        <f t="shared" si="15"/>
        <v>#DIV/0!</v>
      </c>
      <c r="L407" s="87" t="e">
        <f t="shared" si="15"/>
        <v>#DIV/0!</v>
      </c>
      <c r="M407" s="88" t="e">
        <f t="shared" si="15"/>
        <v>#DIV/0!</v>
      </c>
      <c r="O407" s="121" t="str">
        <f t="shared" si="16"/>
        <v>חיפה כרמל</v>
      </c>
      <c r="P407" s="121" t="str">
        <f t="shared" si="16"/>
        <v>חיפה מפרץ</v>
      </c>
    </row>
    <row r="408" spans="1:16" x14ac:dyDescent="0.3">
      <c r="A408" s="61">
        <v>16</v>
      </c>
      <c r="B408" s="61">
        <v>13</v>
      </c>
      <c r="C408" s="97"/>
      <c r="D408" s="79"/>
      <c r="E408" s="79"/>
      <c r="F408" s="79"/>
      <c r="G408" s="94"/>
      <c r="I408" s="86" t="e">
        <f t="shared" si="15"/>
        <v>#DIV/0!</v>
      </c>
      <c r="J408" s="87" t="e">
        <f t="shared" si="15"/>
        <v>#DIV/0!</v>
      </c>
      <c r="K408" s="87" t="e">
        <f t="shared" si="15"/>
        <v>#DIV/0!</v>
      </c>
      <c r="L408" s="87" t="e">
        <f t="shared" si="15"/>
        <v>#DIV/0!</v>
      </c>
      <c r="M408" s="88" t="e">
        <f t="shared" si="15"/>
        <v>#DIV/0!</v>
      </c>
      <c r="O408" s="121" t="str">
        <f t="shared" si="16"/>
        <v>חיפה כרמל</v>
      </c>
      <c r="P408" s="121" t="str">
        <f t="shared" si="16"/>
        <v>חיפה עיר תחתית</v>
      </c>
    </row>
    <row r="409" spans="1:16" x14ac:dyDescent="0.3">
      <c r="A409" s="61">
        <v>16</v>
      </c>
      <c r="B409" s="61">
        <v>14</v>
      </c>
      <c r="C409" s="97"/>
      <c r="D409" s="79"/>
      <c r="E409" s="79"/>
      <c r="F409" s="79"/>
      <c r="G409" s="94"/>
      <c r="I409" s="86" t="e">
        <f t="shared" si="15"/>
        <v>#DIV/0!</v>
      </c>
      <c r="J409" s="87" t="e">
        <f t="shared" si="15"/>
        <v>#DIV/0!</v>
      </c>
      <c r="K409" s="87" t="e">
        <f t="shared" si="15"/>
        <v>#DIV/0!</v>
      </c>
      <c r="L409" s="87" t="e">
        <f t="shared" si="15"/>
        <v>#DIV/0!</v>
      </c>
      <c r="M409" s="88" t="e">
        <f t="shared" si="15"/>
        <v>#DIV/0!</v>
      </c>
      <c r="O409" s="121" t="str">
        <f t="shared" si="16"/>
        <v>חיפה כרמל</v>
      </c>
      <c r="P409" s="121" t="str">
        <f t="shared" si="16"/>
        <v>חיפה הדר-כרמל</v>
      </c>
    </row>
    <row r="410" spans="1:16" x14ac:dyDescent="0.3">
      <c r="A410" s="61">
        <v>16</v>
      </c>
      <c r="B410" s="61">
        <v>15</v>
      </c>
      <c r="C410" s="97"/>
      <c r="D410" s="79"/>
      <c r="E410" s="79"/>
      <c r="F410" s="79"/>
      <c r="G410" s="94"/>
      <c r="I410" s="86" t="e">
        <f t="shared" si="15"/>
        <v>#DIV/0!</v>
      </c>
      <c r="J410" s="87" t="e">
        <f t="shared" si="15"/>
        <v>#DIV/0!</v>
      </c>
      <c r="K410" s="87" t="e">
        <f t="shared" si="15"/>
        <v>#DIV/0!</v>
      </c>
      <c r="L410" s="87" t="e">
        <f t="shared" si="15"/>
        <v>#DIV/0!</v>
      </c>
      <c r="M410" s="88" t="e">
        <f t="shared" si="15"/>
        <v>#DIV/0!</v>
      </c>
      <c r="O410" s="121" t="str">
        <f t="shared" si="16"/>
        <v>חיפה כרמל</v>
      </c>
      <c r="P410" s="121" t="str">
        <f t="shared" si="16"/>
        <v>חיפה מערב</v>
      </c>
    </row>
    <row r="411" spans="1:16" x14ac:dyDescent="0.3">
      <c r="A411" s="61">
        <v>16</v>
      </c>
      <c r="B411" s="61">
        <v>16</v>
      </c>
      <c r="C411" s="97"/>
      <c r="D411" s="79"/>
      <c r="E411" s="79"/>
      <c r="F411" s="79"/>
      <c r="G411" s="94"/>
      <c r="I411" s="86" t="e">
        <f t="shared" si="15"/>
        <v>#DIV/0!</v>
      </c>
      <c r="J411" s="87" t="e">
        <f t="shared" si="15"/>
        <v>#DIV/0!</v>
      </c>
      <c r="K411" s="87" t="e">
        <f t="shared" si="15"/>
        <v>#DIV/0!</v>
      </c>
      <c r="L411" s="87" t="e">
        <f t="shared" si="15"/>
        <v>#DIV/0!</v>
      </c>
      <c r="M411" s="88" t="e">
        <f t="shared" si="15"/>
        <v>#DIV/0!</v>
      </c>
      <c r="O411" s="121" t="str">
        <f t="shared" si="16"/>
        <v>חיפה כרמל</v>
      </c>
      <c r="P411" s="121" t="str">
        <f t="shared" si="16"/>
        <v>חיפה כרמל</v>
      </c>
    </row>
    <row r="412" spans="1:16" x14ac:dyDescent="0.3">
      <c r="A412" s="61">
        <v>16</v>
      </c>
      <c r="B412" s="61">
        <v>17</v>
      </c>
      <c r="C412" s="97"/>
      <c r="D412" s="79"/>
      <c r="E412" s="79"/>
      <c r="F412" s="79"/>
      <c r="G412" s="94"/>
      <c r="I412" s="86" t="e">
        <f t="shared" si="15"/>
        <v>#DIV/0!</v>
      </c>
      <c r="J412" s="87" t="e">
        <f t="shared" si="15"/>
        <v>#DIV/0!</v>
      </c>
      <c r="K412" s="87" t="e">
        <f t="shared" si="15"/>
        <v>#DIV/0!</v>
      </c>
      <c r="L412" s="87" t="e">
        <f t="shared" si="15"/>
        <v>#DIV/0!</v>
      </c>
      <c r="M412" s="88" t="e">
        <f t="shared" si="15"/>
        <v>#DIV/0!</v>
      </c>
      <c r="O412" s="121" t="str">
        <f t="shared" si="16"/>
        <v>חיפה כרמל</v>
      </c>
      <c r="P412" s="121" t="str">
        <f t="shared" si="16"/>
        <v>חיפה נווה שאנן</v>
      </c>
    </row>
    <row r="413" spans="1:16" x14ac:dyDescent="0.3">
      <c r="A413" s="61">
        <v>16</v>
      </c>
      <c r="B413" s="61">
        <v>18</v>
      </c>
      <c r="C413" s="97"/>
      <c r="D413" s="79"/>
      <c r="E413" s="79"/>
      <c r="F413" s="79"/>
      <c r="G413" s="94"/>
      <c r="I413" s="86" t="e">
        <f t="shared" si="15"/>
        <v>#DIV/0!</v>
      </c>
      <c r="J413" s="87" t="e">
        <f t="shared" si="15"/>
        <v>#DIV/0!</v>
      </c>
      <c r="K413" s="87" t="e">
        <f t="shared" si="15"/>
        <v>#DIV/0!</v>
      </c>
      <c r="L413" s="87" t="e">
        <f t="shared" si="15"/>
        <v>#DIV/0!</v>
      </c>
      <c r="M413" s="88" t="e">
        <f t="shared" si="15"/>
        <v>#DIV/0!</v>
      </c>
      <c r="O413" s="121" t="str">
        <f t="shared" si="16"/>
        <v>חיפה כרמל</v>
      </c>
      <c r="P413" s="121" t="str">
        <f t="shared" si="16"/>
        <v>נשר</v>
      </c>
    </row>
    <row r="414" spans="1:16" x14ac:dyDescent="0.3">
      <c r="A414" s="61">
        <v>16</v>
      </c>
      <c r="B414" s="61">
        <v>19</v>
      </c>
      <c r="C414" s="97"/>
      <c r="D414" s="79"/>
      <c r="E414" s="79"/>
      <c r="F414" s="79"/>
      <c r="G414" s="94"/>
      <c r="I414" s="86" t="e">
        <f t="shared" si="15"/>
        <v>#DIV/0!</v>
      </c>
      <c r="J414" s="87" t="e">
        <f t="shared" si="15"/>
        <v>#DIV/0!</v>
      </c>
      <c r="K414" s="87" t="e">
        <f t="shared" si="15"/>
        <v>#DIV/0!</v>
      </c>
      <c r="L414" s="87" t="e">
        <f t="shared" si="15"/>
        <v>#DIV/0!</v>
      </c>
      <c r="M414" s="88" t="e">
        <f t="shared" si="15"/>
        <v>#DIV/0!</v>
      </c>
      <c r="O414" s="121" t="str">
        <f t="shared" si="16"/>
        <v>חיפה כרמל</v>
      </c>
      <c r="P414" s="121" t="str">
        <f t="shared" si="16"/>
        <v>נצרת</v>
      </c>
    </row>
    <row r="415" spans="1:16" x14ac:dyDescent="0.3">
      <c r="A415" s="61">
        <v>16</v>
      </c>
      <c r="B415" s="61">
        <v>20</v>
      </c>
      <c r="C415" s="97"/>
      <c r="D415" s="79"/>
      <c r="E415" s="79"/>
      <c r="F415" s="79"/>
      <c r="G415" s="94"/>
      <c r="I415" s="86" t="e">
        <f t="shared" si="15"/>
        <v>#DIV/0!</v>
      </c>
      <c r="J415" s="87" t="e">
        <f t="shared" si="15"/>
        <v>#DIV/0!</v>
      </c>
      <c r="K415" s="87" t="e">
        <f t="shared" si="15"/>
        <v>#DIV/0!</v>
      </c>
      <c r="L415" s="87" t="e">
        <f t="shared" si="15"/>
        <v>#DIV/0!</v>
      </c>
      <c r="M415" s="88" t="e">
        <f t="shared" si="15"/>
        <v>#DIV/0!</v>
      </c>
      <c r="O415" s="121" t="str">
        <f t="shared" si="16"/>
        <v>חיפה כרמל</v>
      </c>
      <c r="P415" s="121" t="str">
        <f t="shared" si="16"/>
        <v>נצרת-עילית</v>
      </c>
    </row>
    <row r="416" spans="1:16" x14ac:dyDescent="0.3">
      <c r="A416" s="61">
        <v>16</v>
      </c>
      <c r="B416" s="61">
        <v>21</v>
      </c>
      <c r="C416" s="97"/>
      <c r="D416" s="79"/>
      <c r="E416" s="79"/>
      <c r="F416" s="79"/>
      <c r="G416" s="94"/>
      <c r="I416" s="86" t="e">
        <f t="shared" si="15"/>
        <v>#DIV/0!</v>
      </c>
      <c r="J416" s="87" t="e">
        <f t="shared" si="15"/>
        <v>#DIV/0!</v>
      </c>
      <c r="K416" s="87" t="e">
        <f t="shared" si="15"/>
        <v>#DIV/0!</v>
      </c>
      <c r="L416" s="87" t="e">
        <f t="shared" si="15"/>
        <v>#DIV/0!</v>
      </c>
      <c r="M416" s="88" t="e">
        <f t="shared" si="15"/>
        <v>#DIV/0!</v>
      </c>
      <c r="O416" s="121" t="str">
        <f t="shared" si="16"/>
        <v>חיפה כרמל</v>
      </c>
      <c r="P416" s="121" t="str">
        <f t="shared" si="16"/>
        <v>מגדל העמק</v>
      </c>
    </row>
    <row r="417" spans="1:16" x14ac:dyDescent="0.3">
      <c r="A417" s="61">
        <v>16</v>
      </c>
      <c r="B417" s="61">
        <v>22</v>
      </c>
      <c r="C417" s="97"/>
      <c r="D417" s="79"/>
      <c r="E417" s="79"/>
      <c r="F417" s="79"/>
      <c r="G417" s="94"/>
      <c r="I417" s="86" t="e">
        <f t="shared" si="15"/>
        <v>#DIV/0!</v>
      </c>
      <c r="J417" s="87" t="e">
        <f t="shared" si="15"/>
        <v>#DIV/0!</v>
      </c>
      <c r="K417" s="87" t="e">
        <f t="shared" si="15"/>
        <v>#DIV/0!</v>
      </c>
      <c r="L417" s="87" t="e">
        <f t="shared" si="15"/>
        <v>#DIV/0!</v>
      </c>
      <c r="M417" s="88" t="e">
        <f t="shared" si="15"/>
        <v>#DIV/0!</v>
      </c>
      <c r="O417" s="121" t="str">
        <f t="shared" si="16"/>
        <v>חיפה כרמל</v>
      </c>
      <c r="P417" s="121" t="str">
        <f t="shared" si="16"/>
        <v>יוקנעם</v>
      </c>
    </row>
    <row r="418" spans="1:16" x14ac:dyDescent="0.3">
      <c r="A418" s="61">
        <v>16</v>
      </c>
      <c r="B418" s="61">
        <v>23</v>
      </c>
      <c r="C418" s="97"/>
      <c r="D418" s="79"/>
      <c r="E418" s="79"/>
      <c r="F418" s="79"/>
      <c r="G418" s="94"/>
      <c r="I418" s="86" t="e">
        <f t="shared" si="15"/>
        <v>#DIV/0!</v>
      </c>
      <c r="J418" s="87" t="e">
        <f t="shared" si="15"/>
        <v>#DIV/0!</v>
      </c>
      <c r="K418" s="87" t="e">
        <f t="shared" si="15"/>
        <v>#DIV/0!</v>
      </c>
      <c r="L418" s="87" t="e">
        <f t="shared" si="15"/>
        <v>#DIV/0!</v>
      </c>
      <c r="M418" s="88" t="e">
        <f t="shared" si="15"/>
        <v>#DIV/0!</v>
      </c>
      <c r="O418" s="121" t="str">
        <f t="shared" si="16"/>
        <v>חיפה כרמל</v>
      </c>
      <c r="P418" s="121" t="str">
        <f t="shared" si="16"/>
        <v>דלית אל כרמל</v>
      </c>
    </row>
    <row r="419" spans="1:16" x14ac:dyDescent="0.3">
      <c r="A419" s="61">
        <v>16</v>
      </c>
      <c r="B419" s="61">
        <v>24</v>
      </c>
      <c r="C419" s="97"/>
      <c r="D419" s="79"/>
      <c r="E419" s="79"/>
      <c r="F419" s="79"/>
      <c r="G419" s="94"/>
      <c r="I419" s="86" t="e">
        <f t="shared" si="15"/>
        <v>#DIV/0!</v>
      </c>
      <c r="J419" s="87" t="e">
        <f t="shared" si="15"/>
        <v>#DIV/0!</v>
      </c>
      <c r="K419" s="87" t="e">
        <f t="shared" si="15"/>
        <v>#DIV/0!</v>
      </c>
      <c r="L419" s="87" t="e">
        <f t="shared" si="15"/>
        <v>#DIV/0!</v>
      </c>
      <c r="M419" s="88" t="e">
        <f t="shared" si="15"/>
        <v>#DIV/0!</v>
      </c>
      <c r="O419" s="121" t="str">
        <f t="shared" si="16"/>
        <v>חיפה כרמל</v>
      </c>
      <c r="P419" s="121" t="str">
        <f t="shared" si="16"/>
        <v>חוף הכרמל</v>
      </c>
    </row>
    <row r="420" spans="1:16" x14ac:dyDescent="0.3">
      <c r="A420" s="61">
        <v>16</v>
      </c>
      <c r="B420" s="61">
        <v>25</v>
      </c>
      <c r="C420" s="97"/>
      <c r="D420" s="79"/>
      <c r="E420" s="79"/>
      <c r="F420" s="79"/>
      <c r="G420" s="94"/>
      <c r="I420" s="86" t="e">
        <f t="shared" si="15"/>
        <v>#DIV/0!</v>
      </c>
      <c r="J420" s="87" t="e">
        <f t="shared" si="15"/>
        <v>#DIV/0!</v>
      </c>
      <c r="K420" s="87" t="e">
        <f t="shared" si="15"/>
        <v>#DIV/0!</v>
      </c>
      <c r="L420" s="87" t="e">
        <f t="shared" si="15"/>
        <v>#DIV/0!</v>
      </c>
      <c r="M420" s="88" t="e">
        <f t="shared" si="15"/>
        <v>#DIV/0!</v>
      </c>
      <c r="O420" s="121" t="str">
        <f t="shared" si="16"/>
        <v>חיפה כרמל</v>
      </c>
      <c r="P420" s="121" t="str">
        <f t="shared" si="16"/>
        <v>זכרון יעקב</v>
      </c>
    </row>
    <row r="421" spans="1:16" x14ac:dyDescent="0.3">
      <c r="A421" s="61">
        <v>16</v>
      </c>
      <c r="B421" s="61">
        <v>30</v>
      </c>
      <c r="C421" s="97"/>
      <c r="D421" s="79"/>
      <c r="E421" s="79"/>
      <c r="F421" s="79"/>
      <c r="G421" s="94"/>
      <c r="I421" s="86" t="e">
        <f t="shared" si="15"/>
        <v>#DIV/0!</v>
      </c>
      <c r="J421" s="87" t="e">
        <f t="shared" si="15"/>
        <v>#DIV/0!</v>
      </c>
      <c r="K421" s="87" t="e">
        <f t="shared" si="15"/>
        <v>#DIV/0!</v>
      </c>
      <c r="L421" s="87" t="e">
        <f t="shared" si="15"/>
        <v>#DIV/0!</v>
      </c>
      <c r="M421" s="88" t="e">
        <f t="shared" si="15"/>
        <v>#DIV/0!</v>
      </c>
      <c r="O421" s="121" t="str">
        <f t="shared" si="16"/>
        <v>חיפה כרמל</v>
      </c>
      <c r="P421" s="121" t="str">
        <f t="shared" si="16"/>
        <v>סכנין</v>
      </c>
    </row>
    <row r="422" spans="1:16" x14ac:dyDescent="0.3">
      <c r="A422" s="61">
        <v>17</v>
      </c>
      <c r="B422" s="61">
        <v>1</v>
      </c>
      <c r="C422" s="97"/>
      <c r="D422" s="79"/>
      <c r="E422" s="79"/>
      <c r="F422" s="79"/>
      <c r="G422" s="94"/>
      <c r="I422" s="86" t="e">
        <f t="shared" si="15"/>
        <v>#DIV/0!</v>
      </c>
      <c r="J422" s="87" t="e">
        <f t="shared" si="15"/>
        <v>#DIV/0!</v>
      </c>
      <c r="K422" s="87" t="e">
        <f t="shared" si="15"/>
        <v>#DIV/0!</v>
      </c>
      <c r="L422" s="87" t="e">
        <f t="shared" si="15"/>
        <v>#DIV/0!</v>
      </c>
      <c r="M422" s="88" t="e">
        <f t="shared" si="15"/>
        <v>#DIV/0!</v>
      </c>
      <c r="O422" s="121" t="str">
        <f t="shared" si="16"/>
        <v>חיפה נווה שאנן</v>
      </c>
      <c r="P422" s="121" t="str">
        <f t="shared" si="16"/>
        <v>נהריה</v>
      </c>
    </row>
    <row r="423" spans="1:16" x14ac:dyDescent="0.3">
      <c r="A423" s="61">
        <v>17</v>
      </c>
      <c r="B423" s="61">
        <v>2</v>
      </c>
      <c r="C423" s="97"/>
      <c r="D423" s="79"/>
      <c r="E423" s="79"/>
      <c r="F423" s="79"/>
      <c r="G423" s="94"/>
      <c r="I423" s="86" t="e">
        <f t="shared" si="15"/>
        <v>#DIV/0!</v>
      </c>
      <c r="J423" s="87" t="e">
        <f t="shared" si="15"/>
        <v>#DIV/0!</v>
      </c>
      <c r="K423" s="87" t="e">
        <f t="shared" si="15"/>
        <v>#DIV/0!</v>
      </c>
      <c r="L423" s="87" t="e">
        <f t="shared" si="15"/>
        <v>#DIV/0!</v>
      </c>
      <c r="M423" s="88" t="e">
        <f t="shared" si="15"/>
        <v>#DIV/0!</v>
      </c>
      <c r="O423" s="121" t="str">
        <f t="shared" si="16"/>
        <v>חיפה נווה שאנן</v>
      </c>
      <c r="P423" s="121" t="str">
        <f t="shared" si="16"/>
        <v>עכו</v>
      </c>
    </row>
    <row r="424" spans="1:16" x14ac:dyDescent="0.3">
      <c r="A424" s="61">
        <v>17</v>
      </c>
      <c r="B424" s="61">
        <v>3</v>
      </c>
      <c r="C424" s="97"/>
      <c r="D424" s="79"/>
      <c r="E424" s="79"/>
      <c r="F424" s="79"/>
      <c r="G424" s="94"/>
      <c r="I424" s="86" t="e">
        <f t="shared" si="15"/>
        <v>#DIV/0!</v>
      </c>
      <c r="J424" s="87" t="e">
        <f t="shared" si="15"/>
        <v>#DIV/0!</v>
      </c>
      <c r="K424" s="87" t="e">
        <f t="shared" si="15"/>
        <v>#DIV/0!</v>
      </c>
      <c r="L424" s="87" t="e">
        <f t="shared" si="15"/>
        <v>#DIV/0!</v>
      </c>
      <c r="M424" s="88" t="e">
        <f t="shared" si="15"/>
        <v>#DIV/0!</v>
      </c>
      <c r="O424" s="121" t="str">
        <f t="shared" si="16"/>
        <v>חיפה נווה שאנן</v>
      </c>
      <c r="P424" s="121" t="str">
        <f t="shared" si="16"/>
        <v>כרמיאל</v>
      </c>
    </row>
    <row r="425" spans="1:16" x14ac:dyDescent="0.3">
      <c r="A425" s="61">
        <v>17</v>
      </c>
      <c r="B425" s="61">
        <v>4</v>
      </c>
      <c r="C425" s="97"/>
      <c r="D425" s="79"/>
      <c r="E425" s="79"/>
      <c r="F425" s="79"/>
      <c r="G425" s="94"/>
      <c r="I425" s="86" t="e">
        <f t="shared" si="15"/>
        <v>#DIV/0!</v>
      </c>
      <c r="J425" s="87" t="e">
        <f t="shared" si="15"/>
        <v>#DIV/0!</v>
      </c>
      <c r="K425" s="87" t="e">
        <f t="shared" si="15"/>
        <v>#DIV/0!</v>
      </c>
      <c r="L425" s="87" t="e">
        <f t="shared" si="15"/>
        <v>#DIV/0!</v>
      </c>
      <c r="M425" s="88" t="e">
        <f t="shared" si="15"/>
        <v>#DIV/0!</v>
      </c>
      <c r="O425" s="121" t="str">
        <f t="shared" si="16"/>
        <v>חיפה נווה שאנן</v>
      </c>
      <c r="P425" s="121" t="str">
        <f t="shared" si="16"/>
        <v>שפרעם</v>
      </c>
    </row>
    <row r="426" spans="1:16" x14ac:dyDescent="0.3">
      <c r="A426" s="61">
        <v>17</v>
      </c>
      <c r="B426" s="61">
        <v>5</v>
      </c>
      <c r="C426" s="97"/>
      <c r="D426" s="79"/>
      <c r="E426" s="79"/>
      <c r="F426" s="79"/>
      <c r="G426" s="94"/>
      <c r="I426" s="86" t="e">
        <f t="shared" si="15"/>
        <v>#DIV/0!</v>
      </c>
      <c r="J426" s="87" t="e">
        <f t="shared" si="15"/>
        <v>#DIV/0!</v>
      </c>
      <c r="K426" s="87" t="e">
        <f t="shared" si="15"/>
        <v>#DIV/0!</v>
      </c>
      <c r="L426" s="87" t="e">
        <f t="shared" si="15"/>
        <v>#DIV/0!</v>
      </c>
      <c r="M426" s="88" t="e">
        <f t="shared" si="15"/>
        <v>#DIV/0!</v>
      </c>
      <c r="O426" s="121" t="str">
        <f t="shared" si="16"/>
        <v>חיפה נווה שאנן</v>
      </c>
      <c r="P426" s="121" t="str">
        <f t="shared" si="16"/>
        <v>קרית ים</v>
      </c>
    </row>
    <row r="427" spans="1:16" x14ac:dyDescent="0.3">
      <c r="A427" s="61">
        <v>17</v>
      </c>
      <c r="B427" s="61">
        <v>6</v>
      </c>
      <c r="C427" s="97"/>
      <c r="D427" s="79"/>
      <c r="E427" s="79"/>
      <c r="F427" s="79"/>
      <c r="G427" s="94"/>
      <c r="I427" s="86" t="e">
        <f t="shared" ref="I427:M477" si="17">C427/SUM($C427:$G427)</f>
        <v>#DIV/0!</v>
      </c>
      <c r="J427" s="87" t="e">
        <f t="shared" si="17"/>
        <v>#DIV/0!</v>
      </c>
      <c r="K427" s="87" t="e">
        <f t="shared" si="17"/>
        <v>#DIV/0!</v>
      </c>
      <c r="L427" s="87" t="e">
        <f t="shared" si="17"/>
        <v>#DIV/0!</v>
      </c>
      <c r="M427" s="88" t="e">
        <f t="shared" si="17"/>
        <v>#DIV/0!</v>
      </c>
      <c r="O427" s="121" t="str">
        <f t="shared" si="16"/>
        <v>חיפה נווה שאנן</v>
      </c>
      <c r="P427" s="121" t="str">
        <f t="shared" si="16"/>
        <v>קרית מוצקין</v>
      </c>
    </row>
    <row r="428" spans="1:16" x14ac:dyDescent="0.3">
      <c r="A428" s="61">
        <v>17</v>
      </c>
      <c r="B428" s="61">
        <v>7</v>
      </c>
      <c r="C428" s="97"/>
      <c r="D428" s="79"/>
      <c r="E428" s="79"/>
      <c r="F428" s="79"/>
      <c r="G428" s="94"/>
      <c r="I428" s="86" t="e">
        <f t="shared" si="17"/>
        <v>#DIV/0!</v>
      </c>
      <c r="J428" s="87" t="e">
        <f t="shared" si="17"/>
        <v>#DIV/0!</v>
      </c>
      <c r="K428" s="87" t="e">
        <f t="shared" si="17"/>
        <v>#DIV/0!</v>
      </c>
      <c r="L428" s="87" t="e">
        <f t="shared" si="17"/>
        <v>#DIV/0!</v>
      </c>
      <c r="M428" s="88" t="e">
        <f t="shared" si="17"/>
        <v>#DIV/0!</v>
      </c>
      <c r="O428" s="121" t="str">
        <f t="shared" si="16"/>
        <v>חיפה נווה שאנן</v>
      </c>
      <c r="P428" s="121" t="str">
        <f t="shared" si="16"/>
        <v>קרית ביאליק</v>
      </c>
    </row>
    <row r="429" spans="1:16" x14ac:dyDescent="0.3">
      <c r="A429" s="61">
        <v>17</v>
      </c>
      <c r="B429" s="61">
        <v>8</v>
      </c>
      <c r="C429" s="97"/>
      <c r="D429" s="79"/>
      <c r="E429" s="79"/>
      <c r="F429" s="79"/>
      <c r="G429" s="94"/>
      <c r="I429" s="86" t="e">
        <f t="shared" si="17"/>
        <v>#DIV/0!</v>
      </c>
      <c r="J429" s="87" t="e">
        <f t="shared" si="17"/>
        <v>#DIV/0!</v>
      </c>
      <c r="K429" s="87" t="e">
        <f t="shared" si="17"/>
        <v>#DIV/0!</v>
      </c>
      <c r="L429" s="87" t="e">
        <f t="shared" si="17"/>
        <v>#DIV/0!</v>
      </c>
      <c r="M429" s="88" t="e">
        <f t="shared" si="17"/>
        <v>#DIV/0!</v>
      </c>
      <c r="O429" s="121" t="str">
        <f t="shared" si="16"/>
        <v>חיפה נווה שאנן</v>
      </c>
      <c r="P429" s="121" t="str">
        <f t="shared" si="16"/>
        <v>קרית חיים</v>
      </c>
    </row>
    <row r="430" spans="1:16" x14ac:dyDescent="0.3">
      <c r="A430" s="61">
        <v>17</v>
      </c>
      <c r="B430" s="61">
        <v>9</v>
      </c>
      <c r="C430" s="97"/>
      <c r="D430" s="79"/>
      <c r="E430" s="79"/>
      <c r="F430" s="79"/>
      <c r="G430" s="94"/>
      <c r="I430" s="86" t="e">
        <f t="shared" si="17"/>
        <v>#DIV/0!</v>
      </c>
      <c r="J430" s="87" t="e">
        <f t="shared" si="17"/>
        <v>#DIV/0!</v>
      </c>
      <c r="K430" s="87" t="e">
        <f t="shared" si="17"/>
        <v>#DIV/0!</v>
      </c>
      <c r="L430" s="87" t="e">
        <f t="shared" si="17"/>
        <v>#DIV/0!</v>
      </c>
      <c r="M430" s="88" t="e">
        <f t="shared" si="17"/>
        <v>#DIV/0!</v>
      </c>
      <c r="O430" s="121" t="str">
        <f t="shared" si="16"/>
        <v>חיפה נווה שאנן</v>
      </c>
      <c r="P430" s="121" t="str">
        <f t="shared" si="16"/>
        <v>קרית אתא</v>
      </c>
    </row>
    <row r="431" spans="1:16" x14ac:dyDescent="0.3">
      <c r="A431" s="61">
        <v>17</v>
      </c>
      <c r="B431" s="61">
        <v>10</v>
      </c>
      <c r="C431" s="97"/>
      <c r="D431" s="79"/>
      <c r="E431" s="79"/>
      <c r="F431" s="79"/>
      <c r="G431" s="94"/>
      <c r="I431" s="86" t="e">
        <f t="shared" si="17"/>
        <v>#DIV/0!</v>
      </c>
      <c r="J431" s="87" t="e">
        <f t="shared" si="17"/>
        <v>#DIV/0!</v>
      </c>
      <c r="K431" s="87" t="e">
        <f t="shared" si="17"/>
        <v>#DIV/0!</v>
      </c>
      <c r="L431" s="87" t="e">
        <f t="shared" si="17"/>
        <v>#DIV/0!</v>
      </c>
      <c r="M431" s="88" t="e">
        <f t="shared" si="17"/>
        <v>#DIV/0!</v>
      </c>
      <c r="O431" s="121" t="str">
        <f t="shared" si="16"/>
        <v>חיפה נווה שאנן</v>
      </c>
      <c r="P431" s="121" t="str">
        <f t="shared" si="16"/>
        <v>כפר מנדא</v>
      </c>
    </row>
    <row r="432" spans="1:16" x14ac:dyDescent="0.3">
      <c r="A432" s="61">
        <v>17</v>
      </c>
      <c r="B432" s="61">
        <v>11</v>
      </c>
      <c r="C432" s="97"/>
      <c r="D432" s="79"/>
      <c r="E432" s="79"/>
      <c r="F432" s="79"/>
      <c r="G432" s="94"/>
      <c r="I432" s="86" t="e">
        <f t="shared" si="17"/>
        <v>#DIV/0!</v>
      </c>
      <c r="J432" s="87" t="e">
        <f t="shared" si="17"/>
        <v>#DIV/0!</v>
      </c>
      <c r="K432" s="87" t="e">
        <f t="shared" si="17"/>
        <v>#DIV/0!</v>
      </c>
      <c r="L432" s="87" t="e">
        <f t="shared" si="17"/>
        <v>#DIV/0!</v>
      </c>
      <c r="M432" s="88" t="e">
        <f t="shared" si="17"/>
        <v>#DIV/0!</v>
      </c>
      <c r="O432" s="121" t="str">
        <f t="shared" si="16"/>
        <v>חיפה נווה שאנן</v>
      </c>
      <c r="P432" s="121" t="str">
        <f t="shared" si="16"/>
        <v>זבולון</v>
      </c>
    </row>
    <row r="433" spans="1:16" x14ac:dyDescent="0.3">
      <c r="A433" s="61">
        <v>17</v>
      </c>
      <c r="B433" s="61">
        <v>12</v>
      </c>
      <c r="C433" s="97"/>
      <c r="D433" s="79"/>
      <c r="E433" s="79"/>
      <c r="F433" s="79"/>
      <c r="G433" s="94"/>
      <c r="I433" s="86" t="e">
        <f t="shared" si="17"/>
        <v>#DIV/0!</v>
      </c>
      <c r="J433" s="87" t="e">
        <f t="shared" si="17"/>
        <v>#DIV/0!</v>
      </c>
      <c r="K433" s="87" t="e">
        <f t="shared" si="17"/>
        <v>#DIV/0!</v>
      </c>
      <c r="L433" s="87" t="e">
        <f t="shared" si="17"/>
        <v>#DIV/0!</v>
      </c>
      <c r="M433" s="88" t="e">
        <f t="shared" si="17"/>
        <v>#DIV/0!</v>
      </c>
      <c r="O433" s="121" t="str">
        <f t="shared" si="16"/>
        <v>חיפה נווה שאנן</v>
      </c>
      <c r="P433" s="121" t="str">
        <f t="shared" si="16"/>
        <v>חיפה מפרץ</v>
      </c>
    </row>
    <row r="434" spans="1:16" x14ac:dyDescent="0.3">
      <c r="A434" s="61">
        <v>17</v>
      </c>
      <c r="B434" s="61">
        <v>13</v>
      </c>
      <c r="C434" s="97"/>
      <c r="D434" s="79"/>
      <c r="E434" s="79"/>
      <c r="F434" s="79"/>
      <c r="G434" s="94"/>
      <c r="I434" s="86" t="e">
        <f t="shared" si="17"/>
        <v>#DIV/0!</v>
      </c>
      <c r="J434" s="87" t="e">
        <f t="shared" si="17"/>
        <v>#DIV/0!</v>
      </c>
      <c r="K434" s="87" t="e">
        <f t="shared" si="17"/>
        <v>#DIV/0!</v>
      </c>
      <c r="L434" s="87" t="e">
        <f t="shared" si="17"/>
        <v>#DIV/0!</v>
      </c>
      <c r="M434" s="88" t="e">
        <f t="shared" si="17"/>
        <v>#DIV/0!</v>
      </c>
      <c r="O434" s="121" t="str">
        <f t="shared" si="16"/>
        <v>חיפה נווה שאנן</v>
      </c>
      <c r="P434" s="121" t="str">
        <f t="shared" si="16"/>
        <v>חיפה עיר תחתית</v>
      </c>
    </row>
    <row r="435" spans="1:16" x14ac:dyDescent="0.3">
      <c r="A435" s="61">
        <v>17</v>
      </c>
      <c r="B435" s="61">
        <v>14</v>
      </c>
      <c r="C435" s="97"/>
      <c r="D435" s="79"/>
      <c r="E435" s="79"/>
      <c r="F435" s="79"/>
      <c r="G435" s="94"/>
      <c r="I435" s="86" t="e">
        <f t="shared" si="17"/>
        <v>#DIV/0!</v>
      </c>
      <c r="J435" s="87" t="e">
        <f t="shared" si="17"/>
        <v>#DIV/0!</v>
      </c>
      <c r="K435" s="87" t="e">
        <f t="shared" si="17"/>
        <v>#DIV/0!</v>
      </c>
      <c r="L435" s="87" t="e">
        <f t="shared" si="17"/>
        <v>#DIV/0!</v>
      </c>
      <c r="M435" s="88" t="e">
        <f t="shared" si="17"/>
        <v>#DIV/0!</v>
      </c>
      <c r="O435" s="121" t="str">
        <f t="shared" si="16"/>
        <v>חיפה נווה שאנן</v>
      </c>
      <c r="P435" s="121" t="str">
        <f t="shared" si="16"/>
        <v>חיפה הדר-כרמל</v>
      </c>
    </row>
    <row r="436" spans="1:16" x14ac:dyDescent="0.3">
      <c r="A436" s="61">
        <v>17</v>
      </c>
      <c r="B436" s="61">
        <v>15</v>
      </c>
      <c r="C436" s="97"/>
      <c r="D436" s="79"/>
      <c r="E436" s="79"/>
      <c r="F436" s="79"/>
      <c r="G436" s="94"/>
      <c r="I436" s="86" t="e">
        <f t="shared" si="17"/>
        <v>#DIV/0!</v>
      </c>
      <c r="J436" s="87" t="e">
        <f t="shared" si="17"/>
        <v>#DIV/0!</v>
      </c>
      <c r="K436" s="87" t="e">
        <f t="shared" si="17"/>
        <v>#DIV/0!</v>
      </c>
      <c r="L436" s="87" t="e">
        <f t="shared" si="17"/>
        <v>#DIV/0!</v>
      </c>
      <c r="M436" s="88" t="e">
        <f t="shared" si="17"/>
        <v>#DIV/0!</v>
      </c>
      <c r="O436" s="121" t="str">
        <f t="shared" si="16"/>
        <v>חיפה נווה שאנן</v>
      </c>
      <c r="P436" s="121" t="str">
        <f t="shared" si="16"/>
        <v>חיפה מערב</v>
      </c>
    </row>
    <row r="437" spans="1:16" x14ac:dyDescent="0.3">
      <c r="A437" s="61">
        <v>17</v>
      </c>
      <c r="B437" s="61">
        <v>16</v>
      </c>
      <c r="C437" s="97"/>
      <c r="D437" s="79"/>
      <c r="E437" s="79"/>
      <c r="F437" s="79"/>
      <c r="G437" s="94"/>
      <c r="I437" s="86" t="e">
        <f t="shared" si="17"/>
        <v>#DIV/0!</v>
      </c>
      <c r="J437" s="87" t="e">
        <f t="shared" si="17"/>
        <v>#DIV/0!</v>
      </c>
      <c r="K437" s="87" t="e">
        <f t="shared" si="17"/>
        <v>#DIV/0!</v>
      </c>
      <c r="L437" s="87" t="e">
        <f t="shared" si="17"/>
        <v>#DIV/0!</v>
      </c>
      <c r="M437" s="88" t="e">
        <f t="shared" si="17"/>
        <v>#DIV/0!</v>
      </c>
      <c r="O437" s="121" t="str">
        <f t="shared" si="16"/>
        <v>חיפה נווה שאנן</v>
      </c>
      <c r="P437" s="121" t="str">
        <f t="shared" si="16"/>
        <v>חיפה כרמל</v>
      </c>
    </row>
    <row r="438" spans="1:16" x14ac:dyDescent="0.3">
      <c r="A438" s="61">
        <v>17</v>
      </c>
      <c r="B438" s="61">
        <v>17</v>
      </c>
      <c r="C438" s="97"/>
      <c r="D438" s="79"/>
      <c r="E438" s="79"/>
      <c r="F438" s="79"/>
      <c r="G438" s="94"/>
      <c r="I438" s="86" t="e">
        <f t="shared" si="17"/>
        <v>#DIV/0!</v>
      </c>
      <c r="J438" s="87" t="e">
        <f t="shared" si="17"/>
        <v>#DIV/0!</v>
      </c>
      <c r="K438" s="87" t="e">
        <f t="shared" si="17"/>
        <v>#DIV/0!</v>
      </c>
      <c r="L438" s="87" t="e">
        <f t="shared" si="17"/>
        <v>#DIV/0!</v>
      </c>
      <c r="M438" s="88" t="e">
        <f t="shared" si="17"/>
        <v>#DIV/0!</v>
      </c>
      <c r="O438" s="121" t="str">
        <f t="shared" si="16"/>
        <v>חיפה נווה שאנן</v>
      </c>
      <c r="P438" s="121" t="str">
        <f t="shared" si="16"/>
        <v>חיפה נווה שאנן</v>
      </c>
    </row>
    <row r="439" spans="1:16" x14ac:dyDescent="0.3">
      <c r="A439" s="61">
        <v>17</v>
      </c>
      <c r="B439" s="61">
        <v>18</v>
      </c>
      <c r="C439" s="97"/>
      <c r="D439" s="79"/>
      <c r="E439" s="79"/>
      <c r="F439" s="79"/>
      <c r="G439" s="94"/>
      <c r="I439" s="86" t="e">
        <f t="shared" si="17"/>
        <v>#DIV/0!</v>
      </c>
      <c r="J439" s="87" t="e">
        <f t="shared" si="17"/>
        <v>#DIV/0!</v>
      </c>
      <c r="K439" s="87" t="e">
        <f t="shared" si="17"/>
        <v>#DIV/0!</v>
      </c>
      <c r="L439" s="87" t="e">
        <f t="shared" si="17"/>
        <v>#DIV/0!</v>
      </c>
      <c r="M439" s="88" t="e">
        <f t="shared" si="17"/>
        <v>#DIV/0!</v>
      </c>
      <c r="O439" s="121" t="str">
        <f t="shared" si="16"/>
        <v>חיפה נווה שאנן</v>
      </c>
      <c r="P439" s="121" t="str">
        <f t="shared" si="16"/>
        <v>נשר</v>
      </c>
    </row>
    <row r="440" spans="1:16" x14ac:dyDescent="0.3">
      <c r="A440" s="61">
        <v>17</v>
      </c>
      <c r="B440" s="61">
        <v>19</v>
      </c>
      <c r="C440" s="97"/>
      <c r="D440" s="79"/>
      <c r="E440" s="79"/>
      <c r="F440" s="79"/>
      <c r="G440" s="94"/>
      <c r="I440" s="86" t="e">
        <f t="shared" si="17"/>
        <v>#DIV/0!</v>
      </c>
      <c r="J440" s="87" t="e">
        <f t="shared" si="17"/>
        <v>#DIV/0!</v>
      </c>
      <c r="K440" s="87" t="e">
        <f t="shared" si="17"/>
        <v>#DIV/0!</v>
      </c>
      <c r="L440" s="87" t="e">
        <f t="shared" si="17"/>
        <v>#DIV/0!</v>
      </c>
      <c r="M440" s="88" t="e">
        <f t="shared" si="17"/>
        <v>#DIV/0!</v>
      </c>
      <c r="O440" s="121" t="str">
        <f t="shared" si="16"/>
        <v>חיפה נווה שאנן</v>
      </c>
      <c r="P440" s="121" t="str">
        <f t="shared" si="16"/>
        <v>נצרת</v>
      </c>
    </row>
    <row r="441" spans="1:16" x14ac:dyDescent="0.3">
      <c r="A441" s="61">
        <v>17</v>
      </c>
      <c r="B441" s="61">
        <v>20</v>
      </c>
      <c r="C441" s="97"/>
      <c r="D441" s="79"/>
      <c r="E441" s="79"/>
      <c r="F441" s="79"/>
      <c r="G441" s="94"/>
      <c r="I441" s="86" t="e">
        <f t="shared" si="17"/>
        <v>#DIV/0!</v>
      </c>
      <c r="J441" s="87" t="e">
        <f t="shared" si="17"/>
        <v>#DIV/0!</v>
      </c>
      <c r="K441" s="87" t="e">
        <f t="shared" si="17"/>
        <v>#DIV/0!</v>
      </c>
      <c r="L441" s="87" t="e">
        <f t="shared" si="17"/>
        <v>#DIV/0!</v>
      </c>
      <c r="M441" s="88" t="e">
        <f t="shared" si="17"/>
        <v>#DIV/0!</v>
      </c>
      <c r="O441" s="121" t="str">
        <f t="shared" si="16"/>
        <v>חיפה נווה שאנן</v>
      </c>
      <c r="P441" s="121" t="str">
        <f t="shared" si="16"/>
        <v>נצרת-עילית</v>
      </c>
    </row>
    <row r="442" spans="1:16" x14ac:dyDescent="0.3">
      <c r="A442" s="61">
        <v>17</v>
      </c>
      <c r="B442" s="61">
        <v>21</v>
      </c>
      <c r="C442" s="97"/>
      <c r="D442" s="79"/>
      <c r="E442" s="79"/>
      <c r="F442" s="79"/>
      <c r="G442" s="94"/>
      <c r="I442" s="86" t="e">
        <f t="shared" si="17"/>
        <v>#DIV/0!</v>
      </c>
      <c r="J442" s="87" t="e">
        <f t="shared" si="17"/>
        <v>#DIV/0!</v>
      </c>
      <c r="K442" s="87" t="e">
        <f t="shared" si="17"/>
        <v>#DIV/0!</v>
      </c>
      <c r="L442" s="87" t="e">
        <f t="shared" si="17"/>
        <v>#DIV/0!</v>
      </c>
      <c r="M442" s="88" t="e">
        <f t="shared" si="17"/>
        <v>#DIV/0!</v>
      </c>
      <c r="O442" s="121" t="str">
        <f t="shared" si="16"/>
        <v>חיפה נווה שאנן</v>
      </c>
      <c r="P442" s="121" t="str">
        <f t="shared" si="16"/>
        <v>מגדל העמק</v>
      </c>
    </row>
    <row r="443" spans="1:16" x14ac:dyDescent="0.3">
      <c r="A443" s="61">
        <v>17</v>
      </c>
      <c r="B443" s="61">
        <v>22</v>
      </c>
      <c r="C443" s="97"/>
      <c r="D443" s="79"/>
      <c r="E443" s="79"/>
      <c r="F443" s="79"/>
      <c r="G443" s="94"/>
      <c r="I443" s="86" t="e">
        <f t="shared" si="17"/>
        <v>#DIV/0!</v>
      </c>
      <c r="J443" s="87" t="e">
        <f t="shared" si="17"/>
        <v>#DIV/0!</v>
      </c>
      <c r="K443" s="87" t="e">
        <f t="shared" si="17"/>
        <v>#DIV/0!</v>
      </c>
      <c r="L443" s="87" t="e">
        <f t="shared" si="17"/>
        <v>#DIV/0!</v>
      </c>
      <c r="M443" s="88" t="e">
        <f t="shared" si="17"/>
        <v>#DIV/0!</v>
      </c>
      <c r="O443" s="121" t="str">
        <f t="shared" si="16"/>
        <v>חיפה נווה שאנן</v>
      </c>
      <c r="P443" s="121" t="str">
        <f t="shared" si="16"/>
        <v>יוקנעם</v>
      </c>
    </row>
    <row r="444" spans="1:16" x14ac:dyDescent="0.3">
      <c r="A444" s="61">
        <v>17</v>
      </c>
      <c r="B444" s="61">
        <v>23</v>
      </c>
      <c r="C444" s="97"/>
      <c r="D444" s="79"/>
      <c r="E444" s="79"/>
      <c r="F444" s="79"/>
      <c r="G444" s="94"/>
      <c r="I444" s="86" t="e">
        <f t="shared" si="17"/>
        <v>#DIV/0!</v>
      </c>
      <c r="J444" s="87" t="e">
        <f t="shared" si="17"/>
        <v>#DIV/0!</v>
      </c>
      <c r="K444" s="87" t="e">
        <f t="shared" si="17"/>
        <v>#DIV/0!</v>
      </c>
      <c r="L444" s="87" t="e">
        <f t="shared" si="17"/>
        <v>#DIV/0!</v>
      </c>
      <c r="M444" s="88" t="e">
        <f t="shared" si="17"/>
        <v>#DIV/0!</v>
      </c>
      <c r="O444" s="121" t="str">
        <f t="shared" si="16"/>
        <v>חיפה נווה שאנן</v>
      </c>
      <c r="P444" s="121" t="str">
        <f t="shared" si="16"/>
        <v>דלית אל כרמל</v>
      </c>
    </row>
    <row r="445" spans="1:16" x14ac:dyDescent="0.3">
      <c r="A445" s="61">
        <v>17</v>
      </c>
      <c r="B445" s="61">
        <v>24</v>
      </c>
      <c r="C445" s="97"/>
      <c r="D445" s="79"/>
      <c r="E445" s="79"/>
      <c r="F445" s="79"/>
      <c r="G445" s="94"/>
      <c r="I445" s="86" t="e">
        <f t="shared" si="17"/>
        <v>#DIV/0!</v>
      </c>
      <c r="J445" s="87" t="e">
        <f t="shared" si="17"/>
        <v>#DIV/0!</v>
      </c>
      <c r="K445" s="87" t="e">
        <f t="shared" si="17"/>
        <v>#DIV/0!</v>
      </c>
      <c r="L445" s="87" t="e">
        <f t="shared" si="17"/>
        <v>#DIV/0!</v>
      </c>
      <c r="M445" s="88" t="e">
        <f t="shared" si="17"/>
        <v>#DIV/0!</v>
      </c>
      <c r="O445" s="121" t="str">
        <f t="shared" si="16"/>
        <v>חיפה נווה שאנן</v>
      </c>
      <c r="P445" s="121" t="str">
        <f t="shared" si="16"/>
        <v>חוף הכרמל</v>
      </c>
    </row>
    <row r="446" spans="1:16" x14ac:dyDescent="0.3">
      <c r="A446" s="61">
        <v>17</v>
      </c>
      <c r="B446" s="61">
        <v>25</v>
      </c>
      <c r="C446" s="97"/>
      <c r="D446" s="79"/>
      <c r="E446" s="79"/>
      <c r="F446" s="79"/>
      <c r="G446" s="94"/>
      <c r="I446" s="86" t="e">
        <f t="shared" si="17"/>
        <v>#DIV/0!</v>
      </c>
      <c r="J446" s="87" t="e">
        <f t="shared" si="17"/>
        <v>#DIV/0!</v>
      </c>
      <c r="K446" s="87" t="e">
        <f t="shared" si="17"/>
        <v>#DIV/0!</v>
      </c>
      <c r="L446" s="87" t="e">
        <f t="shared" si="17"/>
        <v>#DIV/0!</v>
      </c>
      <c r="M446" s="88" t="e">
        <f t="shared" si="17"/>
        <v>#DIV/0!</v>
      </c>
      <c r="O446" s="121" t="str">
        <f t="shared" si="16"/>
        <v>חיפה נווה שאנן</v>
      </c>
      <c r="P446" s="121" t="str">
        <f t="shared" si="16"/>
        <v>זכרון יעקב</v>
      </c>
    </row>
    <row r="447" spans="1:16" x14ac:dyDescent="0.3">
      <c r="A447" s="61">
        <v>17</v>
      </c>
      <c r="B447" s="61">
        <v>30</v>
      </c>
      <c r="C447" s="97"/>
      <c r="D447" s="79"/>
      <c r="E447" s="79"/>
      <c r="F447" s="79"/>
      <c r="G447" s="94"/>
      <c r="I447" s="86" t="e">
        <f t="shared" si="17"/>
        <v>#DIV/0!</v>
      </c>
      <c r="J447" s="87" t="e">
        <f t="shared" si="17"/>
        <v>#DIV/0!</v>
      </c>
      <c r="K447" s="87" t="e">
        <f t="shared" si="17"/>
        <v>#DIV/0!</v>
      </c>
      <c r="L447" s="87" t="e">
        <f t="shared" si="17"/>
        <v>#DIV/0!</v>
      </c>
      <c r="M447" s="88" t="e">
        <f t="shared" si="17"/>
        <v>#DIV/0!</v>
      </c>
      <c r="O447" s="121" t="str">
        <f t="shared" si="16"/>
        <v>חיפה נווה שאנן</v>
      </c>
      <c r="P447" s="121" t="str">
        <f t="shared" si="16"/>
        <v>סכנין</v>
      </c>
    </row>
    <row r="448" spans="1:16" x14ac:dyDescent="0.3">
      <c r="A448" s="61">
        <v>18</v>
      </c>
      <c r="B448" s="61">
        <v>1</v>
      </c>
      <c r="C448" s="97"/>
      <c r="D448" s="79"/>
      <c r="E448" s="79"/>
      <c r="F448" s="79"/>
      <c r="G448" s="94"/>
      <c r="I448" s="86" t="e">
        <f t="shared" si="17"/>
        <v>#DIV/0!</v>
      </c>
      <c r="J448" s="87" t="e">
        <f t="shared" si="17"/>
        <v>#DIV/0!</v>
      </c>
      <c r="K448" s="87" t="e">
        <f t="shared" si="17"/>
        <v>#DIV/0!</v>
      </c>
      <c r="L448" s="87" t="e">
        <f t="shared" si="17"/>
        <v>#DIV/0!</v>
      </c>
      <c r="M448" s="88" t="e">
        <f t="shared" si="17"/>
        <v>#DIV/0!</v>
      </c>
      <c r="O448" s="121" t="str">
        <f t="shared" si="16"/>
        <v>נשר</v>
      </c>
      <c r="P448" s="121" t="str">
        <f t="shared" si="16"/>
        <v>נהריה</v>
      </c>
    </row>
    <row r="449" spans="1:16" x14ac:dyDescent="0.3">
      <c r="A449" s="61">
        <v>18</v>
      </c>
      <c r="B449" s="61">
        <v>2</v>
      </c>
      <c r="C449" s="97"/>
      <c r="D449" s="79"/>
      <c r="E449" s="79"/>
      <c r="F449" s="79"/>
      <c r="G449" s="94"/>
      <c r="I449" s="86" t="e">
        <f t="shared" si="17"/>
        <v>#DIV/0!</v>
      </c>
      <c r="J449" s="87" t="e">
        <f t="shared" si="17"/>
        <v>#DIV/0!</v>
      </c>
      <c r="K449" s="87" t="e">
        <f t="shared" si="17"/>
        <v>#DIV/0!</v>
      </c>
      <c r="L449" s="87" t="e">
        <f t="shared" si="17"/>
        <v>#DIV/0!</v>
      </c>
      <c r="M449" s="88" t="e">
        <f t="shared" si="17"/>
        <v>#DIV/0!</v>
      </c>
      <c r="O449" s="121" t="str">
        <f t="shared" si="16"/>
        <v>נשר</v>
      </c>
      <c r="P449" s="121" t="str">
        <f t="shared" si="16"/>
        <v>עכו</v>
      </c>
    </row>
    <row r="450" spans="1:16" x14ac:dyDescent="0.3">
      <c r="A450" s="61">
        <v>18</v>
      </c>
      <c r="B450" s="61">
        <v>3</v>
      </c>
      <c r="C450" s="97"/>
      <c r="D450" s="79"/>
      <c r="E450" s="79"/>
      <c r="F450" s="79"/>
      <c r="G450" s="94"/>
      <c r="I450" s="86" t="e">
        <f t="shared" si="17"/>
        <v>#DIV/0!</v>
      </c>
      <c r="J450" s="87" t="e">
        <f t="shared" si="17"/>
        <v>#DIV/0!</v>
      </c>
      <c r="K450" s="87" t="e">
        <f t="shared" si="17"/>
        <v>#DIV/0!</v>
      </c>
      <c r="L450" s="87" t="e">
        <f t="shared" si="17"/>
        <v>#DIV/0!</v>
      </c>
      <c r="M450" s="88" t="e">
        <f t="shared" si="17"/>
        <v>#DIV/0!</v>
      </c>
      <c r="O450" s="121" t="str">
        <f t="shared" si="16"/>
        <v>נשר</v>
      </c>
      <c r="P450" s="121" t="str">
        <f t="shared" si="16"/>
        <v>כרמיאל</v>
      </c>
    </row>
    <row r="451" spans="1:16" x14ac:dyDescent="0.3">
      <c r="A451" s="61">
        <v>18</v>
      </c>
      <c r="B451" s="61">
        <v>4</v>
      </c>
      <c r="C451" s="97"/>
      <c r="D451" s="79"/>
      <c r="E451" s="79"/>
      <c r="F451" s="79"/>
      <c r="G451" s="94"/>
      <c r="I451" s="86" t="e">
        <f t="shared" si="17"/>
        <v>#DIV/0!</v>
      </c>
      <c r="J451" s="87" t="e">
        <f t="shared" si="17"/>
        <v>#DIV/0!</v>
      </c>
      <c r="K451" s="87" t="e">
        <f t="shared" si="17"/>
        <v>#DIV/0!</v>
      </c>
      <c r="L451" s="87" t="e">
        <f t="shared" si="17"/>
        <v>#DIV/0!</v>
      </c>
      <c r="M451" s="88" t="e">
        <f t="shared" si="17"/>
        <v>#DIV/0!</v>
      </c>
      <c r="O451" s="121" t="str">
        <f t="shared" si="16"/>
        <v>נשר</v>
      </c>
      <c r="P451" s="121" t="str">
        <f t="shared" si="16"/>
        <v>שפרעם</v>
      </c>
    </row>
    <row r="452" spans="1:16" x14ac:dyDescent="0.3">
      <c r="A452" s="61">
        <v>18</v>
      </c>
      <c r="B452" s="61">
        <v>5</v>
      </c>
      <c r="C452" s="97"/>
      <c r="D452" s="79"/>
      <c r="E452" s="79"/>
      <c r="F452" s="79"/>
      <c r="G452" s="94"/>
      <c r="I452" s="86" t="e">
        <f t="shared" si="17"/>
        <v>#DIV/0!</v>
      </c>
      <c r="J452" s="87" t="e">
        <f t="shared" si="17"/>
        <v>#DIV/0!</v>
      </c>
      <c r="K452" s="87" t="e">
        <f t="shared" si="17"/>
        <v>#DIV/0!</v>
      </c>
      <c r="L452" s="87" t="e">
        <f t="shared" si="17"/>
        <v>#DIV/0!</v>
      </c>
      <c r="M452" s="88" t="e">
        <f t="shared" si="17"/>
        <v>#DIV/0!</v>
      </c>
      <c r="O452" s="121" t="str">
        <f t="shared" si="16"/>
        <v>נשר</v>
      </c>
      <c r="P452" s="121" t="str">
        <f t="shared" si="16"/>
        <v>קרית ים</v>
      </c>
    </row>
    <row r="453" spans="1:16" x14ac:dyDescent="0.3">
      <c r="A453" s="61">
        <v>18</v>
      </c>
      <c r="B453" s="61">
        <v>6</v>
      </c>
      <c r="C453" s="97"/>
      <c r="D453" s="79"/>
      <c r="E453" s="79"/>
      <c r="F453" s="79"/>
      <c r="G453" s="94"/>
      <c r="I453" s="86" t="e">
        <f t="shared" si="17"/>
        <v>#DIV/0!</v>
      </c>
      <c r="J453" s="87" t="e">
        <f t="shared" si="17"/>
        <v>#DIV/0!</v>
      </c>
      <c r="K453" s="87" t="e">
        <f t="shared" si="17"/>
        <v>#DIV/0!</v>
      </c>
      <c r="L453" s="87" t="e">
        <f t="shared" si="17"/>
        <v>#DIV/0!</v>
      </c>
      <c r="M453" s="88" t="e">
        <f t="shared" si="17"/>
        <v>#DIV/0!</v>
      </c>
      <c r="O453" s="121" t="str">
        <f t="shared" si="16"/>
        <v>נשר</v>
      </c>
      <c r="P453" s="121" t="str">
        <f t="shared" si="16"/>
        <v>קרית מוצקין</v>
      </c>
    </row>
    <row r="454" spans="1:16" x14ac:dyDescent="0.3">
      <c r="A454" s="61">
        <v>18</v>
      </c>
      <c r="B454" s="61">
        <v>7</v>
      </c>
      <c r="C454" s="97"/>
      <c r="D454" s="79"/>
      <c r="E454" s="79"/>
      <c r="F454" s="79"/>
      <c r="G454" s="94"/>
      <c r="I454" s="86" t="e">
        <f t="shared" si="17"/>
        <v>#DIV/0!</v>
      </c>
      <c r="J454" s="87" t="e">
        <f t="shared" si="17"/>
        <v>#DIV/0!</v>
      </c>
      <c r="K454" s="87" t="e">
        <f t="shared" si="17"/>
        <v>#DIV/0!</v>
      </c>
      <c r="L454" s="87" t="e">
        <f t="shared" si="17"/>
        <v>#DIV/0!</v>
      </c>
      <c r="M454" s="88" t="e">
        <f t="shared" si="17"/>
        <v>#DIV/0!</v>
      </c>
      <c r="O454" s="121" t="str">
        <f t="shared" si="16"/>
        <v>נשר</v>
      </c>
      <c r="P454" s="121" t="str">
        <f t="shared" si="16"/>
        <v>קרית ביאליק</v>
      </c>
    </row>
    <row r="455" spans="1:16" x14ac:dyDescent="0.3">
      <c r="A455" s="61">
        <v>18</v>
      </c>
      <c r="B455" s="61">
        <v>8</v>
      </c>
      <c r="C455" s="97"/>
      <c r="D455" s="79"/>
      <c r="E455" s="79"/>
      <c r="F455" s="79"/>
      <c r="G455" s="94"/>
      <c r="I455" s="86" t="e">
        <f t="shared" si="17"/>
        <v>#DIV/0!</v>
      </c>
      <c r="J455" s="87" t="e">
        <f t="shared" si="17"/>
        <v>#DIV/0!</v>
      </c>
      <c r="K455" s="87" t="e">
        <f t="shared" si="17"/>
        <v>#DIV/0!</v>
      </c>
      <c r="L455" s="87" t="e">
        <f t="shared" si="17"/>
        <v>#DIV/0!</v>
      </c>
      <c r="M455" s="88" t="e">
        <f t="shared" si="17"/>
        <v>#DIV/0!</v>
      </c>
      <c r="O455" s="121" t="str">
        <f t="shared" si="16"/>
        <v>נשר</v>
      </c>
      <c r="P455" s="121" t="str">
        <f t="shared" si="16"/>
        <v>קרית חיים</v>
      </c>
    </row>
    <row r="456" spans="1:16" x14ac:dyDescent="0.3">
      <c r="A456" s="61">
        <v>18</v>
      </c>
      <c r="B456" s="61">
        <v>9</v>
      </c>
      <c r="C456" s="97"/>
      <c r="D456" s="79"/>
      <c r="E456" s="79"/>
      <c r="F456" s="79"/>
      <c r="G456" s="94"/>
      <c r="I456" s="86" t="e">
        <f t="shared" si="17"/>
        <v>#DIV/0!</v>
      </c>
      <c r="J456" s="87" t="e">
        <f t="shared" si="17"/>
        <v>#DIV/0!</v>
      </c>
      <c r="K456" s="87" t="e">
        <f t="shared" si="17"/>
        <v>#DIV/0!</v>
      </c>
      <c r="L456" s="87" t="e">
        <f t="shared" si="17"/>
        <v>#DIV/0!</v>
      </c>
      <c r="M456" s="88" t="e">
        <f t="shared" si="17"/>
        <v>#DIV/0!</v>
      </c>
      <c r="O456" s="121" t="str">
        <f t="shared" ref="O456:P519" si="18">VLOOKUP(A456,$S$6:$T$31,2,0)</f>
        <v>נשר</v>
      </c>
      <c r="P456" s="121" t="str">
        <f t="shared" si="18"/>
        <v>קרית אתא</v>
      </c>
    </row>
    <row r="457" spans="1:16" x14ac:dyDescent="0.3">
      <c r="A457" s="61">
        <v>18</v>
      </c>
      <c r="B457" s="61">
        <v>10</v>
      </c>
      <c r="C457" s="97"/>
      <c r="D457" s="79"/>
      <c r="E457" s="79"/>
      <c r="F457" s="79"/>
      <c r="G457" s="94"/>
      <c r="I457" s="86" t="e">
        <f t="shared" si="17"/>
        <v>#DIV/0!</v>
      </c>
      <c r="J457" s="87" t="e">
        <f t="shared" si="17"/>
        <v>#DIV/0!</v>
      </c>
      <c r="K457" s="87" t="e">
        <f t="shared" si="17"/>
        <v>#DIV/0!</v>
      </c>
      <c r="L457" s="87" t="e">
        <f t="shared" si="17"/>
        <v>#DIV/0!</v>
      </c>
      <c r="M457" s="88" t="e">
        <f t="shared" si="17"/>
        <v>#DIV/0!</v>
      </c>
      <c r="O457" s="121" t="str">
        <f t="shared" si="18"/>
        <v>נשר</v>
      </c>
      <c r="P457" s="121" t="str">
        <f t="shared" si="18"/>
        <v>כפר מנדא</v>
      </c>
    </row>
    <row r="458" spans="1:16" x14ac:dyDescent="0.3">
      <c r="A458" s="61">
        <v>18</v>
      </c>
      <c r="B458" s="61">
        <v>11</v>
      </c>
      <c r="C458" s="97"/>
      <c r="D458" s="79"/>
      <c r="E458" s="79"/>
      <c r="F458" s="79"/>
      <c r="G458" s="94"/>
      <c r="I458" s="86" t="e">
        <f t="shared" si="17"/>
        <v>#DIV/0!</v>
      </c>
      <c r="J458" s="87" t="e">
        <f t="shared" si="17"/>
        <v>#DIV/0!</v>
      </c>
      <c r="K458" s="87" t="e">
        <f t="shared" si="17"/>
        <v>#DIV/0!</v>
      </c>
      <c r="L458" s="87" t="e">
        <f t="shared" si="17"/>
        <v>#DIV/0!</v>
      </c>
      <c r="M458" s="88" t="e">
        <f t="shared" si="17"/>
        <v>#DIV/0!</v>
      </c>
      <c r="O458" s="121" t="str">
        <f t="shared" si="18"/>
        <v>נשר</v>
      </c>
      <c r="P458" s="121" t="str">
        <f t="shared" si="18"/>
        <v>זבולון</v>
      </c>
    </row>
    <row r="459" spans="1:16" x14ac:dyDescent="0.3">
      <c r="A459" s="61">
        <v>18</v>
      </c>
      <c r="B459" s="61">
        <v>12</v>
      </c>
      <c r="C459" s="97"/>
      <c r="D459" s="79"/>
      <c r="E459" s="79"/>
      <c r="F459" s="79"/>
      <c r="G459" s="94"/>
      <c r="I459" s="86" t="e">
        <f t="shared" si="17"/>
        <v>#DIV/0!</v>
      </c>
      <c r="J459" s="87" t="e">
        <f t="shared" si="17"/>
        <v>#DIV/0!</v>
      </c>
      <c r="K459" s="87" t="e">
        <f t="shared" si="17"/>
        <v>#DIV/0!</v>
      </c>
      <c r="L459" s="87" t="e">
        <f t="shared" si="17"/>
        <v>#DIV/0!</v>
      </c>
      <c r="M459" s="88" t="e">
        <f t="shared" si="17"/>
        <v>#DIV/0!</v>
      </c>
      <c r="O459" s="121" t="str">
        <f t="shared" si="18"/>
        <v>נשר</v>
      </c>
      <c r="P459" s="121" t="str">
        <f t="shared" si="18"/>
        <v>חיפה מפרץ</v>
      </c>
    </row>
    <row r="460" spans="1:16" x14ac:dyDescent="0.3">
      <c r="A460" s="61">
        <v>18</v>
      </c>
      <c r="B460" s="61">
        <v>13</v>
      </c>
      <c r="C460" s="97"/>
      <c r="D460" s="79"/>
      <c r="E460" s="79"/>
      <c r="F460" s="79"/>
      <c r="G460" s="94"/>
      <c r="I460" s="86" t="e">
        <f t="shared" si="17"/>
        <v>#DIV/0!</v>
      </c>
      <c r="J460" s="87" t="e">
        <f t="shared" si="17"/>
        <v>#DIV/0!</v>
      </c>
      <c r="K460" s="87" t="e">
        <f t="shared" si="17"/>
        <v>#DIV/0!</v>
      </c>
      <c r="L460" s="87" t="e">
        <f t="shared" si="17"/>
        <v>#DIV/0!</v>
      </c>
      <c r="M460" s="88" t="e">
        <f t="shared" si="17"/>
        <v>#DIV/0!</v>
      </c>
      <c r="O460" s="121" t="str">
        <f t="shared" si="18"/>
        <v>נשר</v>
      </c>
      <c r="P460" s="121" t="str">
        <f t="shared" si="18"/>
        <v>חיפה עיר תחתית</v>
      </c>
    </row>
    <row r="461" spans="1:16" x14ac:dyDescent="0.3">
      <c r="A461" s="61">
        <v>18</v>
      </c>
      <c r="B461" s="61">
        <v>14</v>
      </c>
      <c r="C461" s="97"/>
      <c r="D461" s="79"/>
      <c r="E461" s="79"/>
      <c r="F461" s="79"/>
      <c r="G461" s="94"/>
      <c r="I461" s="86" t="e">
        <f t="shared" si="17"/>
        <v>#DIV/0!</v>
      </c>
      <c r="J461" s="87" t="e">
        <f t="shared" si="17"/>
        <v>#DIV/0!</v>
      </c>
      <c r="K461" s="87" t="e">
        <f t="shared" si="17"/>
        <v>#DIV/0!</v>
      </c>
      <c r="L461" s="87" t="e">
        <f t="shared" si="17"/>
        <v>#DIV/0!</v>
      </c>
      <c r="M461" s="88" t="e">
        <f t="shared" si="17"/>
        <v>#DIV/0!</v>
      </c>
      <c r="O461" s="121" t="str">
        <f t="shared" si="18"/>
        <v>נשר</v>
      </c>
      <c r="P461" s="121" t="str">
        <f t="shared" si="18"/>
        <v>חיפה הדר-כרמל</v>
      </c>
    </row>
    <row r="462" spans="1:16" x14ac:dyDescent="0.3">
      <c r="A462" s="61">
        <v>18</v>
      </c>
      <c r="B462" s="61">
        <v>15</v>
      </c>
      <c r="C462" s="97"/>
      <c r="D462" s="79"/>
      <c r="E462" s="79"/>
      <c r="F462" s="79"/>
      <c r="G462" s="94"/>
      <c r="I462" s="86" t="e">
        <f t="shared" si="17"/>
        <v>#DIV/0!</v>
      </c>
      <c r="J462" s="87" t="e">
        <f t="shared" si="17"/>
        <v>#DIV/0!</v>
      </c>
      <c r="K462" s="87" t="e">
        <f t="shared" si="17"/>
        <v>#DIV/0!</v>
      </c>
      <c r="L462" s="87" t="e">
        <f t="shared" si="17"/>
        <v>#DIV/0!</v>
      </c>
      <c r="M462" s="88" t="e">
        <f t="shared" si="17"/>
        <v>#DIV/0!</v>
      </c>
      <c r="O462" s="121" t="str">
        <f t="shared" si="18"/>
        <v>נשר</v>
      </c>
      <c r="P462" s="121" t="str">
        <f t="shared" si="18"/>
        <v>חיפה מערב</v>
      </c>
    </row>
    <row r="463" spans="1:16" x14ac:dyDescent="0.3">
      <c r="A463" s="61">
        <v>18</v>
      </c>
      <c r="B463" s="61">
        <v>16</v>
      </c>
      <c r="C463" s="97"/>
      <c r="D463" s="79"/>
      <c r="E463" s="79"/>
      <c r="F463" s="79"/>
      <c r="G463" s="94"/>
      <c r="I463" s="86" t="e">
        <f t="shared" si="17"/>
        <v>#DIV/0!</v>
      </c>
      <c r="J463" s="87" t="e">
        <f t="shared" si="17"/>
        <v>#DIV/0!</v>
      </c>
      <c r="K463" s="87" t="e">
        <f t="shared" si="17"/>
        <v>#DIV/0!</v>
      </c>
      <c r="L463" s="87" t="e">
        <f t="shared" si="17"/>
        <v>#DIV/0!</v>
      </c>
      <c r="M463" s="88" t="e">
        <f t="shared" si="17"/>
        <v>#DIV/0!</v>
      </c>
      <c r="O463" s="121" t="str">
        <f t="shared" si="18"/>
        <v>נשר</v>
      </c>
      <c r="P463" s="121" t="str">
        <f t="shared" si="18"/>
        <v>חיפה כרמל</v>
      </c>
    </row>
    <row r="464" spans="1:16" x14ac:dyDescent="0.3">
      <c r="A464" s="61">
        <v>18</v>
      </c>
      <c r="B464" s="61">
        <v>17</v>
      </c>
      <c r="C464" s="97"/>
      <c r="D464" s="79"/>
      <c r="E464" s="79"/>
      <c r="F464" s="79"/>
      <c r="G464" s="94"/>
      <c r="I464" s="86" t="e">
        <f t="shared" si="17"/>
        <v>#DIV/0!</v>
      </c>
      <c r="J464" s="87" t="e">
        <f t="shared" si="17"/>
        <v>#DIV/0!</v>
      </c>
      <c r="K464" s="87" t="e">
        <f t="shared" si="17"/>
        <v>#DIV/0!</v>
      </c>
      <c r="L464" s="87" t="e">
        <f t="shared" si="17"/>
        <v>#DIV/0!</v>
      </c>
      <c r="M464" s="88" t="e">
        <f t="shared" si="17"/>
        <v>#DIV/0!</v>
      </c>
      <c r="O464" s="121" t="str">
        <f t="shared" si="18"/>
        <v>נשר</v>
      </c>
      <c r="P464" s="121" t="str">
        <f t="shared" si="18"/>
        <v>חיפה נווה שאנן</v>
      </c>
    </row>
    <row r="465" spans="1:16" x14ac:dyDescent="0.3">
      <c r="A465" s="61">
        <v>18</v>
      </c>
      <c r="B465" s="61">
        <v>18</v>
      </c>
      <c r="C465" s="97"/>
      <c r="D465" s="79"/>
      <c r="E465" s="79"/>
      <c r="F465" s="79"/>
      <c r="G465" s="94"/>
      <c r="I465" s="86" t="e">
        <f t="shared" si="17"/>
        <v>#DIV/0!</v>
      </c>
      <c r="J465" s="87" t="e">
        <f t="shared" si="17"/>
        <v>#DIV/0!</v>
      </c>
      <c r="K465" s="87" t="e">
        <f t="shared" si="17"/>
        <v>#DIV/0!</v>
      </c>
      <c r="L465" s="87" t="e">
        <f t="shared" si="17"/>
        <v>#DIV/0!</v>
      </c>
      <c r="M465" s="88" t="e">
        <f t="shared" si="17"/>
        <v>#DIV/0!</v>
      </c>
      <c r="O465" s="121" t="str">
        <f t="shared" si="18"/>
        <v>נשר</v>
      </c>
      <c r="P465" s="121" t="str">
        <f t="shared" si="18"/>
        <v>נשר</v>
      </c>
    </row>
    <row r="466" spans="1:16" x14ac:dyDescent="0.3">
      <c r="A466" s="61">
        <v>18</v>
      </c>
      <c r="B466" s="61">
        <v>19</v>
      </c>
      <c r="C466" s="97"/>
      <c r="D466" s="79"/>
      <c r="E466" s="79"/>
      <c r="F466" s="79"/>
      <c r="G466" s="94"/>
      <c r="I466" s="86" t="e">
        <f t="shared" si="17"/>
        <v>#DIV/0!</v>
      </c>
      <c r="J466" s="87" t="e">
        <f t="shared" si="17"/>
        <v>#DIV/0!</v>
      </c>
      <c r="K466" s="87" t="e">
        <f t="shared" si="17"/>
        <v>#DIV/0!</v>
      </c>
      <c r="L466" s="87" t="e">
        <f t="shared" si="17"/>
        <v>#DIV/0!</v>
      </c>
      <c r="M466" s="88" t="e">
        <f t="shared" si="17"/>
        <v>#DIV/0!</v>
      </c>
      <c r="O466" s="121" t="str">
        <f t="shared" si="18"/>
        <v>נשר</v>
      </c>
      <c r="P466" s="121" t="str">
        <f t="shared" si="18"/>
        <v>נצרת</v>
      </c>
    </row>
    <row r="467" spans="1:16" x14ac:dyDescent="0.3">
      <c r="A467" s="61">
        <v>18</v>
      </c>
      <c r="B467" s="61">
        <v>20</v>
      </c>
      <c r="C467" s="97"/>
      <c r="D467" s="79"/>
      <c r="E467" s="79"/>
      <c r="F467" s="79"/>
      <c r="G467" s="94"/>
      <c r="I467" s="86" t="e">
        <f t="shared" si="17"/>
        <v>#DIV/0!</v>
      </c>
      <c r="J467" s="87" t="e">
        <f t="shared" si="17"/>
        <v>#DIV/0!</v>
      </c>
      <c r="K467" s="87" t="e">
        <f t="shared" si="17"/>
        <v>#DIV/0!</v>
      </c>
      <c r="L467" s="87" t="e">
        <f t="shared" si="17"/>
        <v>#DIV/0!</v>
      </c>
      <c r="M467" s="88" t="e">
        <f t="shared" si="17"/>
        <v>#DIV/0!</v>
      </c>
      <c r="O467" s="121" t="str">
        <f t="shared" si="18"/>
        <v>נשר</v>
      </c>
      <c r="P467" s="121" t="str">
        <f t="shared" si="18"/>
        <v>נצרת-עילית</v>
      </c>
    </row>
    <row r="468" spans="1:16" x14ac:dyDescent="0.3">
      <c r="A468" s="61">
        <v>18</v>
      </c>
      <c r="B468" s="61">
        <v>21</v>
      </c>
      <c r="C468" s="97"/>
      <c r="D468" s="79"/>
      <c r="E468" s="79"/>
      <c r="F468" s="79"/>
      <c r="G468" s="94"/>
      <c r="I468" s="86" t="e">
        <f t="shared" si="17"/>
        <v>#DIV/0!</v>
      </c>
      <c r="J468" s="87" t="e">
        <f t="shared" si="17"/>
        <v>#DIV/0!</v>
      </c>
      <c r="K468" s="87" t="e">
        <f t="shared" si="17"/>
        <v>#DIV/0!</v>
      </c>
      <c r="L468" s="87" t="e">
        <f t="shared" si="17"/>
        <v>#DIV/0!</v>
      </c>
      <c r="M468" s="88" t="e">
        <f t="shared" si="17"/>
        <v>#DIV/0!</v>
      </c>
      <c r="O468" s="121" t="str">
        <f t="shared" si="18"/>
        <v>נשר</v>
      </c>
      <c r="P468" s="121" t="str">
        <f t="shared" si="18"/>
        <v>מגדל העמק</v>
      </c>
    </row>
    <row r="469" spans="1:16" x14ac:dyDescent="0.3">
      <c r="A469" s="61">
        <v>18</v>
      </c>
      <c r="B469" s="61">
        <v>22</v>
      </c>
      <c r="C469" s="97"/>
      <c r="D469" s="79"/>
      <c r="E469" s="79"/>
      <c r="F469" s="79"/>
      <c r="G469" s="94"/>
      <c r="I469" s="86" t="e">
        <f t="shared" si="17"/>
        <v>#DIV/0!</v>
      </c>
      <c r="J469" s="87" t="e">
        <f t="shared" si="17"/>
        <v>#DIV/0!</v>
      </c>
      <c r="K469" s="87" t="e">
        <f t="shared" si="17"/>
        <v>#DIV/0!</v>
      </c>
      <c r="L469" s="87" t="e">
        <f t="shared" si="17"/>
        <v>#DIV/0!</v>
      </c>
      <c r="M469" s="88" t="e">
        <f t="shared" si="17"/>
        <v>#DIV/0!</v>
      </c>
      <c r="O469" s="121" t="str">
        <f t="shared" si="18"/>
        <v>נשר</v>
      </c>
      <c r="P469" s="121" t="str">
        <f t="shared" si="18"/>
        <v>יוקנעם</v>
      </c>
    </row>
    <row r="470" spans="1:16" x14ac:dyDescent="0.3">
      <c r="A470" s="61">
        <v>18</v>
      </c>
      <c r="B470" s="61">
        <v>23</v>
      </c>
      <c r="C470" s="97"/>
      <c r="D470" s="79"/>
      <c r="E470" s="79"/>
      <c r="F470" s="79"/>
      <c r="G470" s="94"/>
      <c r="I470" s="86" t="e">
        <f t="shared" si="17"/>
        <v>#DIV/0!</v>
      </c>
      <c r="J470" s="87" t="e">
        <f t="shared" si="17"/>
        <v>#DIV/0!</v>
      </c>
      <c r="K470" s="87" t="e">
        <f t="shared" si="17"/>
        <v>#DIV/0!</v>
      </c>
      <c r="L470" s="87" t="e">
        <f t="shared" si="17"/>
        <v>#DIV/0!</v>
      </c>
      <c r="M470" s="88" t="e">
        <f t="shared" si="17"/>
        <v>#DIV/0!</v>
      </c>
      <c r="O470" s="121" t="str">
        <f t="shared" si="18"/>
        <v>נשר</v>
      </c>
      <c r="P470" s="121" t="str">
        <f t="shared" si="18"/>
        <v>דלית אל כרמל</v>
      </c>
    </row>
    <row r="471" spans="1:16" x14ac:dyDescent="0.3">
      <c r="A471" s="61">
        <v>18</v>
      </c>
      <c r="B471" s="61">
        <v>24</v>
      </c>
      <c r="C471" s="97"/>
      <c r="D471" s="79"/>
      <c r="E471" s="79"/>
      <c r="F471" s="79"/>
      <c r="G471" s="94"/>
      <c r="I471" s="86" t="e">
        <f t="shared" si="17"/>
        <v>#DIV/0!</v>
      </c>
      <c r="J471" s="87" t="e">
        <f t="shared" si="17"/>
        <v>#DIV/0!</v>
      </c>
      <c r="K471" s="87" t="e">
        <f t="shared" si="17"/>
        <v>#DIV/0!</v>
      </c>
      <c r="L471" s="87" t="e">
        <f t="shared" si="17"/>
        <v>#DIV/0!</v>
      </c>
      <c r="M471" s="88" t="e">
        <f t="shared" si="17"/>
        <v>#DIV/0!</v>
      </c>
      <c r="O471" s="121" t="str">
        <f t="shared" si="18"/>
        <v>נשר</v>
      </c>
      <c r="P471" s="121" t="str">
        <f t="shared" si="18"/>
        <v>חוף הכרמל</v>
      </c>
    </row>
    <row r="472" spans="1:16" x14ac:dyDescent="0.3">
      <c r="A472" s="61">
        <v>18</v>
      </c>
      <c r="B472" s="61">
        <v>25</v>
      </c>
      <c r="C472" s="97"/>
      <c r="D472" s="79"/>
      <c r="E472" s="79"/>
      <c r="F472" s="79"/>
      <c r="G472" s="94"/>
      <c r="I472" s="86" t="e">
        <f t="shared" si="17"/>
        <v>#DIV/0!</v>
      </c>
      <c r="J472" s="87" t="e">
        <f t="shared" si="17"/>
        <v>#DIV/0!</v>
      </c>
      <c r="K472" s="87" t="e">
        <f t="shared" si="17"/>
        <v>#DIV/0!</v>
      </c>
      <c r="L472" s="87" t="e">
        <f t="shared" si="17"/>
        <v>#DIV/0!</v>
      </c>
      <c r="M472" s="88" t="e">
        <f t="shared" si="17"/>
        <v>#DIV/0!</v>
      </c>
      <c r="O472" s="121" t="str">
        <f t="shared" si="18"/>
        <v>נשר</v>
      </c>
      <c r="P472" s="121" t="str">
        <f t="shared" si="18"/>
        <v>זכרון יעקב</v>
      </c>
    </row>
    <row r="473" spans="1:16" x14ac:dyDescent="0.3">
      <c r="A473" s="61">
        <v>18</v>
      </c>
      <c r="B473" s="61">
        <v>30</v>
      </c>
      <c r="C473" s="97"/>
      <c r="D473" s="79"/>
      <c r="E473" s="79"/>
      <c r="F473" s="79"/>
      <c r="G473" s="94"/>
      <c r="I473" s="86" t="e">
        <f t="shared" si="17"/>
        <v>#DIV/0!</v>
      </c>
      <c r="J473" s="87" t="e">
        <f t="shared" si="17"/>
        <v>#DIV/0!</v>
      </c>
      <c r="K473" s="87" t="e">
        <f t="shared" si="17"/>
        <v>#DIV/0!</v>
      </c>
      <c r="L473" s="87" t="e">
        <f t="shared" si="17"/>
        <v>#DIV/0!</v>
      </c>
      <c r="M473" s="88" t="e">
        <f t="shared" si="17"/>
        <v>#DIV/0!</v>
      </c>
      <c r="O473" s="121" t="str">
        <f t="shared" si="18"/>
        <v>נשר</v>
      </c>
      <c r="P473" s="121" t="str">
        <f t="shared" si="18"/>
        <v>סכנין</v>
      </c>
    </row>
    <row r="474" spans="1:16" x14ac:dyDescent="0.3">
      <c r="A474" s="61">
        <v>19</v>
      </c>
      <c r="B474" s="61">
        <v>1</v>
      </c>
      <c r="C474" s="97"/>
      <c r="D474" s="79"/>
      <c r="E474" s="79"/>
      <c r="F474" s="79"/>
      <c r="G474" s="94"/>
      <c r="I474" s="86" t="e">
        <f t="shared" si="17"/>
        <v>#DIV/0!</v>
      </c>
      <c r="J474" s="87" t="e">
        <f t="shared" si="17"/>
        <v>#DIV/0!</v>
      </c>
      <c r="K474" s="87" t="e">
        <f t="shared" si="17"/>
        <v>#DIV/0!</v>
      </c>
      <c r="L474" s="87" t="e">
        <f t="shared" si="17"/>
        <v>#DIV/0!</v>
      </c>
      <c r="M474" s="88" t="e">
        <f t="shared" si="17"/>
        <v>#DIV/0!</v>
      </c>
      <c r="O474" s="121" t="str">
        <f t="shared" si="18"/>
        <v>נצרת</v>
      </c>
      <c r="P474" s="121" t="str">
        <f t="shared" si="18"/>
        <v>נהריה</v>
      </c>
    </row>
    <row r="475" spans="1:16" x14ac:dyDescent="0.3">
      <c r="A475" s="61">
        <v>19</v>
      </c>
      <c r="B475" s="61">
        <v>2</v>
      </c>
      <c r="C475" s="97"/>
      <c r="D475" s="79"/>
      <c r="E475" s="79"/>
      <c r="F475" s="79"/>
      <c r="G475" s="94"/>
      <c r="I475" s="86" t="e">
        <f t="shared" si="17"/>
        <v>#DIV/0!</v>
      </c>
      <c r="J475" s="87" t="e">
        <f t="shared" si="17"/>
        <v>#DIV/0!</v>
      </c>
      <c r="K475" s="87" t="e">
        <f t="shared" si="17"/>
        <v>#DIV/0!</v>
      </c>
      <c r="L475" s="87" t="e">
        <f t="shared" si="17"/>
        <v>#DIV/0!</v>
      </c>
      <c r="M475" s="88" t="e">
        <f t="shared" si="17"/>
        <v>#DIV/0!</v>
      </c>
      <c r="O475" s="121" t="str">
        <f t="shared" si="18"/>
        <v>נצרת</v>
      </c>
      <c r="P475" s="121" t="str">
        <f t="shared" si="18"/>
        <v>עכו</v>
      </c>
    </row>
    <row r="476" spans="1:16" x14ac:dyDescent="0.3">
      <c r="A476" s="61">
        <v>19</v>
      </c>
      <c r="B476" s="61">
        <v>3</v>
      </c>
      <c r="C476" s="97"/>
      <c r="D476" s="79"/>
      <c r="E476" s="79"/>
      <c r="F476" s="79"/>
      <c r="G476" s="94"/>
      <c r="I476" s="86" t="e">
        <f t="shared" si="17"/>
        <v>#DIV/0!</v>
      </c>
      <c r="J476" s="87" t="e">
        <f t="shared" si="17"/>
        <v>#DIV/0!</v>
      </c>
      <c r="K476" s="87" t="e">
        <f t="shared" si="17"/>
        <v>#DIV/0!</v>
      </c>
      <c r="L476" s="87" t="e">
        <f t="shared" si="17"/>
        <v>#DIV/0!</v>
      </c>
      <c r="M476" s="88" t="e">
        <f t="shared" si="17"/>
        <v>#DIV/0!</v>
      </c>
      <c r="O476" s="121" t="str">
        <f t="shared" si="18"/>
        <v>נצרת</v>
      </c>
      <c r="P476" s="121" t="str">
        <f t="shared" si="18"/>
        <v>כרמיאל</v>
      </c>
    </row>
    <row r="477" spans="1:16" x14ac:dyDescent="0.3">
      <c r="A477" s="61">
        <v>19</v>
      </c>
      <c r="B477" s="61">
        <v>4</v>
      </c>
      <c r="C477" s="97"/>
      <c r="D477" s="79"/>
      <c r="E477" s="79"/>
      <c r="F477" s="79"/>
      <c r="G477" s="94"/>
      <c r="I477" s="86" t="e">
        <f t="shared" si="17"/>
        <v>#DIV/0!</v>
      </c>
      <c r="J477" s="87" t="e">
        <f t="shared" si="17"/>
        <v>#DIV/0!</v>
      </c>
      <c r="K477" s="87" t="e">
        <f t="shared" si="17"/>
        <v>#DIV/0!</v>
      </c>
      <c r="L477" s="87" t="e">
        <f t="shared" si="17"/>
        <v>#DIV/0!</v>
      </c>
      <c r="M477" s="88" t="e">
        <f t="shared" si="17"/>
        <v>#DIV/0!</v>
      </c>
      <c r="O477" s="121" t="str">
        <f t="shared" si="18"/>
        <v>נצרת</v>
      </c>
      <c r="P477" s="121" t="str">
        <f t="shared" si="18"/>
        <v>שפרעם</v>
      </c>
    </row>
    <row r="478" spans="1:16" x14ac:dyDescent="0.3">
      <c r="A478" s="61">
        <v>19</v>
      </c>
      <c r="B478" s="61">
        <v>5</v>
      </c>
      <c r="C478" s="97"/>
      <c r="D478" s="79"/>
      <c r="E478" s="79"/>
      <c r="F478" s="79"/>
      <c r="G478" s="94"/>
      <c r="I478" s="86" t="e">
        <f t="shared" ref="I478:M528" si="19">C478/SUM($C478:$G478)</f>
        <v>#DIV/0!</v>
      </c>
      <c r="J478" s="87" t="e">
        <f t="shared" si="19"/>
        <v>#DIV/0!</v>
      </c>
      <c r="K478" s="87" t="e">
        <f t="shared" si="19"/>
        <v>#DIV/0!</v>
      </c>
      <c r="L478" s="87" t="e">
        <f t="shared" si="19"/>
        <v>#DIV/0!</v>
      </c>
      <c r="M478" s="88" t="e">
        <f t="shared" si="19"/>
        <v>#DIV/0!</v>
      </c>
      <c r="O478" s="121" t="str">
        <f t="shared" si="18"/>
        <v>נצרת</v>
      </c>
      <c r="P478" s="121" t="str">
        <f t="shared" si="18"/>
        <v>קרית ים</v>
      </c>
    </row>
    <row r="479" spans="1:16" x14ac:dyDescent="0.3">
      <c r="A479" s="61">
        <v>19</v>
      </c>
      <c r="B479" s="61">
        <v>6</v>
      </c>
      <c r="C479" s="97"/>
      <c r="D479" s="79"/>
      <c r="E479" s="79"/>
      <c r="F479" s="79"/>
      <c r="G479" s="94"/>
      <c r="I479" s="86" t="e">
        <f t="shared" si="19"/>
        <v>#DIV/0!</v>
      </c>
      <c r="J479" s="87" t="e">
        <f t="shared" si="19"/>
        <v>#DIV/0!</v>
      </c>
      <c r="K479" s="87" t="e">
        <f t="shared" si="19"/>
        <v>#DIV/0!</v>
      </c>
      <c r="L479" s="87" t="e">
        <f t="shared" si="19"/>
        <v>#DIV/0!</v>
      </c>
      <c r="M479" s="88" t="e">
        <f t="shared" si="19"/>
        <v>#DIV/0!</v>
      </c>
      <c r="O479" s="121" t="str">
        <f t="shared" si="18"/>
        <v>נצרת</v>
      </c>
      <c r="P479" s="121" t="str">
        <f t="shared" si="18"/>
        <v>קרית מוצקין</v>
      </c>
    </row>
    <row r="480" spans="1:16" x14ac:dyDescent="0.3">
      <c r="A480" s="61">
        <v>19</v>
      </c>
      <c r="B480" s="61">
        <v>7</v>
      </c>
      <c r="C480" s="97"/>
      <c r="D480" s="79"/>
      <c r="E480" s="79"/>
      <c r="F480" s="79"/>
      <c r="G480" s="94"/>
      <c r="I480" s="86" t="e">
        <f t="shared" si="19"/>
        <v>#DIV/0!</v>
      </c>
      <c r="J480" s="87" t="e">
        <f t="shared" si="19"/>
        <v>#DIV/0!</v>
      </c>
      <c r="K480" s="87" t="e">
        <f t="shared" si="19"/>
        <v>#DIV/0!</v>
      </c>
      <c r="L480" s="87" t="e">
        <f t="shared" si="19"/>
        <v>#DIV/0!</v>
      </c>
      <c r="M480" s="88" t="e">
        <f t="shared" si="19"/>
        <v>#DIV/0!</v>
      </c>
      <c r="O480" s="121" t="str">
        <f t="shared" si="18"/>
        <v>נצרת</v>
      </c>
      <c r="P480" s="121" t="str">
        <f t="shared" si="18"/>
        <v>קרית ביאליק</v>
      </c>
    </row>
    <row r="481" spans="1:16" x14ac:dyDescent="0.3">
      <c r="A481" s="61">
        <v>19</v>
      </c>
      <c r="B481" s="61">
        <v>8</v>
      </c>
      <c r="C481" s="97"/>
      <c r="D481" s="79"/>
      <c r="E481" s="79"/>
      <c r="F481" s="79"/>
      <c r="G481" s="94"/>
      <c r="I481" s="86" t="e">
        <f t="shared" si="19"/>
        <v>#DIV/0!</v>
      </c>
      <c r="J481" s="87" t="e">
        <f t="shared" si="19"/>
        <v>#DIV/0!</v>
      </c>
      <c r="K481" s="87" t="e">
        <f t="shared" si="19"/>
        <v>#DIV/0!</v>
      </c>
      <c r="L481" s="87" t="e">
        <f t="shared" si="19"/>
        <v>#DIV/0!</v>
      </c>
      <c r="M481" s="88" t="e">
        <f t="shared" si="19"/>
        <v>#DIV/0!</v>
      </c>
      <c r="O481" s="121" t="str">
        <f t="shared" si="18"/>
        <v>נצרת</v>
      </c>
      <c r="P481" s="121" t="str">
        <f t="shared" si="18"/>
        <v>קרית חיים</v>
      </c>
    </row>
    <row r="482" spans="1:16" x14ac:dyDescent="0.3">
      <c r="A482" s="61">
        <v>19</v>
      </c>
      <c r="B482" s="61">
        <v>9</v>
      </c>
      <c r="C482" s="97"/>
      <c r="D482" s="79"/>
      <c r="E482" s="79"/>
      <c r="F482" s="79"/>
      <c r="G482" s="94"/>
      <c r="I482" s="86" t="e">
        <f t="shared" si="19"/>
        <v>#DIV/0!</v>
      </c>
      <c r="J482" s="87" t="e">
        <f t="shared" si="19"/>
        <v>#DIV/0!</v>
      </c>
      <c r="K482" s="87" t="e">
        <f t="shared" si="19"/>
        <v>#DIV/0!</v>
      </c>
      <c r="L482" s="87" t="e">
        <f t="shared" si="19"/>
        <v>#DIV/0!</v>
      </c>
      <c r="M482" s="88" t="e">
        <f t="shared" si="19"/>
        <v>#DIV/0!</v>
      </c>
      <c r="O482" s="121" t="str">
        <f t="shared" si="18"/>
        <v>נצרת</v>
      </c>
      <c r="P482" s="121" t="str">
        <f t="shared" si="18"/>
        <v>קרית אתא</v>
      </c>
    </row>
    <row r="483" spans="1:16" x14ac:dyDescent="0.3">
      <c r="A483" s="61">
        <v>19</v>
      </c>
      <c r="B483" s="61">
        <v>10</v>
      </c>
      <c r="C483" s="97"/>
      <c r="D483" s="79"/>
      <c r="E483" s="79"/>
      <c r="F483" s="79"/>
      <c r="G483" s="94"/>
      <c r="I483" s="86" t="e">
        <f t="shared" si="19"/>
        <v>#DIV/0!</v>
      </c>
      <c r="J483" s="87" t="e">
        <f t="shared" si="19"/>
        <v>#DIV/0!</v>
      </c>
      <c r="K483" s="87" t="e">
        <f t="shared" si="19"/>
        <v>#DIV/0!</v>
      </c>
      <c r="L483" s="87" t="e">
        <f t="shared" si="19"/>
        <v>#DIV/0!</v>
      </c>
      <c r="M483" s="88" t="e">
        <f t="shared" si="19"/>
        <v>#DIV/0!</v>
      </c>
      <c r="O483" s="121" t="str">
        <f t="shared" si="18"/>
        <v>נצרת</v>
      </c>
      <c r="P483" s="121" t="str">
        <f t="shared" si="18"/>
        <v>כפר מנדא</v>
      </c>
    </row>
    <row r="484" spans="1:16" x14ac:dyDescent="0.3">
      <c r="A484" s="61">
        <v>19</v>
      </c>
      <c r="B484" s="61">
        <v>11</v>
      </c>
      <c r="C484" s="97"/>
      <c r="D484" s="79"/>
      <c r="E484" s="79"/>
      <c r="F484" s="79"/>
      <c r="G484" s="94"/>
      <c r="I484" s="86" t="e">
        <f t="shared" si="19"/>
        <v>#DIV/0!</v>
      </c>
      <c r="J484" s="87" t="e">
        <f t="shared" si="19"/>
        <v>#DIV/0!</v>
      </c>
      <c r="K484" s="87" t="e">
        <f t="shared" si="19"/>
        <v>#DIV/0!</v>
      </c>
      <c r="L484" s="87" t="e">
        <f t="shared" si="19"/>
        <v>#DIV/0!</v>
      </c>
      <c r="M484" s="88" t="e">
        <f t="shared" si="19"/>
        <v>#DIV/0!</v>
      </c>
      <c r="O484" s="121" t="str">
        <f t="shared" si="18"/>
        <v>נצרת</v>
      </c>
      <c r="P484" s="121" t="str">
        <f t="shared" si="18"/>
        <v>זבולון</v>
      </c>
    </row>
    <row r="485" spans="1:16" x14ac:dyDescent="0.3">
      <c r="A485" s="61">
        <v>19</v>
      </c>
      <c r="B485" s="61">
        <v>12</v>
      </c>
      <c r="C485" s="97"/>
      <c r="D485" s="79"/>
      <c r="E485" s="79"/>
      <c r="F485" s="79"/>
      <c r="G485" s="94"/>
      <c r="I485" s="86" t="e">
        <f t="shared" si="19"/>
        <v>#DIV/0!</v>
      </c>
      <c r="J485" s="87" t="e">
        <f t="shared" si="19"/>
        <v>#DIV/0!</v>
      </c>
      <c r="K485" s="87" t="e">
        <f t="shared" si="19"/>
        <v>#DIV/0!</v>
      </c>
      <c r="L485" s="87" t="e">
        <f t="shared" si="19"/>
        <v>#DIV/0!</v>
      </c>
      <c r="M485" s="88" t="e">
        <f t="shared" si="19"/>
        <v>#DIV/0!</v>
      </c>
      <c r="O485" s="121" t="str">
        <f t="shared" si="18"/>
        <v>נצרת</v>
      </c>
      <c r="P485" s="121" t="str">
        <f t="shared" si="18"/>
        <v>חיפה מפרץ</v>
      </c>
    </row>
    <row r="486" spans="1:16" x14ac:dyDescent="0.3">
      <c r="A486" s="61">
        <v>19</v>
      </c>
      <c r="B486" s="61">
        <v>13</v>
      </c>
      <c r="C486" s="97"/>
      <c r="D486" s="79"/>
      <c r="E486" s="79"/>
      <c r="F486" s="79"/>
      <c r="G486" s="94"/>
      <c r="I486" s="86" t="e">
        <f t="shared" si="19"/>
        <v>#DIV/0!</v>
      </c>
      <c r="J486" s="87" t="e">
        <f t="shared" si="19"/>
        <v>#DIV/0!</v>
      </c>
      <c r="K486" s="87" t="e">
        <f t="shared" si="19"/>
        <v>#DIV/0!</v>
      </c>
      <c r="L486" s="87" t="e">
        <f t="shared" si="19"/>
        <v>#DIV/0!</v>
      </c>
      <c r="M486" s="88" t="e">
        <f t="shared" si="19"/>
        <v>#DIV/0!</v>
      </c>
      <c r="O486" s="121" t="str">
        <f t="shared" si="18"/>
        <v>נצרת</v>
      </c>
      <c r="P486" s="121" t="str">
        <f t="shared" si="18"/>
        <v>חיפה עיר תחתית</v>
      </c>
    </row>
    <row r="487" spans="1:16" x14ac:dyDescent="0.3">
      <c r="A487" s="61">
        <v>19</v>
      </c>
      <c r="B487" s="61">
        <v>14</v>
      </c>
      <c r="C487" s="97"/>
      <c r="D487" s="79"/>
      <c r="E487" s="79"/>
      <c r="F487" s="79"/>
      <c r="G487" s="94"/>
      <c r="I487" s="86" t="e">
        <f t="shared" si="19"/>
        <v>#DIV/0!</v>
      </c>
      <c r="J487" s="87" t="e">
        <f t="shared" si="19"/>
        <v>#DIV/0!</v>
      </c>
      <c r="K487" s="87" t="e">
        <f t="shared" si="19"/>
        <v>#DIV/0!</v>
      </c>
      <c r="L487" s="87" t="e">
        <f t="shared" si="19"/>
        <v>#DIV/0!</v>
      </c>
      <c r="M487" s="88" t="e">
        <f t="shared" si="19"/>
        <v>#DIV/0!</v>
      </c>
      <c r="O487" s="121" t="str">
        <f t="shared" si="18"/>
        <v>נצרת</v>
      </c>
      <c r="P487" s="121" t="str">
        <f t="shared" si="18"/>
        <v>חיפה הדר-כרמל</v>
      </c>
    </row>
    <row r="488" spans="1:16" x14ac:dyDescent="0.3">
      <c r="A488" s="61">
        <v>19</v>
      </c>
      <c r="B488" s="61">
        <v>15</v>
      </c>
      <c r="C488" s="97"/>
      <c r="D488" s="79"/>
      <c r="E488" s="79"/>
      <c r="F488" s="79"/>
      <c r="G488" s="94"/>
      <c r="I488" s="86" t="e">
        <f t="shared" si="19"/>
        <v>#DIV/0!</v>
      </c>
      <c r="J488" s="87" t="e">
        <f t="shared" si="19"/>
        <v>#DIV/0!</v>
      </c>
      <c r="K488" s="87" t="e">
        <f t="shared" si="19"/>
        <v>#DIV/0!</v>
      </c>
      <c r="L488" s="87" t="e">
        <f t="shared" si="19"/>
        <v>#DIV/0!</v>
      </c>
      <c r="M488" s="88" t="e">
        <f t="shared" si="19"/>
        <v>#DIV/0!</v>
      </c>
      <c r="O488" s="121" t="str">
        <f t="shared" si="18"/>
        <v>נצרת</v>
      </c>
      <c r="P488" s="121" t="str">
        <f t="shared" si="18"/>
        <v>חיפה מערב</v>
      </c>
    </row>
    <row r="489" spans="1:16" x14ac:dyDescent="0.3">
      <c r="A489" s="61">
        <v>19</v>
      </c>
      <c r="B489" s="61">
        <v>16</v>
      </c>
      <c r="C489" s="97"/>
      <c r="D489" s="79"/>
      <c r="E489" s="79"/>
      <c r="F489" s="79"/>
      <c r="G489" s="94"/>
      <c r="I489" s="86" t="e">
        <f t="shared" si="19"/>
        <v>#DIV/0!</v>
      </c>
      <c r="J489" s="87" t="e">
        <f t="shared" si="19"/>
        <v>#DIV/0!</v>
      </c>
      <c r="K489" s="87" t="e">
        <f t="shared" si="19"/>
        <v>#DIV/0!</v>
      </c>
      <c r="L489" s="87" t="e">
        <f t="shared" si="19"/>
        <v>#DIV/0!</v>
      </c>
      <c r="M489" s="88" t="e">
        <f t="shared" si="19"/>
        <v>#DIV/0!</v>
      </c>
      <c r="O489" s="121" t="str">
        <f t="shared" si="18"/>
        <v>נצרת</v>
      </c>
      <c r="P489" s="121" t="str">
        <f t="shared" si="18"/>
        <v>חיפה כרמל</v>
      </c>
    </row>
    <row r="490" spans="1:16" x14ac:dyDescent="0.3">
      <c r="A490" s="61">
        <v>19</v>
      </c>
      <c r="B490" s="61">
        <v>17</v>
      </c>
      <c r="C490" s="97"/>
      <c r="D490" s="79"/>
      <c r="E490" s="79"/>
      <c r="F490" s="79"/>
      <c r="G490" s="94"/>
      <c r="I490" s="86" t="e">
        <f t="shared" si="19"/>
        <v>#DIV/0!</v>
      </c>
      <c r="J490" s="87" t="e">
        <f t="shared" si="19"/>
        <v>#DIV/0!</v>
      </c>
      <c r="K490" s="87" t="e">
        <f t="shared" si="19"/>
        <v>#DIV/0!</v>
      </c>
      <c r="L490" s="87" t="e">
        <f t="shared" si="19"/>
        <v>#DIV/0!</v>
      </c>
      <c r="M490" s="88" t="e">
        <f t="shared" si="19"/>
        <v>#DIV/0!</v>
      </c>
      <c r="O490" s="121" t="str">
        <f t="shared" si="18"/>
        <v>נצרת</v>
      </c>
      <c r="P490" s="121" t="str">
        <f t="shared" si="18"/>
        <v>חיפה נווה שאנן</v>
      </c>
    </row>
    <row r="491" spans="1:16" x14ac:dyDescent="0.3">
      <c r="A491" s="61">
        <v>19</v>
      </c>
      <c r="B491" s="61">
        <v>18</v>
      </c>
      <c r="C491" s="97"/>
      <c r="D491" s="79"/>
      <c r="E491" s="79"/>
      <c r="F491" s="79"/>
      <c r="G491" s="94"/>
      <c r="I491" s="86" t="e">
        <f t="shared" si="19"/>
        <v>#DIV/0!</v>
      </c>
      <c r="J491" s="87" t="e">
        <f t="shared" si="19"/>
        <v>#DIV/0!</v>
      </c>
      <c r="K491" s="87" t="e">
        <f t="shared" si="19"/>
        <v>#DIV/0!</v>
      </c>
      <c r="L491" s="87" t="e">
        <f t="shared" si="19"/>
        <v>#DIV/0!</v>
      </c>
      <c r="M491" s="88" t="e">
        <f t="shared" si="19"/>
        <v>#DIV/0!</v>
      </c>
      <c r="O491" s="121" t="str">
        <f t="shared" si="18"/>
        <v>נצרת</v>
      </c>
      <c r="P491" s="121" t="str">
        <f t="shared" si="18"/>
        <v>נשר</v>
      </c>
    </row>
    <row r="492" spans="1:16" x14ac:dyDescent="0.3">
      <c r="A492" s="61">
        <v>19</v>
      </c>
      <c r="B492" s="61">
        <v>19</v>
      </c>
      <c r="C492" s="97"/>
      <c r="D492" s="79"/>
      <c r="E492" s="79"/>
      <c r="F492" s="79"/>
      <c r="G492" s="94"/>
      <c r="I492" s="86" t="e">
        <f t="shared" si="19"/>
        <v>#DIV/0!</v>
      </c>
      <c r="J492" s="87" t="e">
        <f t="shared" si="19"/>
        <v>#DIV/0!</v>
      </c>
      <c r="K492" s="87" t="e">
        <f t="shared" si="19"/>
        <v>#DIV/0!</v>
      </c>
      <c r="L492" s="87" t="e">
        <f t="shared" si="19"/>
        <v>#DIV/0!</v>
      </c>
      <c r="M492" s="88" t="e">
        <f t="shared" si="19"/>
        <v>#DIV/0!</v>
      </c>
      <c r="O492" s="121" t="str">
        <f t="shared" si="18"/>
        <v>נצרת</v>
      </c>
      <c r="P492" s="121" t="str">
        <f t="shared" si="18"/>
        <v>נצרת</v>
      </c>
    </row>
    <row r="493" spans="1:16" x14ac:dyDescent="0.3">
      <c r="A493" s="61">
        <v>19</v>
      </c>
      <c r="B493" s="61">
        <v>20</v>
      </c>
      <c r="C493" s="97"/>
      <c r="D493" s="79"/>
      <c r="E493" s="79"/>
      <c r="F493" s="79"/>
      <c r="G493" s="94"/>
      <c r="I493" s="86" t="e">
        <f t="shared" si="19"/>
        <v>#DIV/0!</v>
      </c>
      <c r="J493" s="87" t="e">
        <f t="shared" si="19"/>
        <v>#DIV/0!</v>
      </c>
      <c r="K493" s="87" t="e">
        <f t="shared" si="19"/>
        <v>#DIV/0!</v>
      </c>
      <c r="L493" s="87" t="e">
        <f t="shared" si="19"/>
        <v>#DIV/0!</v>
      </c>
      <c r="M493" s="88" t="e">
        <f t="shared" si="19"/>
        <v>#DIV/0!</v>
      </c>
      <c r="O493" s="121" t="str">
        <f t="shared" si="18"/>
        <v>נצרת</v>
      </c>
      <c r="P493" s="121" t="str">
        <f t="shared" si="18"/>
        <v>נצרת-עילית</v>
      </c>
    </row>
    <row r="494" spans="1:16" x14ac:dyDescent="0.3">
      <c r="A494" s="61">
        <v>19</v>
      </c>
      <c r="B494" s="61">
        <v>21</v>
      </c>
      <c r="C494" s="97"/>
      <c r="D494" s="79"/>
      <c r="E494" s="79"/>
      <c r="F494" s="79"/>
      <c r="G494" s="94"/>
      <c r="I494" s="86" t="e">
        <f t="shared" si="19"/>
        <v>#DIV/0!</v>
      </c>
      <c r="J494" s="87" t="e">
        <f t="shared" si="19"/>
        <v>#DIV/0!</v>
      </c>
      <c r="K494" s="87" t="e">
        <f t="shared" si="19"/>
        <v>#DIV/0!</v>
      </c>
      <c r="L494" s="87" t="e">
        <f t="shared" si="19"/>
        <v>#DIV/0!</v>
      </c>
      <c r="M494" s="88" t="e">
        <f t="shared" si="19"/>
        <v>#DIV/0!</v>
      </c>
      <c r="O494" s="121" t="str">
        <f t="shared" si="18"/>
        <v>נצרת</v>
      </c>
      <c r="P494" s="121" t="str">
        <f t="shared" si="18"/>
        <v>מגדל העמק</v>
      </c>
    </row>
    <row r="495" spans="1:16" x14ac:dyDescent="0.3">
      <c r="A495" s="61">
        <v>19</v>
      </c>
      <c r="B495" s="61">
        <v>22</v>
      </c>
      <c r="C495" s="97"/>
      <c r="D495" s="79"/>
      <c r="E495" s="79"/>
      <c r="F495" s="79"/>
      <c r="G495" s="94"/>
      <c r="I495" s="86" t="e">
        <f t="shared" si="19"/>
        <v>#DIV/0!</v>
      </c>
      <c r="J495" s="87" t="e">
        <f t="shared" si="19"/>
        <v>#DIV/0!</v>
      </c>
      <c r="K495" s="87" t="e">
        <f t="shared" si="19"/>
        <v>#DIV/0!</v>
      </c>
      <c r="L495" s="87" t="e">
        <f t="shared" si="19"/>
        <v>#DIV/0!</v>
      </c>
      <c r="M495" s="88" t="e">
        <f t="shared" si="19"/>
        <v>#DIV/0!</v>
      </c>
      <c r="O495" s="121" t="str">
        <f t="shared" si="18"/>
        <v>נצרת</v>
      </c>
      <c r="P495" s="121" t="str">
        <f t="shared" si="18"/>
        <v>יוקנעם</v>
      </c>
    </row>
    <row r="496" spans="1:16" x14ac:dyDescent="0.3">
      <c r="A496" s="61">
        <v>19</v>
      </c>
      <c r="B496" s="61">
        <v>23</v>
      </c>
      <c r="C496" s="97"/>
      <c r="D496" s="79"/>
      <c r="E496" s="79"/>
      <c r="F496" s="79"/>
      <c r="G496" s="94"/>
      <c r="I496" s="86" t="e">
        <f t="shared" si="19"/>
        <v>#DIV/0!</v>
      </c>
      <c r="J496" s="87" t="e">
        <f t="shared" si="19"/>
        <v>#DIV/0!</v>
      </c>
      <c r="K496" s="87" t="e">
        <f t="shared" si="19"/>
        <v>#DIV/0!</v>
      </c>
      <c r="L496" s="87" t="e">
        <f t="shared" si="19"/>
        <v>#DIV/0!</v>
      </c>
      <c r="M496" s="88" t="e">
        <f t="shared" si="19"/>
        <v>#DIV/0!</v>
      </c>
      <c r="O496" s="121" t="str">
        <f t="shared" si="18"/>
        <v>נצרת</v>
      </c>
      <c r="P496" s="121" t="str">
        <f t="shared" si="18"/>
        <v>דלית אל כרמל</v>
      </c>
    </row>
    <row r="497" spans="1:16" x14ac:dyDescent="0.3">
      <c r="A497" s="61">
        <v>19</v>
      </c>
      <c r="B497" s="61">
        <v>24</v>
      </c>
      <c r="C497" s="97"/>
      <c r="D497" s="79"/>
      <c r="E497" s="79"/>
      <c r="F497" s="79"/>
      <c r="G497" s="94"/>
      <c r="I497" s="86" t="e">
        <f t="shared" si="19"/>
        <v>#DIV/0!</v>
      </c>
      <c r="J497" s="87" t="e">
        <f t="shared" si="19"/>
        <v>#DIV/0!</v>
      </c>
      <c r="K497" s="87" t="e">
        <f t="shared" si="19"/>
        <v>#DIV/0!</v>
      </c>
      <c r="L497" s="87" t="e">
        <f t="shared" si="19"/>
        <v>#DIV/0!</v>
      </c>
      <c r="M497" s="88" t="e">
        <f t="shared" si="19"/>
        <v>#DIV/0!</v>
      </c>
      <c r="O497" s="121" t="str">
        <f t="shared" si="18"/>
        <v>נצרת</v>
      </c>
      <c r="P497" s="121" t="str">
        <f t="shared" si="18"/>
        <v>חוף הכרמל</v>
      </c>
    </row>
    <row r="498" spans="1:16" x14ac:dyDescent="0.3">
      <c r="A498" s="61">
        <v>19</v>
      </c>
      <c r="B498" s="61">
        <v>25</v>
      </c>
      <c r="C498" s="97"/>
      <c r="D498" s="79"/>
      <c r="E498" s="79"/>
      <c r="F498" s="79"/>
      <c r="G498" s="94"/>
      <c r="I498" s="86" t="e">
        <f t="shared" si="19"/>
        <v>#DIV/0!</v>
      </c>
      <c r="J498" s="87" t="e">
        <f t="shared" si="19"/>
        <v>#DIV/0!</v>
      </c>
      <c r="K498" s="87" t="e">
        <f t="shared" si="19"/>
        <v>#DIV/0!</v>
      </c>
      <c r="L498" s="87" t="e">
        <f t="shared" si="19"/>
        <v>#DIV/0!</v>
      </c>
      <c r="M498" s="88" t="e">
        <f t="shared" si="19"/>
        <v>#DIV/0!</v>
      </c>
      <c r="O498" s="121" t="str">
        <f t="shared" si="18"/>
        <v>נצרת</v>
      </c>
      <c r="P498" s="121" t="str">
        <f t="shared" si="18"/>
        <v>זכרון יעקב</v>
      </c>
    </row>
    <row r="499" spans="1:16" x14ac:dyDescent="0.3">
      <c r="A499" s="61">
        <v>19</v>
      </c>
      <c r="B499" s="61">
        <v>30</v>
      </c>
      <c r="C499" s="97"/>
      <c r="D499" s="79"/>
      <c r="E499" s="79"/>
      <c r="F499" s="79"/>
      <c r="G499" s="94"/>
      <c r="I499" s="86" t="e">
        <f t="shared" si="19"/>
        <v>#DIV/0!</v>
      </c>
      <c r="J499" s="87" t="e">
        <f t="shared" si="19"/>
        <v>#DIV/0!</v>
      </c>
      <c r="K499" s="87" t="e">
        <f t="shared" si="19"/>
        <v>#DIV/0!</v>
      </c>
      <c r="L499" s="87" t="e">
        <f t="shared" si="19"/>
        <v>#DIV/0!</v>
      </c>
      <c r="M499" s="88" t="e">
        <f t="shared" si="19"/>
        <v>#DIV/0!</v>
      </c>
      <c r="O499" s="121" t="str">
        <f t="shared" si="18"/>
        <v>נצרת</v>
      </c>
      <c r="P499" s="121" t="str">
        <f t="shared" si="18"/>
        <v>סכנין</v>
      </c>
    </row>
    <row r="500" spans="1:16" x14ac:dyDescent="0.3">
      <c r="A500" s="61">
        <v>20</v>
      </c>
      <c r="B500" s="61">
        <v>1</v>
      </c>
      <c r="C500" s="97"/>
      <c r="D500" s="79"/>
      <c r="E500" s="79"/>
      <c r="F500" s="79"/>
      <c r="G500" s="94"/>
      <c r="I500" s="86" t="e">
        <f t="shared" si="19"/>
        <v>#DIV/0!</v>
      </c>
      <c r="J500" s="87" t="e">
        <f t="shared" si="19"/>
        <v>#DIV/0!</v>
      </c>
      <c r="K500" s="87" t="e">
        <f t="shared" si="19"/>
        <v>#DIV/0!</v>
      </c>
      <c r="L500" s="87" t="e">
        <f t="shared" si="19"/>
        <v>#DIV/0!</v>
      </c>
      <c r="M500" s="88" t="e">
        <f t="shared" si="19"/>
        <v>#DIV/0!</v>
      </c>
      <c r="O500" s="121" t="str">
        <f t="shared" si="18"/>
        <v>נצרת-עילית</v>
      </c>
      <c r="P500" s="121" t="str">
        <f t="shared" si="18"/>
        <v>נהריה</v>
      </c>
    </row>
    <row r="501" spans="1:16" x14ac:dyDescent="0.3">
      <c r="A501" s="61">
        <v>20</v>
      </c>
      <c r="B501" s="61">
        <v>2</v>
      </c>
      <c r="C501" s="97"/>
      <c r="D501" s="79"/>
      <c r="E501" s="79"/>
      <c r="F501" s="79"/>
      <c r="G501" s="94"/>
      <c r="I501" s="86" t="e">
        <f t="shared" si="19"/>
        <v>#DIV/0!</v>
      </c>
      <c r="J501" s="87" t="e">
        <f t="shared" si="19"/>
        <v>#DIV/0!</v>
      </c>
      <c r="K501" s="87" t="e">
        <f t="shared" si="19"/>
        <v>#DIV/0!</v>
      </c>
      <c r="L501" s="87" t="e">
        <f t="shared" si="19"/>
        <v>#DIV/0!</v>
      </c>
      <c r="M501" s="88" t="e">
        <f t="shared" si="19"/>
        <v>#DIV/0!</v>
      </c>
      <c r="O501" s="121" t="str">
        <f t="shared" si="18"/>
        <v>נצרת-עילית</v>
      </c>
      <c r="P501" s="121" t="str">
        <f t="shared" si="18"/>
        <v>עכו</v>
      </c>
    </row>
    <row r="502" spans="1:16" x14ac:dyDescent="0.3">
      <c r="A502" s="61">
        <v>20</v>
      </c>
      <c r="B502" s="61">
        <v>3</v>
      </c>
      <c r="C502" s="97"/>
      <c r="D502" s="79"/>
      <c r="E502" s="79"/>
      <c r="F502" s="79"/>
      <c r="G502" s="94"/>
      <c r="I502" s="86" t="e">
        <f t="shared" si="19"/>
        <v>#DIV/0!</v>
      </c>
      <c r="J502" s="87" t="e">
        <f t="shared" si="19"/>
        <v>#DIV/0!</v>
      </c>
      <c r="K502" s="87" t="e">
        <f t="shared" si="19"/>
        <v>#DIV/0!</v>
      </c>
      <c r="L502" s="87" t="e">
        <f t="shared" si="19"/>
        <v>#DIV/0!</v>
      </c>
      <c r="M502" s="88" t="e">
        <f t="shared" si="19"/>
        <v>#DIV/0!</v>
      </c>
      <c r="O502" s="121" t="str">
        <f t="shared" si="18"/>
        <v>נצרת-עילית</v>
      </c>
      <c r="P502" s="121" t="str">
        <f t="shared" si="18"/>
        <v>כרמיאל</v>
      </c>
    </row>
    <row r="503" spans="1:16" x14ac:dyDescent="0.3">
      <c r="A503" s="61">
        <v>20</v>
      </c>
      <c r="B503" s="61">
        <v>4</v>
      </c>
      <c r="C503" s="97"/>
      <c r="D503" s="79"/>
      <c r="E503" s="79"/>
      <c r="F503" s="79"/>
      <c r="G503" s="94"/>
      <c r="I503" s="86" t="e">
        <f t="shared" si="19"/>
        <v>#DIV/0!</v>
      </c>
      <c r="J503" s="87" t="e">
        <f t="shared" si="19"/>
        <v>#DIV/0!</v>
      </c>
      <c r="K503" s="87" t="e">
        <f t="shared" si="19"/>
        <v>#DIV/0!</v>
      </c>
      <c r="L503" s="87" t="e">
        <f t="shared" si="19"/>
        <v>#DIV/0!</v>
      </c>
      <c r="M503" s="88" t="e">
        <f t="shared" si="19"/>
        <v>#DIV/0!</v>
      </c>
      <c r="O503" s="121" t="str">
        <f t="shared" si="18"/>
        <v>נצרת-עילית</v>
      </c>
      <c r="P503" s="121" t="str">
        <f t="shared" si="18"/>
        <v>שפרעם</v>
      </c>
    </row>
    <row r="504" spans="1:16" x14ac:dyDescent="0.3">
      <c r="A504" s="61">
        <v>20</v>
      </c>
      <c r="B504" s="61">
        <v>5</v>
      </c>
      <c r="C504" s="97"/>
      <c r="D504" s="79"/>
      <c r="E504" s="79"/>
      <c r="F504" s="79"/>
      <c r="G504" s="94"/>
      <c r="I504" s="86" t="e">
        <f t="shared" si="19"/>
        <v>#DIV/0!</v>
      </c>
      <c r="J504" s="87" t="e">
        <f t="shared" si="19"/>
        <v>#DIV/0!</v>
      </c>
      <c r="K504" s="87" t="e">
        <f t="shared" si="19"/>
        <v>#DIV/0!</v>
      </c>
      <c r="L504" s="87" t="e">
        <f t="shared" si="19"/>
        <v>#DIV/0!</v>
      </c>
      <c r="M504" s="88" t="e">
        <f t="shared" si="19"/>
        <v>#DIV/0!</v>
      </c>
      <c r="O504" s="121" t="str">
        <f t="shared" si="18"/>
        <v>נצרת-עילית</v>
      </c>
      <c r="P504" s="121" t="str">
        <f t="shared" si="18"/>
        <v>קרית ים</v>
      </c>
    </row>
    <row r="505" spans="1:16" x14ac:dyDescent="0.3">
      <c r="A505" s="61">
        <v>20</v>
      </c>
      <c r="B505" s="61">
        <v>6</v>
      </c>
      <c r="C505" s="97"/>
      <c r="D505" s="79"/>
      <c r="E505" s="79"/>
      <c r="F505" s="79"/>
      <c r="G505" s="94"/>
      <c r="I505" s="86" t="e">
        <f t="shared" si="19"/>
        <v>#DIV/0!</v>
      </c>
      <c r="J505" s="87" t="e">
        <f t="shared" si="19"/>
        <v>#DIV/0!</v>
      </c>
      <c r="K505" s="87" t="e">
        <f t="shared" si="19"/>
        <v>#DIV/0!</v>
      </c>
      <c r="L505" s="87" t="e">
        <f t="shared" si="19"/>
        <v>#DIV/0!</v>
      </c>
      <c r="M505" s="88" t="e">
        <f t="shared" si="19"/>
        <v>#DIV/0!</v>
      </c>
      <c r="O505" s="121" t="str">
        <f t="shared" si="18"/>
        <v>נצרת-עילית</v>
      </c>
      <c r="P505" s="121" t="str">
        <f t="shared" si="18"/>
        <v>קרית מוצקין</v>
      </c>
    </row>
    <row r="506" spans="1:16" x14ac:dyDescent="0.3">
      <c r="A506" s="61">
        <v>20</v>
      </c>
      <c r="B506" s="61">
        <v>7</v>
      </c>
      <c r="C506" s="97"/>
      <c r="D506" s="79"/>
      <c r="E506" s="79"/>
      <c r="F506" s="79"/>
      <c r="G506" s="94"/>
      <c r="I506" s="86" t="e">
        <f t="shared" si="19"/>
        <v>#DIV/0!</v>
      </c>
      <c r="J506" s="87" t="e">
        <f t="shared" si="19"/>
        <v>#DIV/0!</v>
      </c>
      <c r="K506" s="87" t="e">
        <f t="shared" si="19"/>
        <v>#DIV/0!</v>
      </c>
      <c r="L506" s="87" t="e">
        <f t="shared" si="19"/>
        <v>#DIV/0!</v>
      </c>
      <c r="M506" s="88" t="e">
        <f t="shared" si="19"/>
        <v>#DIV/0!</v>
      </c>
      <c r="O506" s="121" t="str">
        <f t="shared" si="18"/>
        <v>נצרת-עילית</v>
      </c>
      <c r="P506" s="121" t="str">
        <f t="shared" si="18"/>
        <v>קרית ביאליק</v>
      </c>
    </row>
    <row r="507" spans="1:16" x14ac:dyDescent="0.3">
      <c r="A507" s="61">
        <v>20</v>
      </c>
      <c r="B507" s="61">
        <v>8</v>
      </c>
      <c r="C507" s="97"/>
      <c r="D507" s="79"/>
      <c r="E507" s="79"/>
      <c r="F507" s="79"/>
      <c r="G507" s="94"/>
      <c r="I507" s="86" t="e">
        <f t="shared" si="19"/>
        <v>#DIV/0!</v>
      </c>
      <c r="J507" s="87" t="e">
        <f t="shared" si="19"/>
        <v>#DIV/0!</v>
      </c>
      <c r="K507" s="87" t="e">
        <f t="shared" si="19"/>
        <v>#DIV/0!</v>
      </c>
      <c r="L507" s="87" t="e">
        <f t="shared" si="19"/>
        <v>#DIV/0!</v>
      </c>
      <c r="M507" s="88" t="e">
        <f t="shared" si="19"/>
        <v>#DIV/0!</v>
      </c>
      <c r="O507" s="121" t="str">
        <f t="shared" si="18"/>
        <v>נצרת-עילית</v>
      </c>
      <c r="P507" s="121" t="str">
        <f t="shared" si="18"/>
        <v>קרית חיים</v>
      </c>
    </row>
    <row r="508" spans="1:16" x14ac:dyDescent="0.3">
      <c r="A508" s="61">
        <v>20</v>
      </c>
      <c r="B508" s="61">
        <v>9</v>
      </c>
      <c r="C508" s="97"/>
      <c r="D508" s="79"/>
      <c r="E508" s="79"/>
      <c r="F508" s="79"/>
      <c r="G508" s="94"/>
      <c r="I508" s="86" t="e">
        <f t="shared" si="19"/>
        <v>#DIV/0!</v>
      </c>
      <c r="J508" s="87" t="e">
        <f t="shared" si="19"/>
        <v>#DIV/0!</v>
      </c>
      <c r="K508" s="87" t="e">
        <f t="shared" si="19"/>
        <v>#DIV/0!</v>
      </c>
      <c r="L508" s="87" t="e">
        <f t="shared" si="19"/>
        <v>#DIV/0!</v>
      </c>
      <c r="M508" s="88" t="e">
        <f t="shared" si="19"/>
        <v>#DIV/0!</v>
      </c>
      <c r="O508" s="121" t="str">
        <f t="shared" si="18"/>
        <v>נצרת-עילית</v>
      </c>
      <c r="P508" s="121" t="str">
        <f t="shared" si="18"/>
        <v>קרית אתא</v>
      </c>
    </row>
    <row r="509" spans="1:16" x14ac:dyDescent="0.3">
      <c r="A509" s="61">
        <v>20</v>
      </c>
      <c r="B509" s="61">
        <v>10</v>
      </c>
      <c r="C509" s="97"/>
      <c r="D509" s="79"/>
      <c r="E509" s="79"/>
      <c r="F509" s="79"/>
      <c r="G509" s="94"/>
      <c r="I509" s="86" t="e">
        <f t="shared" si="19"/>
        <v>#DIV/0!</v>
      </c>
      <c r="J509" s="87" t="e">
        <f t="shared" si="19"/>
        <v>#DIV/0!</v>
      </c>
      <c r="K509" s="87" t="e">
        <f t="shared" si="19"/>
        <v>#DIV/0!</v>
      </c>
      <c r="L509" s="87" t="e">
        <f t="shared" si="19"/>
        <v>#DIV/0!</v>
      </c>
      <c r="M509" s="88" t="e">
        <f t="shared" si="19"/>
        <v>#DIV/0!</v>
      </c>
      <c r="O509" s="121" t="str">
        <f t="shared" si="18"/>
        <v>נצרת-עילית</v>
      </c>
      <c r="P509" s="121" t="str">
        <f t="shared" si="18"/>
        <v>כפר מנדא</v>
      </c>
    </row>
    <row r="510" spans="1:16" x14ac:dyDescent="0.3">
      <c r="A510" s="61">
        <v>20</v>
      </c>
      <c r="B510" s="61">
        <v>11</v>
      </c>
      <c r="C510" s="97"/>
      <c r="D510" s="79"/>
      <c r="E510" s="79"/>
      <c r="F510" s="79"/>
      <c r="G510" s="94"/>
      <c r="I510" s="86" t="e">
        <f t="shared" si="19"/>
        <v>#DIV/0!</v>
      </c>
      <c r="J510" s="87" t="e">
        <f t="shared" si="19"/>
        <v>#DIV/0!</v>
      </c>
      <c r="K510" s="87" t="e">
        <f t="shared" si="19"/>
        <v>#DIV/0!</v>
      </c>
      <c r="L510" s="87" t="e">
        <f t="shared" si="19"/>
        <v>#DIV/0!</v>
      </c>
      <c r="M510" s="88" t="e">
        <f t="shared" si="19"/>
        <v>#DIV/0!</v>
      </c>
      <c r="O510" s="121" t="str">
        <f t="shared" si="18"/>
        <v>נצרת-עילית</v>
      </c>
      <c r="P510" s="121" t="str">
        <f t="shared" si="18"/>
        <v>זבולון</v>
      </c>
    </row>
    <row r="511" spans="1:16" x14ac:dyDescent="0.3">
      <c r="A511" s="61">
        <v>20</v>
      </c>
      <c r="B511" s="61">
        <v>12</v>
      </c>
      <c r="C511" s="97"/>
      <c r="D511" s="79"/>
      <c r="E511" s="79"/>
      <c r="F511" s="79"/>
      <c r="G511" s="94"/>
      <c r="I511" s="86" t="e">
        <f t="shared" si="19"/>
        <v>#DIV/0!</v>
      </c>
      <c r="J511" s="87" t="e">
        <f t="shared" si="19"/>
        <v>#DIV/0!</v>
      </c>
      <c r="K511" s="87" t="e">
        <f t="shared" si="19"/>
        <v>#DIV/0!</v>
      </c>
      <c r="L511" s="87" t="e">
        <f t="shared" si="19"/>
        <v>#DIV/0!</v>
      </c>
      <c r="M511" s="88" t="e">
        <f t="shared" si="19"/>
        <v>#DIV/0!</v>
      </c>
      <c r="O511" s="121" t="str">
        <f t="shared" si="18"/>
        <v>נצרת-עילית</v>
      </c>
      <c r="P511" s="121" t="str">
        <f t="shared" si="18"/>
        <v>חיפה מפרץ</v>
      </c>
    </row>
    <row r="512" spans="1:16" x14ac:dyDescent="0.3">
      <c r="A512" s="61">
        <v>20</v>
      </c>
      <c r="B512" s="61">
        <v>13</v>
      </c>
      <c r="C512" s="97"/>
      <c r="D512" s="79"/>
      <c r="E512" s="79"/>
      <c r="F512" s="79"/>
      <c r="G512" s="94"/>
      <c r="I512" s="86" t="e">
        <f t="shared" si="19"/>
        <v>#DIV/0!</v>
      </c>
      <c r="J512" s="87" t="e">
        <f t="shared" si="19"/>
        <v>#DIV/0!</v>
      </c>
      <c r="K512" s="87" t="e">
        <f t="shared" si="19"/>
        <v>#DIV/0!</v>
      </c>
      <c r="L512" s="87" t="e">
        <f t="shared" si="19"/>
        <v>#DIV/0!</v>
      </c>
      <c r="M512" s="88" t="e">
        <f t="shared" si="19"/>
        <v>#DIV/0!</v>
      </c>
      <c r="O512" s="121" t="str">
        <f t="shared" si="18"/>
        <v>נצרת-עילית</v>
      </c>
      <c r="P512" s="121" t="str">
        <f t="shared" si="18"/>
        <v>חיפה עיר תחתית</v>
      </c>
    </row>
    <row r="513" spans="1:16" x14ac:dyDescent="0.3">
      <c r="A513" s="61">
        <v>20</v>
      </c>
      <c r="B513" s="61">
        <v>14</v>
      </c>
      <c r="C513" s="97"/>
      <c r="D513" s="79"/>
      <c r="E513" s="79"/>
      <c r="F513" s="79"/>
      <c r="G513" s="94"/>
      <c r="I513" s="86" t="e">
        <f t="shared" si="19"/>
        <v>#DIV/0!</v>
      </c>
      <c r="J513" s="87" t="e">
        <f t="shared" si="19"/>
        <v>#DIV/0!</v>
      </c>
      <c r="K513" s="87" t="e">
        <f t="shared" si="19"/>
        <v>#DIV/0!</v>
      </c>
      <c r="L513" s="87" t="e">
        <f t="shared" si="19"/>
        <v>#DIV/0!</v>
      </c>
      <c r="M513" s="88" t="e">
        <f t="shared" si="19"/>
        <v>#DIV/0!</v>
      </c>
      <c r="O513" s="121" t="str">
        <f t="shared" si="18"/>
        <v>נצרת-עילית</v>
      </c>
      <c r="P513" s="121" t="str">
        <f t="shared" si="18"/>
        <v>חיפה הדר-כרמל</v>
      </c>
    </row>
    <row r="514" spans="1:16" x14ac:dyDescent="0.3">
      <c r="A514" s="61">
        <v>20</v>
      </c>
      <c r="B514" s="61">
        <v>15</v>
      </c>
      <c r="C514" s="97"/>
      <c r="D514" s="79"/>
      <c r="E514" s="79"/>
      <c r="F514" s="79"/>
      <c r="G514" s="94"/>
      <c r="I514" s="86" t="e">
        <f t="shared" si="19"/>
        <v>#DIV/0!</v>
      </c>
      <c r="J514" s="87" t="e">
        <f t="shared" si="19"/>
        <v>#DIV/0!</v>
      </c>
      <c r="K514" s="87" t="e">
        <f t="shared" si="19"/>
        <v>#DIV/0!</v>
      </c>
      <c r="L514" s="87" t="e">
        <f t="shared" si="19"/>
        <v>#DIV/0!</v>
      </c>
      <c r="M514" s="88" t="e">
        <f t="shared" si="19"/>
        <v>#DIV/0!</v>
      </c>
      <c r="O514" s="121" t="str">
        <f t="shared" si="18"/>
        <v>נצרת-עילית</v>
      </c>
      <c r="P514" s="121" t="str">
        <f t="shared" si="18"/>
        <v>חיפה מערב</v>
      </c>
    </row>
    <row r="515" spans="1:16" x14ac:dyDescent="0.3">
      <c r="A515" s="61">
        <v>20</v>
      </c>
      <c r="B515" s="61">
        <v>16</v>
      </c>
      <c r="C515" s="97"/>
      <c r="D515" s="79"/>
      <c r="E515" s="79"/>
      <c r="F515" s="79"/>
      <c r="G515" s="94"/>
      <c r="I515" s="86" t="e">
        <f t="shared" si="19"/>
        <v>#DIV/0!</v>
      </c>
      <c r="J515" s="87" t="e">
        <f t="shared" si="19"/>
        <v>#DIV/0!</v>
      </c>
      <c r="K515" s="87" t="e">
        <f t="shared" si="19"/>
        <v>#DIV/0!</v>
      </c>
      <c r="L515" s="87" t="e">
        <f t="shared" si="19"/>
        <v>#DIV/0!</v>
      </c>
      <c r="M515" s="88" t="e">
        <f t="shared" si="19"/>
        <v>#DIV/0!</v>
      </c>
      <c r="O515" s="121" t="str">
        <f t="shared" si="18"/>
        <v>נצרת-עילית</v>
      </c>
      <c r="P515" s="121" t="str">
        <f t="shared" si="18"/>
        <v>חיפה כרמל</v>
      </c>
    </row>
    <row r="516" spans="1:16" x14ac:dyDescent="0.3">
      <c r="A516" s="61">
        <v>20</v>
      </c>
      <c r="B516" s="61">
        <v>17</v>
      </c>
      <c r="C516" s="97"/>
      <c r="D516" s="79"/>
      <c r="E516" s="79"/>
      <c r="F516" s="79"/>
      <c r="G516" s="94"/>
      <c r="I516" s="86" t="e">
        <f t="shared" si="19"/>
        <v>#DIV/0!</v>
      </c>
      <c r="J516" s="87" t="e">
        <f t="shared" si="19"/>
        <v>#DIV/0!</v>
      </c>
      <c r="K516" s="87" t="e">
        <f t="shared" si="19"/>
        <v>#DIV/0!</v>
      </c>
      <c r="L516" s="87" t="e">
        <f t="shared" si="19"/>
        <v>#DIV/0!</v>
      </c>
      <c r="M516" s="88" t="e">
        <f t="shared" si="19"/>
        <v>#DIV/0!</v>
      </c>
      <c r="O516" s="121" t="str">
        <f t="shared" si="18"/>
        <v>נצרת-עילית</v>
      </c>
      <c r="P516" s="121" t="str">
        <f t="shared" si="18"/>
        <v>חיפה נווה שאנן</v>
      </c>
    </row>
    <row r="517" spans="1:16" x14ac:dyDescent="0.3">
      <c r="A517" s="61">
        <v>20</v>
      </c>
      <c r="B517" s="61">
        <v>18</v>
      </c>
      <c r="C517" s="97"/>
      <c r="D517" s="79"/>
      <c r="E517" s="79"/>
      <c r="F517" s="79"/>
      <c r="G517" s="94"/>
      <c r="I517" s="86" t="e">
        <f t="shared" si="19"/>
        <v>#DIV/0!</v>
      </c>
      <c r="J517" s="87" t="e">
        <f t="shared" si="19"/>
        <v>#DIV/0!</v>
      </c>
      <c r="K517" s="87" t="e">
        <f t="shared" si="19"/>
        <v>#DIV/0!</v>
      </c>
      <c r="L517" s="87" t="e">
        <f t="shared" si="19"/>
        <v>#DIV/0!</v>
      </c>
      <c r="M517" s="88" t="e">
        <f t="shared" si="19"/>
        <v>#DIV/0!</v>
      </c>
      <c r="O517" s="121" t="str">
        <f t="shared" si="18"/>
        <v>נצרת-עילית</v>
      </c>
      <c r="P517" s="121" t="str">
        <f t="shared" si="18"/>
        <v>נשר</v>
      </c>
    </row>
    <row r="518" spans="1:16" x14ac:dyDescent="0.3">
      <c r="A518" s="61">
        <v>20</v>
      </c>
      <c r="B518" s="61">
        <v>19</v>
      </c>
      <c r="C518" s="97"/>
      <c r="D518" s="79"/>
      <c r="E518" s="79"/>
      <c r="F518" s="79"/>
      <c r="G518" s="94"/>
      <c r="I518" s="86" t="e">
        <f t="shared" si="19"/>
        <v>#DIV/0!</v>
      </c>
      <c r="J518" s="87" t="e">
        <f t="shared" si="19"/>
        <v>#DIV/0!</v>
      </c>
      <c r="K518" s="87" t="e">
        <f t="shared" si="19"/>
        <v>#DIV/0!</v>
      </c>
      <c r="L518" s="87" t="e">
        <f t="shared" si="19"/>
        <v>#DIV/0!</v>
      </c>
      <c r="M518" s="88" t="e">
        <f t="shared" si="19"/>
        <v>#DIV/0!</v>
      </c>
      <c r="O518" s="121" t="str">
        <f t="shared" si="18"/>
        <v>נצרת-עילית</v>
      </c>
      <c r="P518" s="121" t="str">
        <f t="shared" si="18"/>
        <v>נצרת</v>
      </c>
    </row>
    <row r="519" spans="1:16" x14ac:dyDescent="0.3">
      <c r="A519" s="61">
        <v>20</v>
      </c>
      <c r="B519" s="61">
        <v>20</v>
      </c>
      <c r="C519" s="97"/>
      <c r="D519" s="79"/>
      <c r="E519" s="79"/>
      <c r="F519" s="79"/>
      <c r="G519" s="94"/>
      <c r="I519" s="86" t="e">
        <f t="shared" si="19"/>
        <v>#DIV/0!</v>
      </c>
      <c r="J519" s="87" t="e">
        <f t="shared" si="19"/>
        <v>#DIV/0!</v>
      </c>
      <c r="K519" s="87" t="e">
        <f t="shared" si="19"/>
        <v>#DIV/0!</v>
      </c>
      <c r="L519" s="87" t="e">
        <f t="shared" si="19"/>
        <v>#DIV/0!</v>
      </c>
      <c r="M519" s="88" t="e">
        <f t="shared" si="19"/>
        <v>#DIV/0!</v>
      </c>
      <c r="O519" s="121" t="str">
        <f t="shared" si="18"/>
        <v>נצרת-עילית</v>
      </c>
      <c r="P519" s="121" t="str">
        <f t="shared" si="18"/>
        <v>נצרת-עילית</v>
      </c>
    </row>
    <row r="520" spans="1:16" x14ac:dyDescent="0.3">
      <c r="A520" s="61">
        <v>20</v>
      </c>
      <c r="B520" s="61">
        <v>21</v>
      </c>
      <c r="C520" s="97"/>
      <c r="D520" s="79"/>
      <c r="E520" s="79"/>
      <c r="F520" s="79"/>
      <c r="G520" s="94"/>
      <c r="I520" s="86" t="e">
        <f t="shared" si="19"/>
        <v>#DIV/0!</v>
      </c>
      <c r="J520" s="87" t="e">
        <f t="shared" si="19"/>
        <v>#DIV/0!</v>
      </c>
      <c r="K520" s="87" t="e">
        <f t="shared" si="19"/>
        <v>#DIV/0!</v>
      </c>
      <c r="L520" s="87" t="e">
        <f t="shared" si="19"/>
        <v>#DIV/0!</v>
      </c>
      <c r="M520" s="88" t="e">
        <f t="shared" si="19"/>
        <v>#DIV/0!</v>
      </c>
      <c r="O520" s="121" t="str">
        <f t="shared" ref="O520:P583" si="20">VLOOKUP(A520,$S$6:$T$31,2,0)</f>
        <v>נצרת-עילית</v>
      </c>
      <c r="P520" s="121" t="str">
        <f t="shared" si="20"/>
        <v>מגדל העמק</v>
      </c>
    </row>
    <row r="521" spans="1:16" x14ac:dyDescent="0.3">
      <c r="A521" s="61">
        <v>20</v>
      </c>
      <c r="B521" s="61">
        <v>22</v>
      </c>
      <c r="C521" s="97"/>
      <c r="D521" s="79"/>
      <c r="E521" s="79"/>
      <c r="F521" s="79"/>
      <c r="G521" s="94"/>
      <c r="I521" s="86" t="e">
        <f t="shared" si="19"/>
        <v>#DIV/0!</v>
      </c>
      <c r="J521" s="87" t="e">
        <f t="shared" si="19"/>
        <v>#DIV/0!</v>
      </c>
      <c r="K521" s="87" t="e">
        <f t="shared" si="19"/>
        <v>#DIV/0!</v>
      </c>
      <c r="L521" s="87" t="e">
        <f t="shared" si="19"/>
        <v>#DIV/0!</v>
      </c>
      <c r="M521" s="88" t="e">
        <f t="shared" si="19"/>
        <v>#DIV/0!</v>
      </c>
      <c r="O521" s="121" t="str">
        <f t="shared" si="20"/>
        <v>נצרת-עילית</v>
      </c>
      <c r="P521" s="121" t="str">
        <f t="shared" si="20"/>
        <v>יוקנעם</v>
      </c>
    </row>
    <row r="522" spans="1:16" x14ac:dyDescent="0.3">
      <c r="A522" s="61">
        <v>20</v>
      </c>
      <c r="B522" s="61">
        <v>23</v>
      </c>
      <c r="C522" s="97"/>
      <c r="D522" s="79"/>
      <c r="E522" s="79"/>
      <c r="F522" s="79"/>
      <c r="G522" s="94"/>
      <c r="I522" s="86" t="e">
        <f t="shared" si="19"/>
        <v>#DIV/0!</v>
      </c>
      <c r="J522" s="87" t="e">
        <f t="shared" si="19"/>
        <v>#DIV/0!</v>
      </c>
      <c r="K522" s="87" t="e">
        <f t="shared" si="19"/>
        <v>#DIV/0!</v>
      </c>
      <c r="L522" s="87" t="e">
        <f t="shared" si="19"/>
        <v>#DIV/0!</v>
      </c>
      <c r="M522" s="88" t="e">
        <f t="shared" si="19"/>
        <v>#DIV/0!</v>
      </c>
      <c r="O522" s="121" t="str">
        <f t="shared" si="20"/>
        <v>נצרת-עילית</v>
      </c>
      <c r="P522" s="121" t="str">
        <f t="shared" si="20"/>
        <v>דלית אל כרמל</v>
      </c>
    </row>
    <row r="523" spans="1:16" x14ac:dyDescent="0.3">
      <c r="A523" s="61">
        <v>20</v>
      </c>
      <c r="B523" s="61">
        <v>24</v>
      </c>
      <c r="C523" s="97"/>
      <c r="D523" s="79"/>
      <c r="E523" s="79"/>
      <c r="F523" s="79"/>
      <c r="G523" s="94"/>
      <c r="I523" s="86" t="e">
        <f t="shared" si="19"/>
        <v>#DIV/0!</v>
      </c>
      <c r="J523" s="87" t="e">
        <f t="shared" si="19"/>
        <v>#DIV/0!</v>
      </c>
      <c r="K523" s="87" t="e">
        <f t="shared" si="19"/>
        <v>#DIV/0!</v>
      </c>
      <c r="L523" s="87" t="e">
        <f t="shared" si="19"/>
        <v>#DIV/0!</v>
      </c>
      <c r="M523" s="88" t="e">
        <f t="shared" si="19"/>
        <v>#DIV/0!</v>
      </c>
      <c r="O523" s="121" t="str">
        <f t="shared" si="20"/>
        <v>נצרת-עילית</v>
      </c>
      <c r="P523" s="121" t="str">
        <f t="shared" si="20"/>
        <v>חוף הכרמל</v>
      </c>
    </row>
    <row r="524" spans="1:16" x14ac:dyDescent="0.3">
      <c r="A524" s="61">
        <v>20</v>
      </c>
      <c r="B524" s="61">
        <v>25</v>
      </c>
      <c r="C524" s="97"/>
      <c r="D524" s="79"/>
      <c r="E524" s="79"/>
      <c r="F524" s="79"/>
      <c r="G524" s="94"/>
      <c r="I524" s="86" t="e">
        <f t="shared" si="19"/>
        <v>#DIV/0!</v>
      </c>
      <c r="J524" s="87" t="e">
        <f t="shared" si="19"/>
        <v>#DIV/0!</v>
      </c>
      <c r="K524" s="87" t="e">
        <f t="shared" si="19"/>
        <v>#DIV/0!</v>
      </c>
      <c r="L524" s="87" t="e">
        <f t="shared" si="19"/>
        <v>#DIV/0!</v>
      </c>
      <c r="M524" s="88" t="e">
        <f t="shared" si="19"/>
        <v>#DIV/0!</v>
      </c>
      <c r="O524" s="121" t="str">
        <f t="shared" si="20"/>
        <v>נצרת-עילית</v>
      </c>
      <c r="P524" s="121" t="str">
        <f t="shared" si="20"/>
        <v>זכרון יעקב</v>
      </c>
    </row>
    <row r="525" spans="1:16" x14ac:dyDescent="0.3">
      <c r="A525" s="61">
        <v>20</v>
      </c>
      <c r="B525" s="61">
        <v>30</v>
      </c>
      <c r="C525" s="97"/>
      <c r="D525" s="79"/>
      <c r="E525" s="79"/>
      <c r="F525" s="79"/>
      <c r="G525" s="94"/>
      <c r="I525" s="86" t="e">
        <f t="shared" si="19"/>
        <v>#DIV/0!</v>
      </c>
      <c r="J525" s="87" t="e">
        <f t="shared" si="19"/>
        <v>#DIV/0!</v>
      </c>
      <c r="K525" s="87" t="e">
        <f t="shared" si="19"/>
        <v>#DIV/0!</v>
      </c>
      <c r="L525" s="87" t="e">
        <f t="shared" si="19"/>
        <v>#DIV/0!</v>
      </c>
      <c r="M525" s="88" t="e">
        <f t="shared" si="19"/>
        <v>#DIV/0!</v>
      </c>
      <c r="O525" s="121" t="str">
        <f t="shared" si="20"/>
        <v>נצרת-עילית</v>
      </c>
      <c r="P525" s="121" t="str">
        <f t="shared" si="20"/>
        <v>סכנין</v>
      </c>
    </row>
    <row r="526" spans="1:16" x14ac:dyDescent="0.3">
      <c r="A526" s="61">
        <v>21</v>
      </c>
      <c r="B526" s="61">
        <v>1</v>
      </c>
      <c r="C526" s="97"/>
      <c r="D526" s="79"/>
      <c r="E526" s="79"/>
      <c r="F526" s="79"/>
      <c r="G526" s="94"/>
      <c r="I526" s="86" t="e">
        <f t="shared" si="19"/>
        <v>#DIV/0!</v>
      </c>
      <c r="J526" s="87" t="e">
        <f t="shared" si="19"/>
        <v>#DIV/0!</v>
      </c>
      <c r="K526" s="87" t="e">
        <f t="shared" si="19"/>
        <v>#DIV/0!</v>
      </c>
      <c r="L526" s="87" t="e">
        <f t="shared" si="19"/>
        <v>#DIV/0!</v>
      </c>
      <c r="M526" s="88" t="e">
        <f t="shared" si="19"/>
        <v>#DIV/0!</v>
      </c>
      <c r="O526" s="121" t="str">
        <f t="shared" si="20"/>
        <v>מגדל העמק</v>
      </c>
      <c r="P526" s="121" t="str">
        <f t="shared" si="20"/>
        <v>נהריה</v>
      </c>
    </row>
    <row r="527" spans="1:16" x14ac:dyDescent="0.3">
      <c r="A527" s="61">
        <v>21</v>
      </c>
      <c r="B527" s="61">
        <v>2</v>
      </c>
      <c r="C527" s="97"/>
      <c r="D527" s="79"/>
      <c r="E527" s="79"/>
      <c r="F527" s="79"/>
      <c r="G527" s="94"/>
      <c r="I527" s="86" t="e">
        <f t="shared" si="19"/>
        <v>#DIV/0!</v>
      </c>
      <c r="J527" s="87" t="e">
        <f t="shared" si="19"/>
        <v>#DIV/0!</v>
      </c>
      <c r="K527" s="87" t="e">
        <f t="shared" si="19"/>
        <v>#DIV/0!</v>
      </c>
      <c r="L527" s="87" t="e">
        <f t="shared" si="19"/>
        <v>#DIV/0!</v>
      </c>
      <c r="M527" s="88" t="e">
        <f t="shared" si="19"/>
        <v>#DIV/0!</v>
      </c>
      <c r="O527" s="121" t="str">
        <f t="shared" si="20"/>
        <v>מגדל העמק</v>
      </c>
      <c r="P527" s="121" t="str">
        <f t="shared" si="20"/>
        <v>עכו</v>
      </c>
    </row>
    <row r="528" spans="1:16" x14ac:dyDescent="0.3">
      <c r="A528" s="61">
        <v>21</v>
      </c>
      <c r="B528" s="61">
        <v>3</v>
      </c>
      <c r="C528" s="97"/>
      <c r="D528" s="79"/>
      <c r="E528" s="79"/>
      <c r="F528" s="79"/>
      <c r="G528" s="94"/>
      <c r="I528" s="86" t="e">
        <f t="shared" si="19"/>
        <v>#DIV/0!</v>
      </c>
      <c r="J528" s="87" t="e">
        <f t="shared" si="19"/>
        <v>#DIV/0!</v>
      </c>
      <c r="K528" s="87" t="e">
        <f t="shared" si="19"/>
        <v>#DIV/0!</v>
      </c>
      <c r="L528" s="87" t="e">
        <f t="shared" si="19"/>
        <v>#DIV/0!</v>
      </c>
      <c r="M528" s="88" t="e">
        <f t="shared" si="19"/>
        <v>#DIV/0!</v>
      </c>
      <c r="O528" s="121" t="str">
        <f t="shared" si="20"/>
        <v>מגדל העמק</v>
      </c>
      <c r="P528" s="121" t="str">
        <f t="shared" si="20"/>
        <v>כרמיאל</v>
      </c>
    </row>
    <row r="529" spans="1:16" x14ac:dyDescent="0.3">
      <c r="A529" s="61">
        <v>21</v>
      </c>
      <c r="B529" s="61">
        <v>4</v>
      </c>
      <c r="C529" s="97"/>
      <c r="D529" s="79"/>
      <c r="E529" s="79"/>
      <c r="F529" s="79"/>
      <c r="G529" s="94"/>
      <c r="I529" s="86" t="e">
        <f t="shared" ref="I529:M579" si="21">C529/SUM($C529:$G529)</f>
        <v>#DIV/0!</v>
      </c>
      <c r="J529" s="87" t="e">
        <f t="shared" si="21"/>
        <v>#DIV/0!</v>
      </c>
      <c r="K529" s="87" t="e">
        <f t="shared" si="21"/>
        <v>#DIV/0!</v>
      </c>
      <c r="L529" s="87" t="e">
        <f t="shared" si="21"/>
        <v>#DIV/0!</v>
      </c>
      <c r="M529" s="88" t="e">
        <f t="shared" si="21"/>
        <v>#DIV/0!</v>
      </c>
      <c r="O529" s="121" t="str">
        <f t="shared" si="20"/>
        <v>מגדל העמק</v>
      </c>
      <c r="P529" s="121" t="str">
        <f t="shared" si="20"/>
        <v>שפרעם</v>
      </c>
    </row>
    <row r="530" spans="1:16" x14ac:dyDescent="0.3">
      <c r="A530" s="61">
        <v>21</v>
      </c>
      <c r="B530" s="61">
        <v>5</v>
      </c>
      <c r="C530" s="97"/>
      <c r="D530" s="79"/>
      <c r="E530" s="79"/>
      <c r="F530" s="79"/>
      <c r="G530" s="94"/>
      <c r="I530" s="86" t="e">
        <f t="shared" si="21"/>
        <v>#DIV/0!</v>
      </c>
      <c r="J530" s="87" t="e">
        <f t="shared" si="21"/>
        <v>#DIV/0!</v>
      </c>
      <c r="K530" s="87" t="e">
        <f t="shared" si="21"/>
        <v>#DIV/0!</v>
      </c>
      <c r="L530" s="87" t="e">
        <f t="shared" si="21"/>
        <v>#DIV/0!</v>
      </c>
      <c r="M530" s="88" t="e">
        <f t="shared" si="21"/>
        <v>#DIV/0!</v>
      </c>
      <c r="O530" s="121" t="str">
        <f t="shared" si="20"/>
        <v>מגדל העמק</v>
      </c>
      <c r="P530" s="121" t="str">
        <f t="shared" si="20"/>
        <v>קרית ים</v>
      </c>
    </row>
    <row r="531" spans="1:16" x14ac:dyDescent="0.3">
      <c r="A531" s="61">
        <v>21</v>
      </c>
      <c r="B531" s="61">
        <v>6</v>
      </c>
      <c r="C531" s="97"/>
      <c r="D531" s="79"/>
      <c r="E531" s="79"/>
      <c r="F531" s="79"/>
      <c r="G531" s="94"/>
      <c r="I531" s="86" t="e">
        <f t="shared" si="21"/>
        <v>#DIV/0!</v>
      </c>
      <c r="J531" s="87" t="e">
        <f t="shared" si="21"/>
        <v>#DIV/0!</v>
      </c>
      <c r="K531" s="87" t="e">
        <f t="shared" si="21"/>
        <v>#DIV/0!</v>
      </c>
      <c r="L531" s="87" t="e">
        <f t="shared" si="21"/>
        <v>#DIV/0!</v>
      </c>
      <c r="M531" s="88" t="e">
        <f t="shared" si="21"/>
        <v>#DIV/0!</v>
      </c>
      <c r="O531" s="121" t="str">
        <f t="shared" si="20"/>
        <v>מגדל העמק</v>
      </c>
      <c r="P531" s="121" t="str">
        <f t="shared" si="20"/>
        <v>קרית מוצקין</v>
      </c>
    </row>
    <row r="532" spans="1:16" x14ac:dyDescent="0.3">
      <c r="A532" s="61">
        <v>21</v>
      </c>
      <c r="B532" s="61">
        <v>7</v>
      </c>
      <c r="C532" s="97"/>
      <c r="D532" s="79"/>
      <c r="E532" s="79"/>
      <c r="F532" s="79"/>
      <c r="G532" s="94"/>
      <c r="I532" s="86" t="e">
        <f t="shared" si="21"/>
        <v>#DIV/0!</v>
      </c>
      <c r="J532" s="87" t="e">
        <f t="shared" si="21"/>
        <v>#DIV/0!</v>
      </c>
      <c r="K532" s="87" t="e">
        <f t="shared" si="21"/>
        <v>#DIV/0!</v>
      </c>
      <c r="L532" s="87" t="e">
        <f t="shared" si="21"/>
        <v>#DIV/0!</v>
      </c>
      <c r="M532" s="88" t="e">
        <f t="shared" si="21"/>
        <v>#DIV/0!</v>
      </c>
      <c r="O532" s="121" t="str">
        <f t="shared" si="20"/>
        <v>מגדל העמק</v>
      </c>
      <c r="P532" s="121" t="str">
        <f t="shared" si="20"/>
        <v>קרית ביאליק</v>
      </c>
    </row>
    <row r="533" spans="1:16" x14ac:dyDescent="0.3">
      <c r="A533" s="61">
        <v>21</v>
      </c>
      <c r="B533" s="61">
        <v>8</v>
      </c>
      <c r="C533" s="97"/>
      <c r="D533" s="79"/>
      <c r="E533" s="79"/>
      <c r="F533" s="79"/>
      <c r="G533" s="94"/>
      <c r="I533" s="86" t="e">
        <f t="shared" si="21"/>
        <v>#DIV/0!</v>
      </c>
      <c r="J533" s="87" t="e">
        <f t="shared" si="21"/>
        <v>#DIV/0!</v>
      </c>
      <c r="K533" s="87" t="e">
        <f t="shared" si="21"/>
        <v>#DIV/0!</v>
      </c>
      <c r="L533" s="87" t="e">
        <f t="shared" si="21"/>
        <v>#DIV/0!</v>
      </c>
      <c r="M533" s="88" t="e">
        <f t="shared" si="21"/>
        <v>#DIV/0!</v>
      </c>
      <c r="O533" s="121" t="str">
        <f t="shared" si="20"/>
        <v>מגדל העמק</v>
      </c>
      <c r="P533" s="121" t="str">
        <f t="shared" si="20"/>
        <v>קרית חיים</v>
      </c>
    </row>
    <row r="534" spans="1:16" x14ac:dyDescent="0.3">
      <c r="A534" s="61">
        <v>21</v>
      </c>
      <c r="B534" s="61">
        <v>9</v>
      </c>
      <c r="C534" s="97"/>
      <c r="D534" s="79"/>
      <c r="E534" s="79"/>
      <c r="F534" s="79"/>
      <c r="G534" s="94"/>
      <c r="I534" s="86" t="e">
        <f t="shared" si="21"/>
        <v>#DIV/0!</v>
      </c>
      <c r="J534" s="87" t="e">
        <f t="shared" si="21"/>
        <v>#DIV/0!</v>
      </c>
      <c r="K534" s="87" t="e">
        <f t="shared" si="21"/>
        <v>#DIV/0!</v>
      </c>
      <c r="L534" s="87" t="e">
        <f t="shared" si="21"/>
        <v>#DIV/0!</v>
      </c>
      <c r="M534" s="88" t="e">
        <f t="shared" si="21"/>
        <v>#DIV/0!</v>
      </c>
      <c r="O534" s="121" t="str">
        <f t="shared" si="20"/>
        <v>מגדל העמק</v>
      </c>
      <c r="P534" s="121" t="str">
        <f t="shared" si="20"/>
        <v>קרית אתא</v>
      </c>
    </row>
    <row r="535" spans="1:16" x14ac:dyDescent="0.3">
      <c r="A535" s="61">
        <v>21</v>
      </c>
      <c r="B535" s="61">
        <v>10</v>
      </c>
      <c r="C535" s="97"/>
      <c r="D535" s="79"/>
      <c r="E535" s="79"/>
      <c r="F535" s="79"/>
      <c r="G535" s="94"/>
      <c r="I535" s="86" t="e">
        <f t="shared" si="21"/>
        <v>#DIV/0!</v>
      </c>
      <c r="J535" s="87" t="e">
        <f t="shared" si="21"/>
        <v>#DIV/0!</v>
      </c>
      <c r="K535" s="87" t="e">
        <f t="shared" si="21"/>
        <v>#DIV/0!</v>
      </c>
      <c r="L535" s="87" t="e">
        <f t="shared" si="21"/>
        <v>#DIV/0!</v>
      </c>
      <c r="M535" s="88" t="e">
        <f t="shared" si="21"/>
        <v>#DIV/0!</v>
      </c>
      <c r="O535" s="121" t="str">
        <f t="shared" si="20"/>
        <v>מגדל העמק</v>
      </c>
      <c r="P535" s="121" t="str">
        <f t="shared" si="20"/>
        <v>כפר מנדא</v>
      </c>
    </row>
    <row r="536" spans="1:16" x14ac:dyDescent="0.3">
      <c r="A536" s="61">
        <v>21</v>
      </c>
      <c r="B536" s="61">
        <v>11</v>
      </c>
      <c r="C536" s="97"/>
      <c r="D536" s="79"/>
      <c r="E536" s="79"/>
      <c r="F536" s="79"/>
      <c r="G536" s="94"/>
      <c r="I536" s="86" t="e">
        <f t="shared" si="21"/>
        <v>#DIV/0!</v>
      </c>
      <c r="J536" s="87" t="e">
        <f t="shared" si="21"/>
        <v>#DIV/0!</v>
      </c>
      <c r="K536" s="87" t="e">
        <f t="shared" si="21"/>
        <v>#DIV/0!</v>
      </c>
      <c r="L536" s="87" t="e">
        <f t="shared" si="21"/>
        <v>#DIV/0!</v>
      </c>
      <c r="M536" s="88" t="e">
        <f t="shared" si="21"/>
        <v>#DIV/0!</v>
      </c>
      <c r="O536" s="121" t="str">
        <f t="shared" si="20"/>
        <v>מגדל העמק</v>
      </c>
      <c r="P536" s="121" t="str">
        <f t="shared" si="20"/>
        <v>זבולון</v>
      </c>
    </row>
    <row r="537" spans="1:16" x14ac:dyDescent="0.3">
      <c r="A537" s="61">
        <v>21</v>
      </c>
      <c r="B537" s="61">
        <v>12</v>
      </c>
      <c r="C537" s="97"/>
      <c r="D537" s="79"/>
      <c r="E537" s="79"/>
      <c r="F537" s="79"/>
      <c r="G537" s="94"/>
      <c r="I537" s="86" t="e">
        <f t="shared" si="21"/>
        <v>#DIV/0!</v>
      </c>
      <c r="J537" s="87" t="e">
        <f t="shared" si="21"/>
        <v>#DIV/0!</v>
      </c>
      <c r="K537" s="87" t="e">
        <f t="shared" si="21"/>
        <v>#DIV/0!</v>
      </c>
      <c r="L537" s="87" t="e">
        <f t="shared" si="21"/>
        <v>#DIV/0!</v>
      </c>
      <c r="M537" s="88" t="e">
        <f t="shared" si="21"/>
        <v>#DIV/0!</v>
      </c>
      <c r="O537" s="121" t="str">
        <f t="shared" si="20"/>
        <v>מגדל העמק</v>
      </c>
      <c r="P537" s="121" t="str">
        <f t="shared" si="20"/>
        <v>חיפה מפרץ</v>
      </c>
    </row>
    <row r="538" spans="1:16" x14ac:dyDescent="0.3">
      <c r="A538" s="61">
        <v>21</v>
      </c>
      <c r="B538" s="61">
        <v>13</v>
      </c>
      <c r="C538" s="97"/>
      <c r="D538" s="79"/>
      <c r="E538" s="79"/>
      <c r="F538" s="79"/>
      <c r="G538" s="94"/>
      <c r="I538" s="86" t="e">
        <f t="shared" si="21"/>
        <v>#DIV/0!</v>
      </c>
      <c r="J538" s="87" t="e">
        <f t="shared" si="21"/>
        <v>#DIV/0!</v>
      </c>
      <c r="K538" s="87" t="e">
        <f t="shared" si="21"/>
        <v>#DIV/0!</v>
      </c>
      <c r="L538" s="87" t="e">
        <f t="shared" si="21"/>
        <v>#DIV/0!</v>
      </c>
      <c r="M538" s="88" t="e">
        <f t="shared" si="21"/>
        <v>#DIV/0!</v>
      </c>
      <c r="O538" s="121" t="str">
        <f t="shared" si="20"/>
        <v>מגדל העמק</v>
      </c>
      <c r="P538" s="121" t="str">
        <f t="shared" si="20"/>
        <v>חיפה עיר תחתית</v>
      </c>
    </row>
    <row r="539" spans="1:16" x14ac:dyDescent="0.3">
      <c r="A539" s="61">
        <v>21</v>
      </c>
      <c r="B539" s="61">
        <v>14</v>
      </c>
      <c r="C539" s="97"/>
      <c r="D539" s="79"/>
      <c r="E539" s="79"/>
      <c r="F539" s="79"/>
      <c r="G539" s="94"/>
      <c r="I539" s="86" t="e">
        <f t="shared" si="21"/>
        <v>#DIV/0!</v>
      </c>
      <c r="J539" s="87" t="e">
        <f t="shared" si="21"/>
        <v>#DIV/0!</v>
      </c>
      <c r="K539" s="87" t="e">
        <f t="shared" si="21"/>
        <v>#DIV/0!</v>
      </c>
      <c r="L539" s="87" t="e">
        <f t="shared" si="21"/>
        <v>#DIV/0!</v>
      </c>
      <c r="M539" s="88" t="e">
        <f t="shared" si="21"/>
        <v>#DIV/0!</v>
      </c>
      <c r="O539" s="121" t="str">
        <f t="shared" si="20"/>
        <v>מגדל העמק</v>
      </c>
      <c r="P539" s="121" t="str">
        <f t="shared" si="20"/>
        <v>חיפה הדר-כרמל</v>
      </c>
    </row>
    <row r="540" spans="1:16" x14ac:dyDescent="0.3">
      <c r="A540" s="61">
        <v>21</v>
      </c>
      <c r="B540" s="61">
        <v>15</v>
      </c>
      <c r="C540" s="97"/>
      <c r="D540" s="79"/>
      <c r="E540" s="79"/>
      <c r="F540" s="79"/>
      <c r="G540" s="94"/>
      <c r="I540" s="86" t="e">
        <f t="shared" si="21"/>
        <v>#DIV/0!</v>
      </c>
      <c r="J540" s="87" t="e">
        <f t="shared" si="21"/>
        <v>#DIV/0!</v>
      </c>
      <c r="K540" s="87" t="e">
        <f t="shared" si="21"/>
        <v>#DIV/0!</v>
      </c>
      <c r="L540" s="87" t="e">
        <f t="shared" si="21"/>
        <v>#DIV/0!</v>
      </c>
      <c r="M540" s="88" t="e">
        <f t="shared" si="21"/>
        <v>#DIV/0!</v>
      </c>
      <c r="O540" s="121" t="str">
        <f t="shared" si="20"/>
        <v>מגדל העמק</v>
      </c>
      <c r="P540" s="121" t="str">
        <f t="shared" si="20"/>
        <v>חיפה מערב</v>
      </c>
    </row>
    <row r="541" spans="1:16" x14ac:dyDescent="0.3">
      <c r="A541" s="61">
        <v>21</v>
      </c>
      <c r="B541" s="61">
        <v>16</v>
      </c>
      <c r="C541" s="97"/>
      <c r="D541" s="79"/>
      <c r="E541" s="79"/>
      <c r="F541" s="79"/>
      <c r="G541" s="94"/>
      <c r="I541" s="86" t="e">
        <f t="shared" si="21"/>
        <v>#DIV/0!</v>
      </c>
      <c r="J541" s="87" t="e">
        <f t="shared" si="21"/>
        <v>#DIV/0!</v>
      </c>
      <c r="K541" s="87" t="e">
        <f t="shared" si="21"/>
        <v>#DIV/0!</v>
      </c>
      <c r="L541" s="87" t="e">
        <f t="shared" si="21"/>
        <v>#DIV/0!</v>
      </c>
      <c r="M541" s="88" t="e">
        <f t="shared" si="21"/>
        <v>#DIV/0!</v>
      </c>
      <c r="O541" s="121" t="str">
        <f t="shared" si="20"/>
        <v>מגדל העמק</v>
      </c>
      <c r="P541" s="121" t="str">
        <f t="shared" si="20"/>
        <v>חיפה כרמל</v>
      </c>
    </row>
    <row r="542" spans="1:16" x14ac:dyDescent="0.3">
      <c r="A542" s="61">
        <v>21</v>
      </c>
      <c r="B542" s="61">
        <v>17</v>
      </c>
      <c r="C542" s="97"/>
      <c r="D542" s="79"/>
      <c r="E542" s="79"/>
      <c r="F542" s="79"/>
      <c r="G542" s="94"/>
      <c r="I542" s="86" t="e">
        <f t="shared" si="21"/>
        <v>#DIV/0!</v>
      </c>
      <c r="J542" s="87" t="e">
        <f t="shared" si="21"/>
        <v>#DIV/0!</v>
      </c>
      <c r="K542" s="87" t="e">
        <f t="shared" si="21"/>
        <v>#DIV/0!</v>
      </c>
      <c r="L542" s="87" t="e">
        <f t="shared" si="21"/>
        <v>#DIV/0!</v>
      </c>
      <c r="M542" s="88" t="e">
        <f t="shared" si="21"/>
        <v>#DIV/0!</v>
      </c>
      <c r="O542" s="121" t="str">
        <f t="shared" si="20"/>
        <v>מגדל העמק</v>
      </c>
      <c r="P542" s="121" t="str">
        <f t="shared" si="20"/>
        <v>חיפה נווה שאנן</v>
      </c>
    </row>
    <row r="543" spans="1:16" x14ac:dyDescent="0.3">
      <c r="A543" s="61">
        <v>21</v>
      </c>
      <c r="B543" s="61">
        <v>18</v>
      </c>
      <c r="C543" s="97"/>
      <c r="D543" s="79"/>
      <c r="E543" s="79"/>
      <c r="F543" s="79"/>
      <c r="G543" s="94"/>
      <c r="I543" s="86" t="e">
        <f t="shared" si="21"/>
        <v>#DIV/0!</v>
      </c>
      <c r="J543" s="87" t="e">
        <f t="shared" si="21"/>
        <v>#DIV/0!</v>
      </c>
      <c r="K543" s="87" t="e">
        <f t="shared" si="21"/>
        <v>#DIV/0!</v>
      </c>
      <c r="L543" s="87" t="e">
        <f t="shared" si="21"/>
        <v>#DIV/0!</v>
      </c>
      <c r="M543" s="88" t="e">
        <f t="shared" si="21"/>
        <v>#DIV/0!</v>
      </c>
      <c r="O543" s="121" t="str">
        <f t="shared" si="20"/>
        <v>מגדל העמק</v>
      </c>
      <c r="P543" s="121" t="str">
        <f t="shared" si="20"/>
        <v>נשר</v>
      </c>
    </row>
    <row r="544" spans="1:16" x14ac:dyDescent="0.3">
      <c r="A544" s="61">
        <v>21</v>
      </c>
      <c r="B544" s="61">
        <v>19</v>
      </c>
      <c r="C544" s="97"/>
      <c r="D544" s="79"/>
      <c r="E544" s="79"/>
      <c r="F544" s="79"/>
      <c r="G544" s="94"/>
      <c r="I544" s="86" t="e">
        <f t="shared" si="21"/>
        <v>#DIV/0!</v>
      </c>
      <c r="J544" s="87" t="e">
        <f t="shared" si="21"/>
        <v>#DIV/0!</v>
      </c>
      <c r="K544" s="87" t="e">
        <f t="shared" si="21"/>
        <v>#DIV/0!</v>
      </c>
      <c r="L544" s="87" t="e">
        <f t="shared" si="21"/>
        <v>#DIV/0!</v>
      </c>
      <c r="M544" s="88" t="e">
        <f t="shared" si="21"/>
        <v>#DIV/0!</v>
      </c>
      <c r="O544" s="121" t="str">
        <f t="shared" si="20"/>
        <v>מגדל העמק</v>
      </c>
      <c r="P544" s="121" t="str">
        <f t="shared" si="20"/>
        <v>נצרת</v>
      </c>
    </row>
    <row r="545" spans="1:16" x14ac:dyDescent="0.3">
      <c r="A545" s="61">
        <v>21</v>
      </c>
      <c r="B545" s="61">
        <v>20</v>
      </c>
      <c r="C545" s="97"/>
      <c r="D545" s="79"/>
      <c r="E545" s="79"/>
      <c r="F545" s="79"/>
      <c r="G545" s="94"/>
      <c r="I545" s="86" t="e">
        <f t="shared" si="21"/>
        <v>#DIV/0!</v>
      </c>
      <c r="J545" s="87" t="e">
        <f t="shared" si="21"/>
        <v>#DIV/0!</v>
      </c>
      <c r="K545" s="87" t="e">
        <f t="shared" si="21"/>
        <v>#DIV/0!</v>
      </c>
      <c r="L545" s="87" t="e">
        <f t="shared" si="21"/>
        <v>#DIV/0!</v>
      </c>
      <c r="M545" s="88" t="e">
        <f t="shared" si="21"/>
        <v>#DIV/0!</v>
      </c>
      <c r="O545" s="121" t="str">
        <f t="shared" si="20"/>
        <v>מגדל העמק</v>
      </c>
      <c r="P545" s="121" t="str">
        <f t="shared" si="20"/>
        <v>נצרת-עילית</v>
      </c>
    </row>
    <row r="546" spans="1:16" x14ac:dyDescent="0.3">
      <c r="A546" s="61">
        <v>21</v>
      </c>
      <c r="B546" s="61">
        <v>21</v>
      </c>
      <c r="C546" s="97"/>
      <c r="D546" s="79"/>
      <c r="E546" s="79"/>
      <c r="F546" s="79"/>
      <c r="G546" s="94"/>
      <c r="I546" s="86" t="e">
        <f t="shared" si="21"/>
        <v>#DIV/0!</v>
      </c>
      <c r="J546" s="87" t="e">
        <f t="shared" si="21"/>
        <v>#DIV/0!</v>
      </c>
      <c r="K546" s="87" t="e">
        <f t="shared" si="21"/>
        <v>#DIV/0!</v>
      </c>
      <c r="L546" s="87" t="e">
        <f t="shared" si="21"/>
        <v>#DIV/0!</v>
      </c>
      <c r="M546" s="88" t="e">
        <f t="shared" si="21"/>
        <v>#DIV/0!</v>
      </c>
      <c r="O546" s="121" t="str">
        <f t="shared" si="20"/>
        <v>מגדל העמק</v>
      </c>
      <c r="P546" s="121" t="str">
        <f t="shared" si="20"/>
        <v>מגדל העמק</v>
      </c>
    </row>
    <row r="547" spans="1:16" x14ac:dyDescent="0.3">
      <c r="A547" s="61">
        <v>21</v>
      </c>
      <c r="B547" s="61">
        <v>22</v>
      </c>
      <c r="C547" s="97"/>
      <c r="D547" s="79"/>
      <c r="E547" s="79"/>
      <c r="F547" s="79"/>
      <c r="G547" s="94"/>
      <c r="I547" s="86" t="e">
        <f t="shared" si="21"/>
        <v>#DIV/0!</v>
      </c>
      <c r="J547" s="87" t="e">
        <f t="shared" si="21"/>
        <v>#DIV/0!</v>
      </c>
      <c r="K547" s="87" t="e">
        <f t="shared" si="21"/>
        <v>#DIV/0!</v>
      </c>
      <c r="L547" s="87" t="e">
        <f t="shared" si="21"/>
        <v>#DIV/0!</v>
      </c>
      <c r="M547" s="88" t="e">
        <f t="shared" si="21"/>
        <v>#DIV/0!</v>
      </c>
      <c r="O547" s="121" t="str">
        <f t="shared" si="20"/>
        <v>מגדל העמק</v>
      </c>
      <c r="P547" s="121" t="str">
        <f t="shared" si="20"/>
        <v>יוקנעם</v>
      </c>
    </row>
    <row r="548" spans="1:16" x14ac:dyDescent="0.3">
      <c r="A548" s="61">
        <v>21</v>
      </c>
      <c r="B548" s="61">
        <v>23</v>
      </c>
      <c r="C548" s="97"/>
      <c r="D548" s="79"/>
      <c r="E548" s="79"/>
      <c r="F548" s="79"/>
      <c r="G548" s="94"/>
      <c r="I548" s="86" t="e">
        <f t="shared" si="21"/>
        <v>#DIV/0!</v>
      </c>
      <c r="J548" s="87" t="e">
        <f t="shared" si="21"/>
        <v>#DIV/0!</v>
      </c>
      <c r="K548" s="87" t="e">
        <f t="shared" si="21"/>
        <v>#DIV/0!</v>
      </c>
      <c r="L548" s="87" t="e">
        <f t="shared" si="21"/>
        <v>#DIV/0!</v>
      </c>
      <c r="M548" s="88" t="e">
        <f t="shared" si="21"/>
        <v>#DIV/0!</v>
      </c>
      <c r="O548" s="121" t="str">
        <f t="shared" si="20"/>
        <v>מגדל העמק</v>
      </c>
      <c r="P548" s="121" t="str">
        <f t="shared" si="20"/>
        <v>דלית אל כרמל</v>
      </c>
    </row>
    <row r="549" spans="1:16" x14ac:dyDescent="0.3">
      <c r="A549" s="61">
        <v>21</v>
      </c>
      <c r="B549" s="61">
        <v>24</v>
      </c>
      <c r="C549" s="97"/>
      <c r="D549" s="79"/>
      <c r="E549" s="79"/>
      <c r="F549" s="79"/>
      <c r="G549" s="94"/>
      <c r="I549" s="86" t="e">
        <f t="shared" si="21"/>
        <v>#DIV/0!</v>
      </c>
      <c r="J549" s="87" t="e">
        <f t="shared" si="21"/>
        <v>#DIV/0!</v>
      </c>
      <c r="K549" s="87" t="e">
        <f t="shared" si="21"/>
        <v>#DIV/0!</v>
      </c>
      <c r="L549" s="87" t="e">
        <f t="shared" si="21"/>
        <v>#DIV/0!</v>
      </c>
      <c r="M549" s="88" t="e">
        <f t="shared" si="21"/>
        <v>#DIV/0!</v>
      </c>
      <c r="O549" s="121" t="str">
        <f t="shared" si="20"/>
        <v>מגדל העמק</v>
      </c>
      <c r="P549" s="121" t="str">
        <f t="shared" si="20"/>
        <v>חוף הכרמל</v>
      </c>
    </row>
    <row r="550" spans="1:16" x14ac:dyDescent="0.3">
      <c r="A550" s="61">
        <v>21</v>
      </c>
      <c r="B550" s="61">
        <v>25</v>
      </c>
      <c r="C550" s="97"/>
      <c r="D550" s="79"/>
      <c r="E550" s="79"/>
      <c r="F550" s="79"/>
      <c r="G550" s="94"/>
      <c r="I550" s="86" t="e">
        <f t="shared" si="21"/>
        <v>#DIV/0!</v>
      </c>
      <c r="J550" s="87" t="e">
        <f t="shared" si="21"/>
        <v>#DIV/0!</v>
      </c>
      <c r="K550" s="87" t="e">
        <f t="shared" si="21"/>
        <v>#DIV/0!</v>
      </c>
      <c r="L550" s="87" t="e">
        <f t="shared" si="21"/>
        <v>#DIV/0!</v>
      </c>
      <c r="M550" s="88" t="e">
        <f t="shared" si="21"/>
        <v>#DIV/0!</v>
      </c>
      <c r="O550" s="121" t="str">
        <f t="shared" si="20"/>
        <v>מגדל העמק</v>
      </c>
      <c r="P550" s="121" t="str">
        <f t="shared" si="20"/>
        <v>זכרון יעקב</v>
      </c>
    </row>
    <row r="551" spans="1:16" x14ac:dyDescent="0.3">
      <c r="A551" s="61">
        <v>21</v>
      </c>
      <c r="B551" s="61">
        <v>30</v>
      </c>
      <c r="C551" s="97"/>
      <c r="D551" s="79"/>
      <c r="E551" s="79"/>
      <c r="F551" s="79"/>
      <c r="G551" s="94"/>
      <c r="I551" s="86" t="e">
        <f t="shared" si="21"/>
        <v>#DIV/0!</v>
      </c>
      <c r="J551" s="87" t="e">
        <f t="shared" si="21"/>
        <v>#DIV/0!</v>
      </c>
      <c r="K551" s="87" t="e">
        <f t="shared" si="21"/>
        <v>#DIV/0!</v>
      </c>
      <c r="L551" s="87" t="e">
        <f t="shared" si="21"/>
        <v>#DIV/0!</v>
      </c>
      <c r="M551" s="88" t="e">
        <f t="shared" si="21"/>
        <v>#DIV/0!</v>
      </c>
      <c r="O551" s="121" t="str">
        <f t="shared" si="20"/>
        <v>מגדל העמק</v>
      </c>
      <c r="P551" s="121" t="str">
        <f t="shared" si="20"/>
        <v>סכנין</v>
      </c>
    </row>
    <row r="552" spans="1:16" x14ac:dyDescent="0.3">
      <c r="A552" s="61">
        <v>22</v>
      </c>
      <c r="B552" s="61">
        <v>1</v>
      </c>
      <c r="C552" s="97"/>
      <c r="D552" s="79"/>
      <c r="E552" s="79"/>
      <c r="F552" s="79"/>
      <c r="G552" s="94"/>
      <c r="I552" s="86" t="e">
        <f t="shared" si="21"/>
        <v>#DIV/0!</v>
      </c>
      <c r="J552" s="87" t="e">
        <f t="shared" si="21"/>
        <v>#DIV/0!</v>
      </c>
      <c r="K552" s="87" t="e">
        <f t="shared" si="21"/>
        <v>#DIV/0!</v>
      </c>
      <c r="L552" s="87" t="e">
        <f t="shared" si="21"/>
        <v>#DIV/0!</v>
      </c>
      <c r="M552" s="88" t="e">
        <f t="shared" si="21"/>
        <v>#DIV/0!</v>
      </c>
      <c r="O552" s="121" t="str">
        <f t="shared" si="20"/>
        <v>יוקנעם</v>
      </c>
      <c r="P552" s="121" t="str">
        <f t="shared" si="20"/>
        <v>נהריה</v>
      </c>
    </row>
    <row r="553" spans="1:16" x14ac:dyDescent="0.3">
      <c r="A553" s="61">
        <v>22</v>
      </c>
      <c r="B553" s="61">
        <v>2</v>
      </c>
      <c r="C553" s="97"/>
      <c r="D553" s="79"/>
      <c r="E553" s="79"/>
      <c r="F553" s="79"/>
      <c r="G553" s="94"/>
      <c r="I553" s="86" t="e">
        <f t="shared" si="21"/>
        <v>#DIV/0!</v>
      </c>
      <c r="J553" s="87" t="e">
        <f t="shared" si="21"/>
        <v>#DIV/0!</v>
      </c>
      <c r="K553" s="87" t="e">
        <f t="shared" si="21"/>
        <v>#DIV/0!</v>
      </c>
      <c r="L553" s="87" t="e">
        <f t="shared" si="21"/>
        <v>#DIV/0!</v>
      </c>
      <c r="M553" s="88" t="e">
        <f t="shared" si="21"/>
        <v>#DIV/0!</v>
      </c>
      <c r="O553" s="121" t="str">
        <f t="shared" si="20"/>
        <v>יוקנעם</v>
      </c>
      <c r="P553" s="121" t="str">
        <f t="shared" si="20"/>
        <v>עכו</v>
      </c>
    </row>
    <row r="554" spans="1:16" x14ac:dyDescent="0.3">
      <c r="A554" s="61">
        <v>22</v>
      </c>
      <c r="B554" s="61">
        <v>3</v>
      </c>
      <c r="C554" s="97"/>
      <c r="D554" s="79"/>
      <c r="E554" s="79"/>
      <c r="F554" s="79"/>
      <c r="G554" s="94"/>
      <c r="I554" s="86" t="e">
        <f t="shared" si="21"/>
        <v>#DIV/0!</v>
      </c>
      <c r="J554" s="87" t="e">
        <f t="shared" si="21"/>
        <v>#DIV/0!</v>
      </c>
      <c r="K554" s="87" t="e">
        <f t="shared" si="21"/>
        <v>#DIV/0!</v>
      </c>
      <c r="L554" s="87" t="e">
        <f t="shared" si="21"/>
        <v>#DIV/0!</v>
      </c>
      <c r="M554" s="88" t="e">
        <f t="shared" si="21"/>
        <v>#DIV/0!</v>
      </c>
      <c r="O554" s="121" t="str">
        <f t="shared" si="20"/>
        <v>יוקנעם</v>
      </c>
      <c r="P554" s="121" t="str">
        <f t="shared" si="20"/>
        <v>כרמיאל</v>
      </c>
    </row>
    <row r="555" spans="1:16" x14ac:dyDescent="0.3">
      <c r="A555" s="61">
        <v>22</v>
      </c>
      <c r="B555" s="61">
        <v>4</v>
      </c>
      <c r="C555" s="97"/>
      <c r="D555" s="79"/>
      <c r="E555" s="79"/>
      <c r="F555" s="79"/>
      <c r="G555" s="94"/>
      <c r="I555" s="86" t="e">
        <f t="shared" si="21"/>
        <v>#DIV/0!</v>
      </c>
      <c r="J555" s="87" t="e">
        <f t="shared" si="21"/>
        <v>#DIV/0!</v>
      </c>
      <c r="K555" s="87" t="e">
        <f t="shared" si="21"/>
        <v>#DIV/0!</v>
      </c>
      <c r="L555" s="87" t="e">
        <f t="shared" si="21"/>
        <v>#DIV/0!</v>
      </c>
      <c r="M555" s="88" t="e">
        <f t="shared" si="21"/>
        <v>#DIV/0!</v>
      </c>
      <c r="O555" s="121" t="str">
        <f t="shared" si="20"/>
        <v>יוקנעם</v>
      </c>
      <c r="P555" s="121" t="str">
        <f t="shared" si="20"/>
        <v>שפרעם</v>
      </c>
    </row>
    <row r="556" spans="1:16" x14ac:dyDescent="0.3">
      <c r="A556" s="61">
        <v>22</v>
      </c>
      <c r="B556" s="61">
        <v>5</v>
      </c>
      <c r="C556" s="97"/>
      <c r="D556" s="79"/>
      <c r="E556" s="79"/>
      <c r="F556" s="79"/>
      <c r="G556" s="94"/>
      <c r="I556" s="86" t="e">
        <f t="shared" si="21"/>
        <v>#DIV/0!</v>
      </c>
      <c r="J556" s="87" t="e">
        <f t="shared" si="21"/>
        <v>#DIV/0!</v>
      </c>
      <c r="K556" s="87" t="e">
        <f t="shared" si="21"/>
        <v>#DIV/0!</v>
      </c>
      <c r="L556" s="87" t="e">
        <f t="shared" si="21"/>
        <v>#DIV/0!</v>
      </c>
      <c r="M556" s="88" t="e">
        <f t="shared" si="21"/>
        <v>#DIV/0!</v>
      </c>
      <c r="O556" s="121" t="str">
        <f t="shared" si="20"/>
        <v>יוקנעם</v>
      </c>
      <c r="P556" s="121" t="str">
        <f t="shared" si="20"/>
        <v>קרית ים</v>
      </c>
    </row>
    <row r="557" spans="1:16" x14ac:dyDescent="0.3">
      <c r="A557" s="61">
        <v>22</v>
      </c>
      <c r="B557" s="61">
        <v>6</v>
      </c>
      <c r="C557" s="97"/>
      <c r="D557" s="79"/>
      <c r="E557" s="79"/>
      <c r="F557" s="79"/>
      <c r="G557" s="94"/>
      <c r="I557" s="86" t="e">
        <f t="shared" si="21"/>
        <v>#DIV/0!</v>
      </c>
      <c r="J557" s="87" t="e">
        <f t="shared" si="21"/>
        <v>#DIV/0!</v>
      </c>
      <c r="K557" s="87" t="e">
        <f t="shared" si="21"/>
        <v>#DIV/0!</v>
      </c>
      <c r="L557" s="87" t="e">
        <f t="shared" si="21"/>
        <v>#DIV/0!</v>
      </c>
      <c r="M557" s="88" t="e">
        <f t="shared" si="21"/>
        <v>#DIV/0!</v>
      </c>
      <c r="O557" s="121" t="str">
        <f t="shared" si="20"/>
        <v>יוקנעם</v>
      </c>
      <c r="P557" s="121" t="str">
        <f t="shared" si="20"/>
        <v>קרית מוצקין</v>
      </c>
    </row>
    <row r="558" spans="1:16" x14ac:dyDescent="0.3">
      <c r="A558" s="61">
        <v>22</v>
      </c>
      <c r="B558" s="61">
        <v>7</v>
      </c>
      <c r="C558" s="97"/>
      <c r="D558" s="79"/>
      <c r="E558" s="79"/>
      <c r="F558" s="79"/>
      <c r="G558" s="94"/>
      <c r="I558" s="86" t="e">
        <f t="shared" si="21"/>
        <v>#DIV/0!</v>
      </c>
      <c r="J558" s="87" t="e">
        <f t="shared" si="21"/>
        <v>#DIV/0!</v>
      </c>
      <c r="K558" s="87" t="e">
        <f t="shared" si="21"/>
        <v>#DIV/0!</v>
      </c>
      <c r="L558" s="87" t="e">
        <f t="shared" si="21"/>
        <v>#DIV/0!</v>
      </c>
      <c r="M558" s="88" t="e">
        <f t="shared" si="21"/>
        <v>#DIV/0!</v>
      </c>
      <c r="O558" s="121" t="str">
        <f t="shared" si="20"/>
        <v>יוקנעם</v>
      </c>
      <c r="P558" s="121" t="str">
        <f t="shared" si="20"/>
        <v>קרית ביאליק</v>
      </c>
    </row>
    <row r="559" spans="1:16" x14ac:dyDescent="0.3">
      <c r="A559" s="61">
        <v>22</v>
      </c>
      <c r="B559" s="61">
        <v>8</v>
      </c>
      <c r="C559" s="97"/>
      <c r="D559" s="79"/>
      <c r="E559" s="79"/>
      <c r="F559" s="79"/>
      <c r="G559" s="94"/>
      <c r="I559" s="86" t="e">
        <f t="shared" si="21"/>
        <v>#DIV/0!</v>
      </c>
      <c r="J559" s="87" t="e">
        <f t="shared" si="21"/>
        <v>#DIV/0!</v>
      </c>
      <c r="K559" s="87" t="e">
        <f t="shared" si="21"/>
        <v>#DIV/0!</v>
      </c>
      <c r="L559" s="87" t="e">
        <f t="shared" si="21"/>
        <v>#DIV/0!</v>
      </c>
      <c r="M559" s="88" t="e">
        <f t="shared" si="21"/>
        <v>#DIV/0!</v>
      </c>
      <c r="O559" s="121" t="str">
        <f t="shared" si="20"/>
        <v>יוקנעם</v>
      </c>
      <c r="P559" s="121" t="str">
        <f t="shared" si="20"/>
        <v>קרית חיים</v>
      </c>
    </row>
    <row r="560" spans="1:16" x14ac:dyDescent="0.3">
      <c r="A560" s="61">
        <v>22</v>
      </c>
      <c r="B560" s="61">
        <v>9</v>
      </c>
      <c r="C560" s="97"/>
      <c r="D560" s="79"/>
      <c r="E560" s="79"/>
      <c r="F560" s="79"/>
      <c r="G560" s="94"/>
      <c r="I560" s="86" t="e">
        <f t="shared" si="21"/>
        <v>#DIV/0!</v>
      </c>
      <c r="J560" s="87" t="e">
        <f t="shared" si="21"/>
        <v>#DIV/0!</v>
      </c>
      <c r="K560" s="87" t="e">
        <f t="shared" si="21"/>
        <v>#DIV/0!</v>
      </c>
      <c r="L560" s="87" t="e">
        <f t="shared" si="21"/>
        <v>#DIV/0!</v>
      </c>
      <c r="M560" s="88" t="e">
        <f t="shared" si="21"/>
        <v>#DIV/0!</v>
      </c>
      <c r="O560" s="121" t="str">
        <f t="shared" si="20"/>
        <v>יוקנעם</v>
      </c>
      <c r="P560" s="121" t="str">
        <f t="shared" si="20"/>
        <v>קרית אתא</v>
      </c>
    </row>
    <row r="561" spans="1:16" x14ac:dyDescent="0.3">
      <c r="A561" s="61">
        <v>22</v>
      </c>
      <c r="B561" s="61">
        <v>10</v>
      </c>
      <c r="C561" s="97"/>
      <c r="D561" s="79"/>
      <c r="E561" s="79"/>
      <c r="F561" s="79"/>
      <c r="G561" s="94"/>
      <c r="I561" s="86" t="e">
        <f t="shared" si="21"/>
        <v>#DIV/0!</v>
      </c>
      <c r="J561" s="87" t="e">
        <f t="shared" si="21"/>
        <v>#DIV/0!</v>
      </c>
      <c r="K561" s="87" t="e">
        <f t="shared" si="21"/>
        <v>#DIV/0!</v>
      </c>
      <c r="L561" s="87" t="e">
        <f t="shared" si="21"/>
        <v>#DIV/0!</v>
      </c>
      <c r="M561" s="88" t="e">
        <f t="shared" si="21"/>
        <v>#DIV/0!</v>
      </c>
      <c r="O561" s="121" t="str">
        <f t="shared" si="20"/>
        <v>יוקנעם</v>
      </c>
      <c r="P561" s="121" t="str">
        <f t="shared" si="20"/>
        <v>כפר מנדא</v>
      </c>
    </row>
    <row r="562" spans="1:16" x14ac:dyDescent="0.3">
      <c r="A562" s="61">
        <v>22</v>
      </c>
      <c r="B562" s="61">
        <v>11</v>
      </c>
      <c r="C562" s="97"/>
      <c r="D562" s="79"/>
      <c r="E562" s="79"/>
      <c r="F562" s="79"/>
      <c r="G562" s="94"/>
      <c r="I562" s="86" t="e">
        <f t="shared" si="21"/>
        <v>#DIV/0!</v>
      </c>
      <c r="J562" s="87" t="e">
        <f t="shared" si="21"/>
        <v>#DIV/0!</v>
      </c>
      <c r="K562" s="87" t="e">
        <f t="shared" si="21"/>
        <v>#DIV/0!</v>
      </c>
      <c r="L562" s="87" t="e">
        <f t="shared" si="21"/>
        <v>#DIV/0!</v>
      </c>
      <c r="M562" s="88" t="e">
        <f t="shared" si="21"/>
        <v>#DIV/0!</v>
      </c>
      <c r="O562" s="121" t="str">
        <f t="shared" si="20"/>
        <v>יוקנעם</v>
      </c>
      <c r="P562" s="121" t="str">
        <f t="shared" si="20"/>
        <v>זבולון</v>
      </c>
    </row>
    <row r="563" spans="1:16" x14ac:dyDescent="0.3">
      <c r="A563" s="61">
        <v>22</v>
      </c>
      <c r="B563" s="61">
        <v>12</v>
      </c>
      <c r="C563" s="97"/>
      <c r="D563" s="79"/>
      <c r="E563" s="79"/>
      <c r="F563" s="79"/>
      <c r="G563" s="94"/>
      <c r="I563" s="86" t="e">
        <f t="shared" si="21"/>
        <v>#DIV/0!</v>
      </c>
      <c r="J563" s="87" t="e">
        <f t="shared" si="21"/>
        <v>#DIV/0!</v>
      </c>
      <c r="K563" s="87" t="e">
        <f t="shared" si="21"/>
        <v>#DIV/0!</v>
      </c>
      <c r="L563" s="87" t="e">
        <f t="shared" si="21"/>
        <v>#DIV/0!</v>
      </c>
      <c r="M563" s="88" t="e">
        <f t="shared" si="21"/>
        <v>#DIV/0!</v>
      </c>
      <c r="O563" s="121" t="str">
        <f t="shared" si="20"/>
        <v>יוקנעם</v>
      </c>
      <c r="P563" s="121" t="str">
        <f t="shared" si="20"/>
        <v>חיפה מפרץ</v>
      </c>
    </row>
    <row r="564" spans="1:16" x14ac:dyDescent="0.3">
      <c r="A564" s="61">
        <v>22</v>
      </c>
      <c r="B564" s="61">
        <v>13</v>
      </c>
      <c r="C564" s="97"/>
      <c r="D564" s="79"/>
      <c r="E564" s="79"/>
      <c r="F564" s="79"/>
      <c r="G564" s="94"/>
      <c r="I564" s="86" t="e">
        <f t="shared" si="21"/>
        <v>#DIV/0!</v>
      </c>
      <c r="J564" s="87" t="e">
        <f t="shared" si="21"/>
        <v>#DIV/0!</v>
      </c>
      <c r="K564" s="87" t="e">
        <f t="shared" si="21"/>
        <v>#DIV/0!</v>
      </c>
      <c r="L564" s="87" t="e">
        <f t="shared" si="21"/>
        <v>#DIV/0!</v>
      </c>
      <c r="M564" s="88" t="e">
        <f t="shared" si="21"/>
        <v>#DIV/0!</v>
      </c>
      <c r="O564" s="121" t="str">
        <f t="shared" si="20"/>
        <v>יוקנעם</v>
      </c>
      <c r="P564" s="121" t="str">
        <f t="shared" si="20"/>
        <v>חיפה עיר תחתית</v>
      </c>
    </row>
    <row r="565" spans="1:16" x14ac:dyDescent="0.3">
      <c r="A565" s="61">
        <v>22</v>
      </c>
      <c r="B565" s="61">
        <v>14</v>
      </c>
      <c r="C565" s="97"/>
      <c r="D565" s="79"/>
      <c r="E565" s="79"/>
      <c r="F565" s="79"/>
      <c r="G565" s="94"/>
      <c r="I565" s="86" t="e">
        <f t="shared" si="21"/>
        <v>#DIV/0!</v>
      </c>
      <c r="J565" s="87" t="e">
        <f t="shared" si="21"/>
        <v>#DIV/0!</v>
      </c>
      <c r="K565" s="87" t="e">
        <f t="shared" si="21"/>
        <v>#DIV/0!</v>
      </c>
      <c r="L565" s="87" t="e">
        <f t="shared" si="21"/>
        <v>#DIV/0!</v>
      </c>
      <c r="M565" s="88" t="e">
        <f t="shared" si="21"/>
        <v>#DIV/0!</v>
      </c>
      <c r="O565" s="121" t="str">
        <f t="shared" si="20"/>
        <v>יוקנעם</v>
      </c>
      <c r="P565" s="121" t="str">
        <f t="shared" si="20"/>
        <v>חיפה הדר-כרמל</v>
      </c>
    </row>
    <row r="566" spans="1:16" x14ac:dyDescent="0.3">
      <c r="A566" s="61">
        <v>22</v>
      </c>
      <c r="B566" s="61">
        <v>15</v>
      </c>
      <c r="C566" s="97"/>
      <c r="D566" s="79"/>
      <c r="E566" s="79"/>
      <c r="F566" s="79"/>
      <c r="G566" s="94"/>
      <c r="I566" s="86" t="e">
        <f t="shared" si="21"/>
        <v>#DIV/0!</v>
      </c>
      <c r="J566" s="87" t="e">
        <f t="shared" si="21"/>
        <v>#DIV/0!</v>
      </c>
      <c r="K566" s="87" t="e">
        <f t="shared" si="21"/>
        <v>#DIV/0!</v>
      </c>
      <c r="L566" s="87" t="e">
        <f t="shared" si="21"/>
        <v>#DIV/0!</v>
      </c>
      <c r="M566" s="88" t="e">
        <f t="shared" si="21"/>
        <v>#DIV/0!</v>
      </c>
      <c r="O566" s="121" t="str">
        <f t="shared" si="20"/>
        <v>יוקנעם</v>
      </c>
      <c r="P566" s="121" t="str">
        <f t="shared" si="20"/>
        <v>חיפה מערב</v>
      </c>
    </row>
    <row r="567" spans="1:16" x14ac:dyDescent="0.3">
      <c r="A567" s="61">
        <v>22</v>
      </c>
      <c r="B567" s="61">
        <v>16</v>
      </c>
      <c r="C567" s="97"/>
      <c r="D567" s="79"/>
      <c r="E567" s="79"/>
      <c r="F567" s="79"/>
      <c r="G567" s="94"/>
      <c r="I567" s="86" t="e">
        <f t="shared" si="21"/>
        <v>#DIV/0!</v>
      </c>
      <c r="J567" s="87" t="e">
        <f t="shared" si="21"/>
        <v>#DIV/0!</v>
      </c>
      <c r="K567" s="87" t="e">
        <f t="shared" si="21"/>
        <v>#DIV/0!</v>
      </c>
      <c r="L567" s="87" t="e">
        <f t="shared" si="21"/>
        <v>#DIV/0!</v>
      </c>
      <c r="M567" s="88" t="e">
        <f t="shared" si="21"/>
        <v>#DIV/0!</v>
      </c>
      <c r="O567" s="121" t="str">
        <f t="shared" si="20"/>
        <v>יוקנעם</v>
      </c>
      <c r="P567" s="121" t="str">
        <f t="shared" si="20"/>
        <v>חיפה כרמל</v>
      </c>
    </row>
    <row r="568" spans="1:16" x14ac:dyDescent="0.3">
      <c r="A568" s="61">
        <v>22</v>
      </c>
      <c r="B568" s="61">
        <v>17</v>
      </c>
      <c r="C568" s="97"/>
      <c r="D568" s="79"/>
      <c r="E568" s="79"/>
      <c r="F568" s="79"/>
      <c r="G568" s="94"/>
      <c r="I568" s="86" t="e">
        <f t="shared" si="21"/>
        <v>#DIV/0!</v>
      </c>
      <c r="J568" s="87" t="e">
        <f t="shared" si="21"/>
        <v>#DIV/0!</v>
      </c>
      <c r="K568" s="87" t="e">
        <f t="shared" si="21"/>
        <v>#DIV/0!</v>
      </c>
      <c r="L568" s="87" t="e">
        <f t="shared" si="21"/>
        <v>#DIV/0!</v>
      </c>
      <c r="M568" s="88" t="e">
        <f t="shared" si="21"/>
        <v>#DIV/0!</v>
      </c>
      <c r="O568" s="121" t="str">
        <f t="shared" si="20"/>
        <v>יוקנעם</v>
      </c>
      <c r="P568" s="121" t="str">
        <f t="shared" si="20"/>
        <v>חיפה נווה שאנן</v>
      </c>
    </row>
    <row r="569" spans="1:16" x14ac:dyDescent="0.3">
      <c r="A569" s="61">
        <v>22</v>
      </c>
      <c r="B569" s="61">
        <v>18</v>
      </c>
      <c r="C569" s="97"/>
      <c r="D569" s="79"/>
      <c r="E569" s="79"/>
      <c r="F569" s="79"/>
      <c r="G569" s="94"/>
      <c r="I569" s="86" t="e">
        <f t="shared" si="21"/>
        <v>#DIV/0!</v>
      </c>
      <c r="J569" s="87" t="e">
        <f t="shared" si="21"/>
        <v>#DIV/0!</v>
      </c>
      <c r="K569" s="87" t="e">
        <f t="shared" si="21"/>
        <v>#DIV/0!</v>
      </c>
      <c r="L569" s="87" t="e">
        <f t="shared" si="21"/>
        <v>#DIV/0!</v>
      </c>
      <c r="M569" s="88" t="e">
        <f t="shared" si="21"/>
        <v>#DIV/0!</v>
      </c>
      <c r="O569" s="121" t="str">
        <f t="shared" si="20"/>
        <v>יוקנעם</v>
      </c>
      <c r="P569" s="121" t="str">
        <f t="shared" si="20"/>
        <v>נשר</v>
      </c>
    </row>
    <row r="570" spans="1:16" x14ac:dyDescent="0.3">
      <c r="A570" s="61">
        <v>22</v>
      </c>
      <c r="B570" s="61">
        <v>19</v>
      </c>
      <c r="C570" s="97"/>
      <c r="D570" s="79"/>
      <c r="E570" s="79"/>
      <c r="F570" s="79"/>
      <c r="G570" s="94"/>
      <c r="I570" s="86" t="e">
        <f t="shared" si="21"/>
        <v>#DIV/0!</v>
      </c>
      <c r="J570" s="87" t="e">
        <f t="shared" si="21"/>
        <v>#DIV/0!</v>
      </c>
      <c r="K570" s="87" t="e">
        <f t="shared" si="21"/>
        <v>#DIV/0!</v>
      </c>
      <c r="L570" s="87" t="e">
        <f t="shared" si="21"/>
        <v>#DIV/0!</v>
      </c>
      <c r="M570" s="88" t="e">
        <f t="shared" si="21"/>
        <v>#DIV/0!</v>
      </c>
      <c r="O570" s="121" t="str">
        <f t="shared" si="20"/>
        <v>יוקנעם</v>
      </c>
      <c r="P570" s="121" t="str">
        <f t="shared" si="20"/>
        <v>נצרת</v>
      </c>
    </row>
    <row r="571" spans="1:16" x14ac:dyDescent="0.3">
      <c r="A571" s="61">
        <v>22</v>
      </c>
      <c r="B571" s="61">
        <v>20</v>
      </c>
      <c r="C571" s="97"/>
      <c r="D571" s="79"/>
      <c r="E571" s="79"/>
      <c r="F571" s="79"/>
      <c r="G571" s="94"/>
      <c r="I571" s="86" t="e">
        <f t="shared" si="21"/>
        <v>#DIV/0!</v>
      </c>
      <c r="J571" s="87" t="e">
        <f t="shared" si="21"/>
        <v>#DIV/0!</v>
      </c>
      <c r="K571" s="87" t="e">
        <f t="shared" si="21"/>
        <v>#DIV/0!</v>
      </c>
      <c r="L571" s="87" t="e">
        <f t="shared" si="21"/>
        <v>#DIV/0!</v>
      </c>
      <c r="M571" s="88" t="e">
        <f t="shared" si="21"/>
        <v>#DIV/0!</v>
      </c>
      <c r="O571" s="121" t="str">
        <f t="shared" si="20"/>
        <v>יוקנעם</v>
      </c>
      <c r="P571" s="121" t="str">
        <f t="shared" si="20"/>
        <v>נצרת-עילית</v>
      </c>
    </row>
    <row r="572" spans="1:16" x14ac:dyDescent="0.3">
      <c r="A572" s="61">
        <v>22</v>
      </c>
      <c r="B572" s="61">
        <v>21</v>
      </c>
      <c r="C572" s="97"/>
      <c r="D572" s="79"/>
      <c r="E572" s="79"/>
      <c r="F572" s="79"/>
      <c r="G572" s="94"/>
      <c r="I572" s="86" t="e">
        <f t="shared" si="21"/>
        <v>#DIV/0!</v>
      </c>
      <c r="J572" s="87" t="e">
        <f t="shared" si="21"/>
        <v>#DIV/0!</v>
      </c>
      <c r="K572" s="87" t="e">
        <f t="shared" si="21"/>
        <v>#DIV/0!</v>
      </c>
      <c r="L572" s="87" t="e">
        <f t="shared" si="21"/>
        <v>#DIV/0!</v>
      </c>
      <c r="M572" s="88" t="e">
        <f t="shared" si="21"/>
        <v>#DIV/0!</v>
      </c>
      <c r="O572" s="121" t="str">
        <f t="shared" si="20"/>
        <v>יוקנעם</v>
      </c>
      <c r="P572" s="121" t="str">
        <f t="shared" si="20"/>
        <v>מגדל העמק</v>
      </c>
    </row>
    <row r="573" spans="1:16" x14ac:dyDescent="0.3">
      <c r="A573" s="61">
        <v>22</v>
      </c>
      <c r="B573" s="61">
        <v>22</v>
      </c>
      <c r="C573" s="97"/>
      <c r="D573" s="79"/>
      <c r="E573" s="79"/>
      <c r="F573" s="79"/>
      <c r="G573" s="94"/>
      <c r="I573" s="86" t="e">
        <f t="shared" si="21"/>
        <v>#DIV/0!</v>
      </c>
      <c r="J573" s="87" t="e">
        <f t="shared" si="21"/>
        <v>#DIV/0!</v>
      </c>
      <c r="K573" s="87" t="e">
        <f t="shared" si="21"/>
        <v>#DIV/0!</v>
      </c>
      <c r="L573" s="87" t="e">
        <f t="shared" si="21"/>
        <v>#DIV/0!</v>
      </c>
      <c r="M573" s="88" t="e">
        <f t="shared" si="21"/>
        <v>#DIV/0!</v>
      </c>
      <c r="O573" s="121" t="str">
        <f t="shared" si="20"/>
        <v>יוקנעם</v>
      </c>
      <c r="P573" s="121" t="str">
        <f t="shared" si="20"/>
        <v>יוקנעם</v>
      </c>
    </row>
    <row r="574" spans="1:16" x14ac:dyDescent="0.3">
      <c r="A574" s="61">
        <v>22</v>
      </c>
      <c r="B574" s="61">
        <v>23</v>
      </c>
      <c r="C574" s="97"/>
      <c r="D574" s="79"/>
      <c r="E574" s="79"/>
      <c r="F574" s="79"/>
      <c r="G574" s="94"/>
      <c r="I574" s="86" t="e">
        <f t="shared" si="21"/>
        <v>#DIV/0!</v>
      </c>
      <c r="J574" s="87" t="e">
        <f t="shared" si="21"/>
        <v>#DIV/0!</v>
      </c>
      <c r="K574" s="87" t="e">
        <f t="shared" si="21"/>
        <v>#DIV/0!</v>
      </c>
      <c r="L574" s="87" t="e">
        <f t="shared" si="21"/>
        <v>#DIV/0!</v>
      </c>
      <c r="M574" s="88" t="e">
        <f t="shared" si="21"/>
        <v>#DIV/0!</v>
      </c>
      <c r="O574" s="121" t="str">
        <f t="shared" si="20"/>
        <v>יוקנעם</v>
      </c>
      <c r="P574" s="121" t="str">
        <f t="shared" si="20"/>
        <v>דלית אל כרמל</v>
      </c>
    </row>
    <row r="575" spans="1:16" x14ac:dyDescent="0.3">
      <c r="A575" s="61">
        <v>22</v>
      </c>
      <c r="B575" s="61">
        <v>24</v>
      </c>
      <c r="C575" s="97"/>
      <c r="D575" s="79"/>
      <c r="E575" s="79"/>
      <c r="F575" s="79"/>
      <c r="G575" s="94"/>
      <c r="I575" s="86" t="e">
        <f t="shared" si="21"/>
        <v>#DIV/0!</v>
      </c>
      <c r="J575" s="87" t="e">
        <f t="shared" si="21"/>
        <v>#DIV/0!</v>
      </c>
      <c r="K575" s="87" t="e">
        <f t="shared" si="21"/>
        <v>#DIV/0!</v>
      </c>
      <c r="L575" s="87" t="e">
        <f t="shared" si="21"/>
        <v>#DIV/0!</v>
      </c>
      <c r="M575" s="88" t="e">
        <f t="shared" si="21"/>
        <v>#DIV/0!</v>
      </c>
      <c r="O575" s="121" t="str">
        <f t="shared" si="20"/>
        <v>יוקנעם</v>
      </c>
      <c r="P575" s="121" t="str">
        <f t="shared" si="20"/>
        <v>חוף הכרמל</v>
      </c>
    </row>
    <row r="576" spans="1:16" x14ac:dyDescent="0.3">
      <c r="A576" s="61">
        <v>22</v>
      </c>
      <c r="B576" s="61">
        <v>25</v>
      </c>
      <c r="C576" s="97"/>
      <c r="D576" s="79"/>
      <c r="E576" s="79"/>
      <c r="F576" s="79"/>
      <c r="G576" s="94"/>
      <c r="I576" s="86" t="e">
        <f t="shared" si="21"/>
        <v>#DIV/0!</v>
      </c>
      <c r="J576" s="87" t="e">
        <f t="shared" si="21"/>
        <v>#DIV/0!</v>
      </c>
      <c r="K576" s="87" t="e">
        <f t="shared" si="21"/>
        <v>#DIV/0!</v>
      </c>
      <c r="L576" s="87" t="e">
        <f t="shared" si="21"/>
        <v>#DIV/0!</v>
      </c>
      <c r="M576" s="88" t="e">
        <f t="shared" si="21"/>
        <v>#DIV/0!</v>
      </c>
      <c r="O576" s="121" t="str">
        <f t="shared" si="20"/>
        <v>יוקנעם</v>
      </c>
      <c r="P576" s="121" t="str">
        <f t="shared" si="20"/>
        <v>זכרון יעקב</v>
      </c>
    </row>
    <row r="577" spans="1:16" x14ac:dyDescent="0.3">
      <c r="A577" s="61">
        <v>22</v>
      </c>
      <c r="B577" s="61">
        <v>30</v>
      </c>
      <c r="C577" s="97"/>
      <c r="D577" s="79"/>
      <c r="E577" s="79"/>
      <c r="F577" s="79"/>
      <c r="G577" s="94"/>
      <c r="I577" s="86" t="e">
        <f t="shared" si="21"/>
        <v>#DIV/0!</v>
      </c>
      <c r="J577" s="87" t="e">
        <f t="shared" si="21"/>
        <v>#DIV/0!</v>
      </c>
      <c r="K577" s="87" t="e">
        <f t="shared" si="21"/>
        <v>#DIV/0!</v>
      </c>
      <c r="L577" s="87" t="e">
        <f t="shared" si="21"/>
        <v>#DIV/0!</v>
      </c>
      <c r="M577" s="88" t="e">
        <f t="shared" si="21"/>
        <v>#DIV/0!</v>
      </c>
      <c r="O577" s="121" t="str">
        <f t="shared" si="20"/>
        <v>יוקנעם</v>
      </c>
      <c r="P577" s="121" t="str">
        <f t="shared" si="20"/>
        <v>סכנין</v>
      </c>
    </row>
    <row r="578" spans="1:16" x14ac:dyDescent="0.3">
      <c r="A578" s="61">
        <v>23</v>
      </c>
      <c r="B578" s="61">
        <v>1</v>
      </c>
      <c r="C578" s="97"/>
      <c r="D578" s="79"/>
      <c r="E578" s="79"/>
      <c r="F578" s="79"/>
      <c r="G578" s="94"/>
      <c r="I578" s="86" t="e">
        <f t="shared" si="21"/>
        <v>#DIV/0!</v>
      </c>
      <c r="J578" s="87" t="e">
        <f t="shared" si="21"/>
        <v>#DIV/0!</v>
      </c>
      <c r="K578" s="87" t="e">
        <f t="shared" si="21"/>
        <v>#DIV/0!</v>
      </c>
      <c r="L578" s="87" t="e">
        <f t="shared" si="21"/>
        <v>#DIV/0!</v>
      </c>
      <c r="M578" s="88" t="e">
        <f t="shared" si="21"/>
        <v>#DIV/0!</v>
      </c>
      <c r="O578" s="121" t="str">
        <f t="shared" si="20"/>
        <v>דלית אל כרמל</v>
      </c>
      <c r="P578" s="121" t="str">
        <f t="shared" si="20"/>
        <v>נהריה</v>
      </c>
    </row>
    <row r="579" spans="1:16" x14ac:dyDescent="0.3">
      <c r="A579" s="61">
        <v>23</v>
      </c>
      <c r="B579" s="61">
        <v>2</v>
      </c>
      <c r="C579" s="97"/>
      <c r="D579" s="79"/>
      <c r="E579" s="79"/>
      <c r="F579" s="79"/>
      <c r="G579" s="94"/>
      <c r="I579" s="86" t="e">
        <f t="shared" si="21"/>
        <v>#DIV/0!</v>
      </c>
      <c r="J579" s="87" t="e">
        <f t="shared" si="21"/>
        <v>#DIV/0!</v>
      </c>
      <c r="K579" s="87" t="e">
        <f t="shared" si="21"/>
        <v>#DIV/0!</v>
      </c>
      <c r="L579" s="87" t="e">
        <f t="shared" si="21"/>
        <v>#DIV/0!</v>
      </c>
      <c r="M579" s="88" t="e">
        <f t="shared" si="21"/>
        <v>#DIV/0!</v>
      </c>
      <c r="O579" s="121" t="str">
        <f t="shared" si="20"/>
        <v>דלית אל כרמל</v>
      </c>
      <c r="P579" s="121" t="str">
        <f t="shared" si="20"/>
        <v>עכו</v>
      </c>
    </row>
    <row r="580" spans="1:16" x14ac:dyDescent="0.3">
      <c r="A580" s="61">
        <v>23</v>
      </c>
      <c r="B580" s="61">
        <v>3</v>
      </c>
      <c r="C580" s="97"/>
      <c r="D580" s="79"/>
      <c r="E580" s="79"/>
      <c r="F580" s="79"/>
      <c r="G580" s="94"/>
      <c r="I580" s="86" t="e">
        <f t="shared" ref="I580:M630" si="22">C580/SUM($C580:$G580)</f>
        <v>#DIV/0!</v>
      </c>
      <c r="J580" s="87" t="e">
        <f t="shared" si="22"/>
        <v>#DIV/0!</v>
      </c>
      <c r="K580" s="87" t="e">
        <f t="shared" si="22"/>
        <v>#DIV/0!</v>
      </c>
      <c r="L580" s="87" t="e">
        <f t="shared" si="22"/>
        <v>#DIV/0!</v>
      </c>
      <c r="M580" s="88" t="e">
        <f t="shared" si="22"/>
        <v>#DIV/0!</v>
      </c>
      <c r="O580" s="121" t="str">
        <f t="shared" si="20"/>
        <v>דלית אל כרמל</v>
      </c>
      <c r="P580" s="121" t="str">
        <f t="shared" si="20"/>
        <v>כרמיאל</v>
      </c>
    </row>
    <row r="581" spans="1:16" x14ac:dyDescent="0.3">
      <c r="A581" s="61">
        <v>23</v>
      </c>
      <c r="B581" s="61">
        <v>4</v>
      </c>
      <c r="C581" s="97"/>
      <c r="D581" s="79"/>
      <c r="E581" s="79"/>
      <c r="F581" s="79"/>
      <c r="G581" s="94"/>
      <c r="I581" s="86" t="e">
        <f t="shared" si="22"/>
        <v>#DIV/0!</v>
      </c>
      <c r="J581" s="87" t="e">
        <f t="shared" si="22"/>
        <v>#DIV/0!</v>
      </c>
      <c r="K581" s="87" t="e">
        <f t="shared" si="22"/>
        <v>#DIV/0!</v>
      </c>
      <c r="L581" s="87" t="e">
        <f t="shared" si="22"/>
        <v>#DIV/0!</v>
      </c>
      <c r="M581" s="88" t="e">
        <f t="shared" si="22"/>
        <v>#DIV/0!</v>
      </c>
      <c r="O581" s="121" t="str">
        <f t="shared" si="20"/>
        <v>דלית אל כרמל</v>
      </c>
      <c r="P581" s="121" t="str">
        <f t="shared" si="20"/>
        <v>שפרעם</v>
      </c>
    </row>
    <row r="582" spans="1:16" x14ac:dyDescent="0.3">
      <c r="A582" s="61">
        <v>23</v>
      </c>
      <c r="B582" s="61">
        <v>5</v>
      </c>
      <c r="C582" s="97"/>
      <c r="D582" s="79"/>
      <c r="E582" s="79"/>
      <c r="F582" s="79"/>
      <c r="G582" s="94"/>
      <c r="I582" s="86" t="e">
        <f t="shared" si="22"/>
        <v>#DIV/0!</v>
      </c>
      <c r="J582" s="87" t="e">
        <f t="shared" si="22"/>
        <v>#DIV/0!</v>
      </c>
      <c r="K582" s="87" t="e">
        <f t="shared" si="22"/>
        <v>#DIV/0!</v>
      </c>
      <c r="L582" s="87" t="e">
        <f t="shared" si="22"/>
        <v>#DIV/0!</v>
      </c>
      <c r="M582" s="88" t="e">
        <f t="shared" si="22"/>
        <v>#DIV/0!</v>
      </c>
      <c r="O582" s="121" t="str">
        <f t="shared" si="20"/>
        <v>דלית אל כרמל</v>
      </c>
      <c r="P582" s="121" t="str">
        <f t="shared" si="20"/>
        <v>קרית ים</v>
      </c>
    </row>
    <row r="583" spans="1:16" x14ac:dyDescent="0.3">
      <c r="A583" s="61">
        <v>23</v>
      </c>
      <c r="B583" s="61">
        <v>6</v>
      </c>
      <c r="C583" s="97"/>
      <c r="D583" s="79"/>
      <c r="E583" s="79"/>
      <c r="F583" s="79"/>
      <c r="G583" s="94"/>
      <c r="I583" s="86" t="e">
        <f t="shared" si="22"/>
        <v>#DIV/0!</v>
      </c>
      <c r="J583" s="87" t="e">
        <f t="shared" si="22"/>
        <v>#DIV/0!</v>
      </c>
      <c r="K583" s="87" t="e">
        <f t="shared" si="22"/>
        <v>#DIV/0!</v>
      </c>
      <c r="L583" s="87" t="e">
        <f t="shared" si="22"/>
        <v>#DIV/0!</v>
      </c>
      <c r="M583" s="88" t="e">
        <f t="shared" si="22"/>
        <v>#DIV/0!</v>
      </c>
      <c r="O583" s="121" t="str">
        <f t="shared" si="20"/>
        <v>דלית אל כרמל</v>
      </c>
      <c r="P583" s="121" t="str">
        <f t="shared" si="20"/>
        <v>קרית מוצקין</v>
      </c>
    </row>
    <row r="584" spans="1:16" x14ac:dyDescent="0.3">
      <c r="A584" s="61">
        <v>23</v>
      </c>
      <c r="B584" s="61">
        <v>7</v>
      </c>
      <c r="C584" s="97"/>
      <c r="D584" s="79"/>
      <c r="E584" s="79"/>
      <c r="F584" s="79"/>
      <c r="G584" s="94"/>
      <c r="I584" s="86" t="e">
        <f t="shared" si="22"/>
        <v>#DIV/0!</v>
      </c>
      <c r="J584" s="87" t="e">
        <f t="shared" si="22"/>
        <v>#DIV/0!</v>
      </c>
      <c r="K584" s="87" t="e">
        <f t="shared" si="22"/>
        <v>#DIV/0!</v>
      </c>
      <c r="L584" s="87" t="e">
        <f t="shared" si="22"/>
        <v>#DIV/0!</v>
      </c>
      <c r="M584" s="88" t="e">
        <f t="shared" si="22"/>
        <v>#DIV/0!</v>
      </c>
      <c r="O584" s="121" t="str">
        <f t="shared" ref="O584:P647" si="23">VLOOKUP(A584,$S$6:$T$31,2,0)</f>
        <v>דלית אל כרמל</v>
      </c>
      <c r="P584" s="121" t="str">
        <f t="shared" si="23"/>
        <v>קרית ביאליק</v>
      </c>
    </row>
    <row r="585" spans="1:16" x14ac:dyDescent="0.3">
      <c r="A585" s="61">
        <v>23</v>
      </c>
      <c r="B585" s="61">
        <v>8</v>
      </c>
      <c r="C585" s="97"/>
      <c r="D585" s="79"/>
      <c r="E585" s="79"/>
      <c r="F585" s="79"/>
      <c r="G585" s="94"/>
      <c r="I585" s="86" t="e">
        <f t="shared" si="22"/>
        <v>#DIV/0!</v>
      </c>
      <c r="J585" s="87" t="e">
        <f t="shared" si="22"/>
        <v>#DIV/0!</v>
      </c>
      <c r="K585" s="87" t="e">
        <f t="shared" si="22"/>
        <v>#DIV/0!</v>
      </c>
      <c r="L585" s="87" t="e">
        <f t="shared" si="22"/>
        <v>#DIV/0!</v>
      </c>
      <c r="M585" s="88" t="e">
        <f t="shared" si="22"/>
        <v>#DIV/0!</v>
      </c>
      <c r="O585" s="121" t="str">
        <f t="shared" si="23"/>
        <v>דלית אל כרמל</v>
      </c>
      <c r="P585" s="121" t="str">
        <f t="shared" si="23"/>
        <v>קרית חיים</v>
      </c>
    </row>
    <row r="586" spans="1:16" x14ac:dyDescent="0.3">
      <c r="A586" s="61">
        <v>23</v>
      </c>
      <c r="B586" s="61">
        <v>9</v>
      </c>
      <c r="C586" s="97"/>
      <c r="D586" s="79"/>
      <c r="E586" s="79"/>
      <c r="F586" s="79"/>
      <c r="G586" s="94"/>
      <c r="I586" s="86" t="e">
        <f t="shared" si="22"/>
        <v>#DIV/0!</v>
      </c>
      <c r="J586" s="87" t="e">
        <f t="shared" si="22"/>
        <v>#DIV/0!</v>
      </c>
      <c r="K586" s="87" t="e">
        <f t="shared" si="22"/>
        <v>#DIV/0!</v>
      </c>
      <c r="L586" s="87" t="e">
        <f t="shared" si="22"/>
        <v>#DIV/0!</v>
      </c>
      <c r="M586" s="88" t="e">
        <f t="shared" si="22"/>
        <v>#DIV/0!</v>
      </c>
      <c r="O586" s="121" t="str">
        <f t="shared" si="23"/>
        <v>דלית אל כרמל</v>
      </c>
      <c r="P586" s="121" t="str">
        <f t="shared" si="23"/>
        <v>קרית אתא</v>
      </c>
    </row>
    <row r="587" spans="1:16" x14ac:dyDescent="0.3">
      <c r="A587" s="61">
        <v>23</v>
      </c>
      <c r="B587" s="61">
        <v>10</v>
      </c>
      <c r="C587" s="97"/>
      <c r="D587" s="79"/>
      <c r="E587" s="79"/>
      <c r="F587" s="79"/>
      <c r="G587" s="94"/>
      <c r="I587" s="86" t="e">
        <f t="shared" si="22"/>
        <v>#DIV/0!</v>
      </c>
      <c r="J587" s="87" t="e">
        <f t="shared" si="22"/>
        <v>#DIV/0!</v>
      </c>
      <c r="K587" s="87" t="e">
        <f t="shared" si="22"/>
        <v>#DIV/0!</v>
      </c>
      <c r="L587" s="87" t="e">
        <f t="shared" si="22"/>
        <v>#DIV/0!</v>
      </c>
      <c r="M587" s="88" t="e">
        <f t="shared" si="22"/>
        <v>#DIV/0!</v>
      </c>
      <c r="O587" s="121" t="str">
        <f t="shared" si="23"/>
        <v>דלית אל כרמל</v>
      </c>
      <c r="P587" s="121" t="str">
        <f t="shared" si="23"/>
        <v>כפר מנדא</v>
      </c>
    </row>
    <row r="588" spans="1:16" x14ac:dyDescent="0.3">
      <c r="A588" s="61">
        <v>23</v>
      </c>
      <c r="B588" s="61">
        <v>11</v>
      </c>
      <c r="C588" s="97"/>
      <c r="D588" s="79"/>
      <c r="E588" s="79"/>
      <c r="F588" s="79"/>
      <c r="G588" s="94"/>
      <c r="I588" s="86" t="e">
        <f t="shared" si="22"/>
        <v>#DIV/0!</v>
      </c>
      <c r="J588" s="87" t="e">
        <f t="shared" si="22"/>
        <v>#DIV/0!</v>
      </c>
      <c r="K588" s="87" t="e">
        <f t="shared" si="22"/>
        <v>#DIV/0!</v>
      </c>
      <c r="L588" s="87" t="e">
        <f t="shared" si="22"/>
        <v>#DIV/0!</v>
      </c>
      <c r="M588" s="88" t="e">
        <f t="shared" si="22"/>
        <v>#DIV/0!</v>
      </c>
      <c r="O588" s="121" t="str">
        <f t="shared" si="23"/>
        <v>דלית אל כרמל</v>
      </c>
      <c r="P588" s="121" t="str">
        <f t="shared" si="23"/>
        <v>זבולון</v>
      </c>
    </row>
    <row r="589" spans="1:16" x14ac:dyDescent="0.3">
      <c r="A589" s="61">
        <v>23</v>
      </c>
      <c r="B589" s="61">
        <v>12</v>
      </c>
      <c r="C589" s="97"/>
      <c r="D589" s="79"/>
      <c r="E589" s="79"/>
      <c r="F589" s="79"/>
      <c r="G589" s="94"/>
      <c r="I589" s="86" t="e">
        <f t="shared" si="22"/>
        <v>#DIV/0!</v>
      </c>
      <c r="J589" s="87" t="e">
        <f t="shared" si="22"/>
        <v>#DIV/0!</v>
      </c>
      <c r="K589" s="87" t="e">
        <f t="shared" si="22"/>
        <v>#DIV/0!</v>
      </c>
      <c r="L589" s="87" t="e">
        <f t="shared" si="22"/>
        <v>#DIV/0!</v>
      </c>
      <c r="M589" s="88" t="e">
        <f t="shared" si="22"/>
        <v>#DIV/0!</v>
      </c>
      <c r="O589" s="121" t="str">
        <f t="shared" si="23"/>
        <v>דלית אל כרמל</v>
      </c>
      <c r="P589" s="121" t="str">
        <f t="shared" si="23"/>
        <v>חיפה מפרץ</v>
      </c>
    </row>
    <row r="590" spans="1:16" x14ac:dyDescent="0.3">
      <c r="A590" s="61">
        <v>23</v>
      </c>
      <c r="B590" s="61">
        <v>13</v>
      </c>
      <c r="C590" s="97"/>
      <c r="D590" s="79"/>
      <c r="E590" s="79"/>
      <c r="F590" s="79"/>
      <c r="G590" s="94"/>
      <c r="I590" s="86" t="e">
        <f t="shared" si="22"/>
        <v>#DIV/0!</v>
      </c>
      <c r="J590" s="87" t="e">
        <f t="shared" si="22"/>
        <v>#DIV/0!</v>
      </c>
      <c r="K590" s="87" t="e">
        <f t="shared" si="22"/>
        <v>#DIV/0!</v>
      </c>
      <c r="L590" s="87" t="e">
        <f t="shared" si="22"/>
        <v>#DIV/0!</v>
      </c>
      <c r="M590" s="88" t="e">
        <f t="shared" si="22"/>
        <v>#DIV/0!</v>
      </c>
      <c r="O590" s="121" t="str">
        <f t="shared" si="23"/>
        <v>דלית אל כרמל</v>
      </c>
      <c r="P590" s="121" t="str">
        <f t="shared" si="23"/>
        <v>חיפה עיר תחתית</v>
      </c>
    </row>
    <row r="591" spans="1:16" x14ac:dyDescent="0.3">
      <c r="A591" s="61">
        <v>23</v>
      </c>
      <c r="B591" s="61">
        <v>14</v>
      </c>
      <c r="C591" s="97"/>
      <c r="D591" s="79"/>
      <c r="E591" s="79"/>
      <c r="F591" s="79"/>
      <c r="G591" s="94"/>
      <c r="I591" s="86" t="e">
        <f t="shared" si="22"/>
        <v>#DIV/0!</v>
      </c>
      <c r="J591" s="87" t="e">
        <f t="shared" si="22"/>
        <v>#DIV/0!</v>
      </c>
      <c r="K591" s="87" t="e">
        <f t="shared" si="22"/>
        <v>#DIV/0!</v>
      </c>
      <c r="L591" s="87" t="e">
        <f t="shared" si="22"/>
        <v>#DIV/0!</v>
      </c>
      <c r="M591" s="88" t="e">
        <f t="shared" si="22"/>
        <v>#DIV/0!</v>
      </c>
      <c r="O591" s="121" t="str">
        <f t="shared" si="23"/>
        <v>דלית אל כרמל</v>
      </c>
      <c r="P591" s="121" t="str">
        <f t="shared" si="23"/>
        <v>חיפה הדר-כרמל</v>
      </c>
    </row>
    <row r="592" spans="1:16" x14ac:dyDescent="0.3">
      <c r="A592" s="61">
        <v>23</v>
      </c>
      <c r="B592" s="61">
        <v>15</v>
      </c>
      <c r="C592" s="97"/>
      <c r="D592" s="79"/>
      <c r="E592" s="79"/>
      <c r="F592" s="79"/>
      <c r="G592" s="94"/>
      <c r="I592" s="86" t="e">
        <f t="shared" si="22"/>
        <v>#DIV/0!</v>
      </c>
      <c r="J592" s="87" t="e">
        <f t="shared" si="22"/>
        <v>#DIV/0!</v>
      </c>
      <c r="K592" s="87" t="e">
        <f t="shared" si="22"/>
        <v>#DIV/0!</v>
      </c>
      <c r="L592" s="87" t="e">
        <f t="shared" si="22"/>
        <v>#DIV/0!</v>
      </c>
      <c r="M592" s="88" t="e">
        <f t="shared" si="22"/>
        <v>#DIV/0!</v>
      </c>
      <c r="O592" s="121" t="str">
        <f t="shared" si="23"/>
        <v>דלית אל כרמל</v>
      </c>
      <c r="P592" s="121" t="str">
        <f t="shared" si="23"/>
        <v>חיפה מערב</v>
      </c>
    </row>
    <row r="593" spans="1:16" x14ac:dyDescent="0.3">
      <c r="A593" s="61">
        <v>23</v>
      </c>
      <c r="B593" s="61">
        <v>16</v>
      </c>
      <c r="C593" s="97"/>
      <c r="D593" s="79"/>
      <c r="E593" s="79"/>
      <c r="F593" s="79"/>
      <c r="G593" s="94"/>
      <c r="I593" s="86" t="e">
        <f t="shared" si="22"/>
        <v>#DIV/0!</v>
      </c>
      <c r="J593" s="87" t="e">
        <f t="shared" si="22"/>
        <v>#DIV/0!</v>
      </c>
      <c r="K593" s="87" t="e">
        <f t="shared" si="22"/>
        <v>#DIV/0!</v>
      </c>
      <c r="L593" s="87" t="e">
        <f t="shared" si="22"/>
        <v>#DIV/0!</v>
      </c>
      <c r="M593" s="88" t="e">
        <f t="shared" si="22"/>
        <v>#DIV/0!</v>
      </c>
      <c r="O593" s="121" t="str">
        <f t="shared" si="23"/>
        <v>דלית אל כרמל</v>
      </c>
      <c r="P593" s="121" t="str">
        <f t="shared" si="23"/>
        <v>חיפה כרמל</v>
      </c>
    </row>
    <row r="594" spans="1:16" x14ac:dyDescent="0.3">
      <c r="A594" s="61">
        <v>23</v>
      </c>
      <c r="B594" s="61">
        <v>17</v>
      </c>
      <c r="C594" s="97"/>
      <c r="D594" s="79"/>
      <c r="E594" s="79"/>
      <c r="F594" s="79"/>
      <c r="G594" s="94"/>
      <c r="I594" s="86" t="e">
        <f t="shared" si="22"/>
        <v>#DIV/0!</v>
      </c>
      <c r="J594" s="87" t="e">
        <f t="shared" si="22"/>
        <v>#DIV/0!</v>
      </c>
      <c r="K594" s="87" t="e">
        <f t="shared" si="22"/>
        <v>#DIV/0!</v>
      </c>
      <c r="L594" s="87" t="e">
        <f t="shared" si="22"/>
        <v>#DIV/0!</v>
      </c>
      <c r="M594" s="88" t="e">
        <f t="shared" si="22"/>
        <v>#DIV/0!</v>
      </c>
      <c r="O594" s="121" t="str">
        <f t="shared" si="23"/>
        <v>דלית אל כרמל</v>
      </c>
      <c r="P594" s="121" t="str">
        <f t="shared" si="23"/>
        <v>חיפה נווה שאנן</v>
      </c>
    </row>
    <row r="595" spans="1:16" x14ac:dyDescent="0.3">
      <c r="A595" s="61">
        <v>23</v>
      </c>
      <c r="B595" s="61">
        <v>18</v>
      </c>
      <c r="C595" s="97"/>
      <c r="D595" s="79"/>
      <c r="E595" s="79"/>
      <c r="F595" s="79"/>
      <c r="G595" s="94"/>
      <c r="I595" s="86" t="e">
        <f t="shared" si="22"/>
        <v>#DIV/0!</v>
      </c>
      <c r="J595" s="87" t="e">
        <f t="shared" si="22"/>
        <v>#DIV/0!</v>
      </c>
      <c r="K595" s="87" t="e">
        <f t="shared" si="22"/>
        <v>#DIV/0!</v>
      </c>
      <c r="L595" s="87" t="e">
        <f t="shared" si="22"/>
        <v>#DIV/0!</v>
      </c>
      <c r="M595" s="88" t="e">
        <f t="shared" si="22"/>
        <v>#DIV/0!</v>
      </c>
      <c r="O595" s="121" t="str">
        <f t="shared" si="23"/>
        <v>דלית אל כרמל</v>
      </c>
      <c r="P595" s="121" t="str">
        <f t="shared" si="23"/>
        <v>נשר</v>
      </c>
    </row>
    <row r="596" spans="1:16" x14ac:dyDescent="0.3">
      <c r="A596" s="61">
        <v>23</v>
      </c>
      <c r="B596" s="61">
        <v>19</v>
      </c>
      <c r="C596" s="97"/>
      <c r="D596" s="79"/>
      <c r="E596" s="79"/>
      <c r="F596" s="79"/>
      <c r="G596" s="94"/>
      <c r="I596" s="86" t="e">
        <f t="shared" si="22"/>
        <v>#DIV/0!</v>
      </c>
      <c r="J596" s="87" t="e">
        <f t="shared" si="22"/>
        <v>#DIV/0!</v>
      </c>
      <c r="K596" s="87" t="e">
        <f t="shared" si="22"/>
        <v>#DIV/0!</v>
      </c>
      <c r="L596" s="87" t="e">
        <f t="shared" si="22"/>
        <v>#DIV/0!</v>
      </c>
      <c r="M596" s="88" t="e">
        <f t="shared" si="22"/>
        <v>#DIV/0!</v>
      </c>
      <c r="O596" s="121" t="str">
        <f t="shared" si="23"/>
        <v>דלית אל כרמל</v>
      </c>
      <c r="P596" s="121" t="str">
        <f t="shared" si="23"/>
        <v>נצרת</v>
      </c>
    </row>
    <row r="597" spans="1:16" x14ac:dyDescent="0.3">
      <c r="A597" s="61">
        <v>23</v>
      </c>
      <c r="B597" s="61">
        <v>20</v>
      </c>
      <c r="C597" s="97"/>
      <c r="D597" s="79"/>
      <c r="E597" s="79"/>
      <c r="F597" s="79"/>
      <c r="G597" s="94"/>
      <c r="I597" s="86" t="e">
        <f t="shared" si="22"/>
        <v>#DIV/0!</v>
      </c>
      <c r="J597" s="87" t="e">
        <f t="shared" si="22"/>
        <v>#DIV/0!</v>
      </c>
      <c r="K597" s="87" t="e">
        <f t="shared" si="22"/>
        <v>#DIV/0!</v>
      </c>
      <c r="L597" s="87" t="e">
        <f t="shared" si="22"/>
        <v>#DIV/0!</v>
      </c>
      <c r="M597" s="88" t="e">
        <f t="shared" si="22"/>
        <v>#DIV/0!</v>
      </c>
      <c r="O597" s="121" t="str">
        <f t="shared" si="23"/>
        <v>דלית אל כרמל</v>
      </c>
      <c r="P597" s="121" t="str">
        <f t="shared" si="23"/>
        <v>נצרת-עילית</v>
      </c>
    </row>
    <row r="598" spans="1:16" x14ac:dyDescent="0.3">
      <c r="A598" s="61">
        <v>23</v>
      </c>
      <c r="B598" s="61">
        <v>21</v>
      </c>
      <c r="C598" s="97"/>
      <c r="D598" s="79"/>
      <c r="E598" s="79"/>
      <c r="F598" s="79"/>
      <c r="G598" s="94"/>
      <c r="I598" s="86" t="e">
        <f t="shared" si="22"/>
        <v>#DIV/0!</v>
      </c>
      <c r="J598" s="87" t="e">
        <f t="shared" si="22"/>
        <v>#DIV/0!</v>
      </c>
      <c r="K598" s="87" t="e">
        <f t="shared" si="22"/>
        <v>#DIV/0!</v>
      </c>
      <c r="L598" s="87" t="e">
        <f t="shared" si="22"/>
        <v>#DIV/0!</v>
      </c>
      <c r="M598" s="88" t="e">
        <f t="shared" si="22"/>
        <v>#DIV/0!</v>
      </c>
      <c r="O598" s="121" t="str">
        <f t="shared" si="23"/>
        <v>דלית אל כרמל</v>
      </c>
      <c r="P598" s="121" t="str">
        <f t="shared" si="23"/>
        <v>מגדל העמק</v>
      </c>
    </row>
    <row r="599" spans="1:16" x14ac:dyDescent="0.3">
      <c r="A599" s="61">
        <v>23</v>
      </c>
      <c r="B599" s="61">
        <v>22</v>
      </c>
      <c r="C599" s="97"/>
      <c r="D599" s="79"/>
      <c r="E599" s="79"/>
      <c r="F599" s="79"/>
      <c r="G599" s="94"/>
      <c r="I599" s="86" t="e">
        <f t="shared" si="22"/>
        <v>#DIV/0!</v>
      </c>
      <c r="J599" s="87" t="e">
        <f t="shared" si="22"/>
        <v>#DIV/0!</v>
      </c>
      <c r="K599" s="87" t="e">
        <f t="shared" si="22"/>
        <v>#DIV/0!</v>
      </c>
      <c r="L599" s="87" t="e">
        <f t="shared" si="22"/>
        <v>#DIV/0!</v>
      </c>
      <c r="M599" s="88" t="e">
        <f t="shared" si="22"/>
        <v>#DIV/0!</v>
      </c>
      <c r="O599" s="121" t="str">
        <f t="shared" si="23"/>
        <v>דלית אל כרמל</v>
      </c>
      <c r="P599" s="121" t="str">
        <f t="shared" si="23"/>
        <v>יוקנעם</v>
      </c>
    </row>
    <row r="600" spans="1:16" x14ac:dyDescent="0.3">
      <c r="A600" s="61">
        <v>23</v>
      </c>
      <c r="B600" s="61">
        <v>23</v>
      </c>
      <c r="C600" s="97"/>
      <c r="D600" s="79"/>
      <c r="E600" s="79"/>
      <c r="F600" s="79"/>
      <c r="G600" s="94"/>
      <c r="I600" s="86" t="e">
        <f t="shared" si="22"/>
        <v>#DIV/0!</v>
      </c>
      <c r="J600" s="87" t="e">
        <f t="shared" si="22"/>
        <v>#DIV/0!</v>
      </c>
      <c r="K600" s="87" t="e">
        <f t="shared" si="22"/>
        <v>#DIV/0!</v>
      </c>
      <c r="L600" s="87" t="e">
        <f t="shared" si="22"/>
        <v>#DIV/0!</v>
      </c>
      <c r="M600" s="88" t="e">
        <f t="shared" si="22"/>
        <v>#DIV/0!</v>
      </c>
      <c r="O600" s="121" t="str">
        <f t="shared" si="23"/>
        <v>דלית אל כרמל</v>
      </c>
      <c r="P600" s="121" t="str">
        <f t="shared" si="23"/>
        <v>דלית אל כרמל</v>
      </c>
    </row>
    <row r="601" spans="1:16" x14ac:dyDescent="0.3">
      <c r="A601" s="61">
        <v>23</v>
      </c>
      <c r="B601" s="61">
        <v>24</v>
      </c>
      <c r="C601" s="97"/>
      <c r="D601" s="79"/>
      <c r="E601" s="79"/>
      <c r="F601" s="79"/>
      <c r="G601" s="94"/>
      <c r="I601" s="86" t="e">
        <f t="shared" si="22"/>
        <v>#DIV/0!</v>
      </c>
      <c r="J601" s="87" t="e">
        <f t="shared" si="22"/>
        <v>#DIV/0!</v>
      </c>
      <c r="K601" s="87" t="e">
        <f t="shared" si="22"/>
        <v>#DIV/0!</v>
      </c>
      <c r="L601" s="87" t="e">
        <f t="shared" si="22"/>
        <v>#DIV/0!</v>
      </c>
      <c r="M601" s="88" t="e">
        <f t="shared" si="22"/>
        <v>#DIV/0!</v>
      </c>
      <c r="O601" s="121" t="str">
        <f t="shared" si="23"/>
        <v>דלית אל כרמל</v>
      </c>
      <c r="P601" s="121" t="str">
        <f t="shared" si="23"/>
        <v>חוף הכרמל</v>
      </c>
    </row>
    <row r="602" spans="1:16" x14ac:dyDescent="0.3">
      <c r="A602" s="61">
        <v>23</v>
      </c>
      <c r="B602" s="61">
        <v>25</v>
      </c>
      <c r="C602" s="97"/>
      <c r="D602" s="79"/>
      <c r="E602" s="79"/>
      <c r="F602" s="79"/>
      <c r="G602" s="94"/>
      <c r="I602" s="86" t="e">
        <f t="shared" si="22"/>
        <v>#DIV/0!</v>
      </c>
      <c r="J602" s="87" t="e">
        <f t="shared" si="22"/>
        <v>#DIV/0!</v>
      </c>
      <c r="K602" s="87" t="e">
        <f t="shared" si="22"/>
        <v>#DIV/0!</v>
      </c>
      <c r="L602" s="87" t="e">
        <f t="shared" si="22"/>
        <v>#DIV/0!</v>
      </c>
      <c r="M602" s="88" t="e">
        <f t="shared" si="22"/>
        <v>#DIV/0!</v>
      </c>
      <c r="O602" s="121" t="str">
        <f t="shared" si="23"/>
        <v>דלית אל כרמל</v>
      </c>
      <c r="P602" s="121" t="str">
        <f t="shared" si="23"/>
        <v>זכרון יעקב</v>
      </c>
    </row>
    <row r="603" spans="1:16" x14ac:dyDescent="0.3">
      <c r="A603" s="61">
        <v>23</v>
      </c>
      <c r="B603" s="61">
        <v>30</v>
      </c>
      <c r="C603" s="97"/>
      <c r="D603" s="79"/>
      <c r="E603" s="79"/>
      <c r="F603" s="79"/>
      <c r="G603" s="94"/>
      <c r="I603" s="86" t="e">
        <f t="shared" si="22"/>
        <v>#DIV/0!</v>
      </c>
      <c r="J603" s="87" t="e">
        <f t="shared" si="22"/>
        <v>#DIV/0!</v>
      </c>
      <c r="K603" s="87" t="e">
        <f t="shared" si="22"/>
        <v>#DIV/0!</v>
      </c>
      <c r="L603" s="87" t="e">
        <f t="shared" si="22"/>
        <v>#DIV/0!</v>
      </c>
      <c r="M603" s="88" t="e">
        <f t="shared" si="22"/>
        <v>#DIV/0!</v>
      </c>
      <c r="O603" s="121" t="str">
        <f t="shared" si="23"/>
        <v>דלית אל כרמל</v>
      </c>
      <c r="P603" s="121" t="str">
        <f t="shared" si="23"/>
        <v>סכנין</v>
      </c>
    </row>
    <row r="604" spans="1:16" x14ac:dyDescent="0.3">
      <c r="A604" s="61">
        <v>24</v>
      </c>
      <c r="B604" s="61">
        <v>1</v>
      </c>
      <c r="C604" s="97"/>
      <c r="D604" s="79"/>
      <c r="E604" s="79"/>
      <c r="F604" s="79"/>
      <c r="G604" s="94"/>
      <c r="I604" s="86" t="e">
        <f t="shared" si="22"/>
        <v>#DIV/0!</v>
      </c>
      <c r="J604" s="87" t="e">
        <f t="shared" si="22"/>
        <v>#DIV/0!</v>
      </c>
      <c r="K604" s="87" t="e">
        <f t="shared" si="22"/>
        <v>#DIV/0!</v>
      </c>
      <c r="L604" s="87" t="e">
        <f t="shared" si="22"/>
        <v>#DIV/0!</v>
      </c>
      <c r="M604" s="88" t="e">
        <f t="shared" si="22"/>
        <v>#DIV/0!</v>
      </c>
      <c r="O604" s="121" t="str">
        <f t="shared" si="23"/>
        <v>חוף הכרמל</v>
      </c>
      <c r="P604" s="121" t="str">
        <f t="shared" si="23"/>
        <v>נהריה</v>
      </c>
    </row>
    <row r="605" spans="1:16" x14ac:dyDescent="0.3">
      <c r="A605" s="61">
        <v>24</v>
      </c>
      <c r="B605" s="61">
        <v>2</v>
      </c>
      <c r="C605" s="97"/>
      <c r="D605" s="79"/>
      <c r="E605" s="79"/>
      <c r="F605" s="79"/>
      <c r="G605" s="94"/>
      <c r="I605" s="86" t="e">
        <f t="shared" si="22"/>
        <v>#DIV/0!</v>
      </c>
      <c r="J605" s="87" t="e">
        <f t="shared" si="22"/>
        <v>#DIV/0!</v>
      </c>
      <c r="K605" s="87" t="e">
        <f t="shared" si="22"/>
        <v>#DIV/0!</v>
      </c>
      <c r="L605" s="87" t="e">
        <f t="shared" si="22"/>
        <v>#DIV/0!</v>
      </c>
      <c r="M605" s="88" t="e">
        <f t="shared" si="22"/>
        <v>#DIV/0!</v>
      </c>
      <c r="O605" s="121" t="str">
        <f t="shared" si="23"/>
        <v>חוף הכרמל</v>
      </c>
      <c r="P605" s="121" t="str">
        <f t="shared" si="23"/>
        <v>עכו</v>
      </c>
    </row>
    <row r="606" spans="1:16" x14ac:dyDescent="0.3">
      <c r="A606" s="61">
        <v>24</v>
      </c>
      <c r="B606" s="61">
        <v>3</v>
      </c>
      <c r="C606" s="97"/>
      <c r="D606" s="79"/>
      <c r="E606" s="79"/>
      <c r="F606" s="79"/>
      <c r="G606" s="94"/>
      <c r="I606" s="86" t="e">
        <f t="shared" si="22"/>
        <v>#DIV/0!</v>
      </c>
      <c r="J606" s="87" t="e">
        <f t="shared" si="22"/>
        <v>#DIV/0!</v>
      </c>
      <c r="K606" s="87" t="e">
        <f t="shared" si="22"/>
        <v>#DIV/0!</v>
      </c>
      <c r="L606" s="87" t="e">
        <f t="shared" si="22"/>
        <v>#DIV/0!</v>
      </c>
      <c r="M606" s="88" t="e">
        <f t="shared" si="22"/>
        <v>#DIV/0!</v>
      </c>
      <c r="O606" s="121" t="str">
        <f t="shared" si="23"/>
        <v>חוף הכרמל</v>
      </c>
      <c r="P606" s="121" t="str">
        <f t="shared" si="23"/>
        <v>כרמיאל</v>
      </c>
    </row>
    <row r="607" spans="1:16" x14ac:dyDescent="0.3">
      <c r="A607" s="61">
        <v>24</v>
      </c>
      <c r="B607" s="61">
        <v>4</v>
      </c>
      <c r="C607" s="97"/>
      <c r="D607" s="79"/>
      <c r="E607" s="79"/>
      <c r="F607" s="79"/>
      <c r="G607" s="94"/>
      <c r="I607" s="86" t="e">
        <f t="shared" si="22"/>
        <v>#DIV/0!</v>
      </c>
      <c r="J607" s="87" t="e">
        <f t="shared" si="22"/>
        <v>#DIV/0!</v>
      </c>
      <c r="K607" s="87" t="e">
        <f t="shared" si="22"/>
        <v>#DIV/0!</v>
      </c>
      <c r="L607" s="87" t="e">
        <f t="shared" si="22"/>
        <v>#DIV/0!</v>
      </c>
      <c r="M607" s="88" t="e">
        <f t="shared" si="22"/>
        <v>#DIV/0!</v>
      </c>
      <c r="O607" s="121" t="str">
        <f t="shared" si="23"/>
        <v>חוף הכרמל</v>
      </c>
      <c r="P607" s="121" t="str">
        <f t="shared" si="23"/>
        <v>שפרעם</v>
      </c>
    </row>
    <row r="608" spans="1:16" x14ac:dyDescent="0.3">
      <c r="A608" s="61">
        <v>24</v>
      </c>
      <c r="B608" s="61">
        <v>5</v>
      </c>
      <c r="C608" s="97"/>
      <c r="D608" s="79"/>
      <c r="E608" s="79"/>
      <c r="F608" s="79"/>
      <c r="G608" s="94"/>
      <c r="I608" s="86" t="e">
        <f t="shared" si="22"/>
        <v>#DIV/0!</v>
      </c>
      <c r="J608" s="87" t="e">
        <f t="shared" si="22"/>
        <v>#DIV/0!</v>
      </c>
      <c r="K608" s="87" t="e">
        <f t="shared" si="22"/>
        <v>#DIV/0!</v>
      </c>
      <c r="L608" s="87" t="e">
        <f t="shared" si="22"/>
        <v>#DIV/0!</v>
      </c>
      <c r="M608" s="88" t="e">
        <f t="shared" si="22"/>
        <v>#DIV/0!</v>
      </c>
      <c r="O608" s="121" t="str">
        <f t="shared" si="23"/>
        <v>חוף הכרמל</v>
      </c>
      <c r="P608" s="121" t="str">
        <f t="shared" si="23"/>
        <v>קרית ים</v>
      </c>
    </row>
    <row r="609" spans="1:16" x14ac:dyDescent="0.3">
      <c r="A609" s="61">
        <v>24</v>
      </c>
      <c r="B609" s="61">
        <v>6</v>
      </c>
      <c r="C609" s="97"/>
      <c r="D609" s="79"/>
      <c r="E609" s="79"/>
      <c r="F609" s="79"/>
      <c r="G609" s="94"/>
      <c r="I609" s="86" t="e">
        <f t="shared" si="22"/>
        <v>#DIV/0!</v>
      </c>
      <c r="J609" s="87" t="e">
        <f t="shared" si="22"/>
        <v>#DIV/0!</v>
      </c>
      <c r="K609" s="87" t="e">
        <f t="shared" si="22"/>
        <v>#DIV/0!</v>
      </c>
      <c r="L609" s="87" t="e">
        <f t="shared" si="22"/>
        <v>#DIV/0!</v>
      </c>
      <c r="M609" s="88" t="e">
        <f t="shared" si="22"/>
        <v>#DIV/0!</v>
      </c>
      <c r="O609" s="121" t="str">
        <f t="shared" si="23"/>
        <v>חוף הכרמל</v>
      </c>
      <c r="P609" s="121" t="str">
        <f t="shared" si="23"/>
        <v>קרית מוצקין</v>
      </c>
    </row>
    <row r="610" spans="1:16" x14ac:dyDescent="0.3">
      <c r="A610" s="61">
        <v>24</v>
      </c>
      <c r="B610" s="61">
        <v>7</v>
      </c>
      <c r="C610" s="97"/>
      <c r="D610" s="79"/>
      <c r="E610" s="79"/>
      <c r="F610" s="79"/>
      <c r="G610" s="94"/>
      <c r="I610" s="86" t="e">
        <f t="shared" si="22"/>
        <v>#DIV/0!</v>
      </c>
      <c r="J610" s="87" t="e">
        <f t="shared" si="22"/>
        <v>#DIV/0!</v>
      </c>
      <c r="K610" s="87" t="e">
        <f t="shared" si="22"/>
        <v>#DIV/0!</v>
      </c>
      <c r="L610" s="87" t="e">
        <f t="shared" si="22"/>
        <v>#DIV/0!</v>
      </c>
      <c r="M610" s="88" t="e">
        <f t="shared" si="22"/>
        <v>#DIV/0!</v>
      </c>
      <c r="O610" s="121" t="str">
        <f t="shared" si="23"/>
        <v>חוף הכרמל</v>
      </c>
      <c r="P610" s="121" t="str">
        <f t="shared" si="23"/>
        <v>קרית ביאליק</v>
      </c>
    </row>
    <row r="611" spans="1:16" x14ac:dyDescent="0.3">
      <c r="A611" s="61">
        <v>24</v>
      </c>
      <c r="B611" s="61">
        <v>8</v>
      </c>
      <c r="C611" s="97"/>
      <c r="D611" s="79"/>
      <c r="E611" s="79"/>
      <c r="F611" s="79"/>
      <c r="G611" s="94"/>
      <c r="I611" s="86" t="e">
        <f t="shared" si="22"/>
        <v>#DIV/0!</v>
      </c>
      <c r="J611" s="87" t="e">
        <f t="shared" si="22"/>
        <v>#DIV/0!</v>
      </c>
      <c r="K611" s="87" t="e">
        <f t="shared" si="22"/>
        <v>#DIV/0!</v>
      </c>
      <c r="L611" s="87" t="e">
        <f t="shared" si="22"/>
        <v>#DIV/0!</v>
      </c>
      <c r="M611" s="88" t="e">
        <f t="shared" si="22"/>
        <v>#DIV/0!</v>
      </c>
      <c r="O611" s="121" t="str">
        <f t="shared" si="23"/>
        <v>חוף הכרמל</v>
      </c>
      <c r="P611" s="121" t="str">
        <f t="shared" si="23"/>
        <v>קרית חיים</v>
      </c>
    </row>
    <row r="612" spans="1:16" x14ac:dyDescent="0.3">
      <c r="A612" s="61">
        <v>24</v>
      </c>
      <c r="B612" s="61">
        <v>9</v>
      </c>
      <c r="C612" s="97"/>
      <c r="D612" s="79"/>
      <c r="E612" s="79"/>
      <c r="F612" s="79"/>
      <c r="G612" s="94"/>
      <c r="I612" s="86" t="e">
        <f t="shared" si="22"/>
        <v>#DIV/0!</v>
      </c>
      <c r="J612" s="87" t="e">
        <f t="shared" si="22"/>
        <v>#DIV/0!</v>
      </c>
      <c r="K612" s="87" t="e">
        <f t="shared" si="22"/>
        <v>#DIV/0!</v>
      </c>
      <c r="L612" s="87" t="e">
        <f t="shared" si="22"/>
        <v>#DIV/0!</v>
      </c>
      <c r="M612" s="88" t="e">
        <f t="shared" si="22"/>
        <v>#DIV/0!</v>
      </c>
      <c r="O612" s="121" t="str">
        <f t="shared" si="23"/>
        <v>חוף הכרמל</v>
      </c>
      <c r="P612" s="121" t="str">
        <f t="shared" si="23"/>
        <v>קרית אתא</v>
      </c>
    </row>
    <row r="613" spans="1:16" x14ac:dyDescent="0.3">
      <c r="A613" s="61">
        <v>24</v>
      </c>
      <c r="B613" s="61">
        <v>10</v>
      </c>
      <c r="C613" s="97"/>
      <c r="D613" s="79"/>
      <c r="E613" s="79"/>
      <c r="F613" s="79"/>
      <c r="G613" s="94"/>
      <c r="I613" s="86" t="e">
        <f t="shared" si="22"/>
        <v>#DIV/0!</v>
      </c>
      <c r="J613" s="87" t="e">
        <f t="shared" si="22"/>
        <v>#DIV/0!</v>
      </c>
      <c r="K613" s="87" t="e">
        <f t="shared" si="22"/>
        <v>#DIV/0!</v>
      </c>
      <c r="L613" s="87" t="e">
        <f t="shared" si="22"/>
        <v>#DIV/0!</v>
      </c>
      <c r="M613" s="88" t="e">
        <f t="shared" si="22"/>
        <v>#DIV/0!</v>
      </c>
      <c r="O613" s="121" t="str">
        <f t="shared" si="23"/>
        <v>חוף הכרמל</v>
      </c>
      <c r="P613" s="121" t="str">
        <f t="shared" si="23"/>
        <v>כפר מנדא</v>
      </c>
    </row>
    <row r="614" spans="1:16" x14ac:dyDescent="0.3">
      <c r="A614" s="61">
        <v>24</v>
      </c>
      <c r="B614" s="61">
        <v>11</v>
      </c>
      <c r="C614" s="97"/>
      <c r="D614" s="79"/>
      <c r="E614" s="79"/>
      <c r="F614" s="79"/>
      <c r="G614" s="94"/>
      <c r="I614" s="86" t="e">
        <f t="shared" si="22"/>
        <v>#DIV/0!</v>
      </c>
      <c r="J614" s="87" t="e">
        <f t="shared" si="22"/>
        <v>#DIV/0!</v>
      </c>
      <c r="K614" s="87" t="e">
        <f t="shared" si="22"/>
        <v>#DIV/0!</v>
      </c>
      <c r="L614" s="87" t="e">
        <f t="shared" si="22"/>
        <v>#DIV/0!</v>
      </c>
      <c r="M614" s="88" t="e">
        <f t="shared" si="22"/>
        <v>#DIV/0!</v>
      </c>
      <c r="O614" s="121" t="str">
        <f t="shared" si="23"/>
        <v>חוף הכרמל</v>
      </c>
      <c r="P614" s="121" t="str">
        <f t="shared" si="23"/>
        <v>זבולון</v>
      </c>
    </row>
    <row r="615" spans="1:16" x14ac:dyDescent="0.3">
      <c r="A615" s="61">
        <v>24</v>
      </c>
      <c r="B615" s="61">
        <v>12</v>
      </c>
      <c r="C615" s="97"/>
      <c r="D615" s="79"/>
      <c r="E615" s="79"/>
      <c r="F615" s="79"/>
      <c r="G615" s="94"/>
      <c r="I615" s="86" t="e">
        <f t="shared" si="22"/>
        <v>#DIV/0!</v>
      </c>
      <c r="J615" s="87" t="e">
        <f t="shared" si="22"/>
        <v>#DIV/0!</v>
      </c>
      <c r="K615" s="87" t="e">
        <f t="shared" si="22"/>
        <v>#DIV/0!</v>
      </c>
      <c r="L615" s="87" t="e">
        <f t="shared" si="22"/>
        <v>#DIV/0!</v>
      </c>
      <c r="M615" s="88" t="e">
        <f t="shared" si="22"/>
        <v>#DIV/0!</v>
      </c>
      <c r="O615" s="121" t="str">
        <f t="shared" si="23"/>
        <v>חוף הכרמל</v>
      </c>
      <c r="P615" s="121" t="str">
        <f t="shared" si="23"/>
        <v>חיפה מפרץ</v>
      </c>
    </row>
    <row r="616" spans="1:16" x14ac:dyDescent="0.3">
      <c r="A616" s="61">
        <v>24</v>
      </c>
      <c r="B616" s="61">
        <v>13</v>
      </c>
      <c r="C616" s="97"/>
      <c r="D616" s="79"/>
      <c r="E616" s="79"/>
      <c r="F616" s="79"/>
      <c r="G616" s="94"/>
      <c r="I616" s="86" t="e">
        <f t="shared" si="22"/>
        <v>#DIV/0!</v>
      </c>
      <c r="J616" s="87" t="e">
        <f t="shared" si="22"/>
        <v>#DIV/0!</v>
      </c>
      <c r="K616" s="87" t="e">
        <f t="shared" si="22"/>
        <v>#DIV/0!</v>
      </c>
      <c r="L616" s="87" t="e">
        <f t="shared" si="22"/>
        <v>#DIV/0!</v>
      </c>
      <c r="M616" s="88" t="e">
        <f t="shared" si="22"/>
        <v>#DIV/0!</v>
      </c>
      <c r="O616" s="121" t="str">
        <f t="shared" si="23"/>
        <v>חוף הכרמל</v>
      </c>
      <c r="P616" s="121" t="str">
        <f t="shared" si="23"/>
        <v>חיפה עיר תחתית</v>
      </c>
    </row>
    <row r="617" spans="1:16" x14ac:dyDescent="0.3">
      <c r="A617" s="61">
        <v>24</v>
      </c>
      <c r="B617" s="61">
        <v>14</v>
      </c>
      <c r="C617" s="97"/>
      <c r="D617" s="79"/>
      <c r="E617" s="79"/>
      <c r="F617" s="79"/>
      <c r="G617" s="94"/>
      <c r="I617" s="86" t="e">
        <f t="shared" si="22"/>
        <v>#DIV/0!</v>
      </c>
      <c r="J617" s="87" t="e">
        <f t="shared" si="22"/>
        <v>#DIV/0!</v>
      </c>
      <c r="K617" s="87" t="e">
        <f t="shared" si="22"/>
        <v>#DIV/0!</v>
      </c>
      <c r="L617" s="87" t="e">
        <f t="shared" si="22"/>
        <v>#DIV/0!</v>
      </c>
      <c r="M617" s="88" t="e">
        <f t="shared" si="22"/>
        <v>#DIV/0!</v>
      </c>
      <c r="O617" s="121" t="str">
        <f t="shared" si="23"/>
        <v>חוף הכרמל</v>
      </c>
      <c r="P617" s="121" t="str">
        <f t="shared" si="23"/>
        <v>חיפה הדר-כרמל</v>
      </c>
    </row>
    <row r="618" spans="1:16" x14ac:dyDescent="0.3">
      <c r="A618" s="61">
        <v>24</v>
      </c>
      <c r="B618" s="61">
        <v>15</v>
      </c>
      <c r="C618" s="97"/>
      <c r="D618" s="79"/>
      <c r="E618" s="79"/>
      <c r="F618" s="79"/>
      <c r="G618" s="94"/>
      <c r="I618" s="86" t="e">
        <f t="shared" si="22"/>
        <v>#DIV/0!</v>
      </c>
      <c r="J618" s="87" t="e">
        <f t="shared" si="22"/>
        <v>#DIV/0!</v>
      </c>
      <c r="K618" s="87" t="e">
        <f t="shared" si="22"/>
        <v>#DIV/0!</v>
      </c>
      <c r="L618" s="87" t="e">
        <f t="shared" si="22"/>
        <v>#DIV/0!</v>
      </c>
      <c r="M618" s="88" t="e">
        <f t="shared" si="22"/>
        <v>#DIV/0!</v>
      </c>
      <c r="O618" s="121" t="str">
        <f t="shared" si="23"/>
        <v>חוף הכרמל</v>
      </c>
      <c r="P618" s="121" t="str">
        <f t="shared" si="23"/>
        <v>חיפה מערב</v>
      </c>
    </row>
    <row r="619" spans="1:16" x14ac:dyDescent="0.3">
      <c r="A619" s="61">
        <v>24</v>
      </c>
      <c r="B619" s="61">
        <v>16</v>
      </c>
      <c r="C619" s="97"/>
      <c r="D619" s="79"/>
      <c r="E619" s="79"/>
      <c r="F619" s="79"/>
      <c r="G619" s="94"/>
      <c r="I619" s="86" t="e">
        <f t="shared" si="22"/>
        <v>#DIV/0!</v>
      </c>
      <c r="J619" s="87" t="e">
        <f t="shared" si="22"/>
        <v>#DIV/0!</v>
      </c>
      <c r="K619" s="87" t="e">
        <f t="shared" si="22"/>
        <v>#DIV/0!</v>
      </c>
      <c r="L619" s="87" t="e">
        <f t="shared" si="22"/>
        <v>#DIV/0!</v>
      </c>
      <c r="M619" s="88" t="e">
        <f t="shared" si="22"/>
        <v>#DIV/0!</v>
      </c>
      <c r="O619" s="121" t="str">
        <f t="shared" si="23"/>
        <v>חוף הכרמל</v>
      </c>
      <c r="P619" s="121" t="str">
        <f t="shared" si="23"/>
        <v>חיפה כרמל</v>
      </c>
    </row>
    <row r="620" spans="1:16" x14ac:dyDescent="0.3">
      <c r="A620" s="61">
        <v>24</v>
      </c>
      <c r="B620" s="61">
        <v>17</v>
      </c>
      <c r="C620" s="97"/>
      <c r="D620" s="79"/>
      <c r="E620" s="79"/>
      <c r="F620" s="79"/>
      <c r="G620" s="94"/>
      <c r="I620" s="86" t="e">
        <f t="shared" si="22"/>
        <v>#DIV/0!</v>
      </c>
      <c r="J620" s="87" t="e">
        <f t="shared" si="22"/>
        <v>#DIV/0!</v>
      </c>
      <c r="K620" s="87" t="e">
        <f t="shared" si="22"/>
        <v>#DIV/0!</v>
      </c>
      <c r="L620" s="87" t="e">
        <f t="shared" si="22"/>
        <v>#DIV/0!</v>
      </c>
      <c r="M620" s="88" t="e">
        <f t="shared" si="22"/>
        <v>#DIV/0!</v>
      </c>
      <c r="O620" s="121" t="str">
        <f t="shared" si="23"/>
        <v>חוף הכרמל</v>
      </c>
      <c r="P620" s="121" t="str">
        <f t="shared" si="23"/>
        <v>חיפה נווה שאנן</v>
      </c>
    </row>
    <row r="621" spans="1:16" x14ac:dyDescent="0.3">
      <c r="A621" s="61">
        <v>24</v>
      </c>
      <c r="B621" s="61">
        <v>18</v>
      </c>
      <c r="C621" s="97"/>
      <c r="D621" s="79"/>
      <c r="E621" s="79"/>
      <c r="F621" s="79"/>
      <c r="G621" s="94"/>
      <c r="I621" s="86" t="e">
        <f t="shared" si="22"/>
        <v>#DIV/0!</v>
      </c>
      <c r="J621" s="87" t="e">
        <f t="shared" si="22"/>
        <v>#DIV/0!</v>
      </c>
      <c r="K621" s="87" t="e">
        <f t="shared" si="22"/>
        <v>#DIV/0!</v>
      </c>
      <c r="L621" s="87" t="e">
        <f t="shared" si="22"/>
        <v>#DIV/0!</v>
      </c>
      <c r="M621" s="88" t="e">
        <f t="shared" si="22"/>
        <v>#DIV/0!</v>
      </c>
      <c r="O621" s="121" t="str">
        <f t="shared" si="23"/>
        <v>חוף הכרמל</v>
      </c>
      <c r="P621" s="121" t="str">
        <f t="shared" si="23"/>
        <v>נשר</v>
      </c>
    </row>
    <row r="622" spans="1:16" x14ac:dyDescent="0.3">
      <c r="A622" s="61">
        <v>24</v>
      </c>
      <c r="B622" s="61">
        <v>19</v>
      </c>
      <c r="C622" s="97"/>
      <c r="D622" s="79"/>
      <c r="E622" s="79"/>
      <c r="F622" s="79"/>
      <c r="G622" s="94"/>
      <c r="I622" s="86" t="e">
        <f t="shared" si="22"/>
        <v>#DIV/0!</v>
      </c>
      <c r="J622" s="87" t="e">
        <f t="shared" si="22"/>
        <v>#DIV/0!</v>
      </c>
      <c r="K622" s="87" t="e">
        <f t="shared" si="22"/>
        <v>#DIV/0!</v>
      </c>
      <c r="L622" s="87" t="e">
        <f t="shared" si="22"/>
        <v>#DIV/0!</v>
      </c>
      <c r="M622" s="88" t="e">
        <f t="shared" si="22"/>
        <v>#DIV/0!</v>
      </c>
      <c r="O622" s="121" t="str">
        <f t="shared" si="23"/>
        <v>חוף הכרמל</v>
      </c>
      <c r="P622" s="121" t="str">
        <f t="shared" si="23"/>
        <v>נצרת</v>
      </c>
    </row>
    <row r="623" spans="1:16" x14ac:dyDescent="0.3">
      <c r="A623" s="61">
        <v>24</v>
      </c>
      <c r="B623" s="61">
        <v>20</v>
      </c>
      <c r="C623" s="97"/>
      <c r="D623" s="79"/>
      <c r="E623" s="79"/>
      <c r="F623" s="79"/>
      <c r="G623" s="94"/>
      <c r="I623" s="86" t="e">
        <f t="shared" si="22"/>
        <v>#DIV/0!</v>
      </c>
      <c r="J623" s="87" t="e">
        <f t="shared" si="22"/>
        <v>#DIV/0!</v>
      </c>
      <c r="K623" s="87" t="e">
        <f t="shared" si="22"/>
        <v>#DIV/0!</v>
      </c>
      <c r="L623" s="87" t="e">
        <f t="shared" si="22"/>
        <v>#DIV/0!</v>
      </c>
      <c r="M623" s="88" t="e">
        <f t="shared" si="22"/>
        <v>#DIV/0!</v>
      </c>
      <c r="O623" s="121" t="str">
        <f t="shared" si="23"/>
        <v>חוף הכרמל</v>
      </c>
      <c r="P623" s="121" t="str">
        <f t="shared" si="23"/>
        <v>נצרת-עילית</v>
      </c>
    </row>
    <row r="624" spans="1:16" x14ac:dyDescent="0.3">
      <c r="A624" s="61">
        <v>24</v>
      </c>
      <c r="B624" s="61">
        <v>21</v>
      </c>
      <c r="C624" s="97"/>
      <c r="D624" s="79"/>
      <c r="E624" s="79"/>
      <c r="F624" s="79"/>
      <c r="G624" s="94"/>
      <c r="I624" s="86" t="e">
        <f t="shared" si="22"/>
        <v>#DIV/0!</v>
      </c>
      <c r="J624" s="87" t="e">
        <f t="shared" si="22"/>
        <v>#DIV/0!</v>
      </c>
      <c r="K624" s="87" t="e">
        <f t="shared" si="22"/>
        <v>#DIV/0!</v>
      </c>
      <c r="L624" s="87" t="e">
        <f t="shared" si="22"/>
        <v>#DIV/0!</v>
      </c>
      <c r="M624" s="88" t="e">
        <f t="shared" si="22"/>
        <v>#DIV/0!</v>
      </c>
      <c r="O624" s="121" t="str">
        <f t="shared" si="23"/>
        <v>חוף הכרמל</v>
      </c>
      <c r="P624" s="121" t="str">
        <f t="shared" si="23"/>
        <v>מגדל העמק</v>
      </c>
    </row>
    <row r="625" spans="1:16" x14ac:dyDescent="0.3">
      <c r="A625" s="61">
        <v>24</v>
      </c>
      <c r="B625" s="61">
        <v>22</v>
      </c>
      <c r="C625" s="97"/>
      <c r="D625" s="79"/>
      <c r="E625" s="79"/>
      <c r="F625" s="79"/>
      <c r="G625" s="94"/>
      <c r="I625" s="86" t="e">
        <f t="shared" si="22"/>
        <v>#DIV/0!</v>
      </c>
      <c r="J625" s="87" t="e">
        <f t="shared" si="22"/>
        <v>#DIV/0!</v>
      </c>
      <c r="K625" s="87" t="e">
        <f t="shared" si="22"/>
        <v>#DIV/0!</v>
      </c>
      <c r="L625" s="87" t="e">
        <f t="shared" si="22"/>
        <v>#DIV/0!</v>
      </c>
      <c r="M625" s="88" t="e">
        <f t="shared" si="22"/>
        <v>#DIV/0!</v>
      </c>
      <c r="O625" s="121" t="str">
        <f t="shared" si="23"/>
        <v>חוף הכרמל</v>
      </c>
      <c r="P625" s="121" t="str">
        <f t="shared" si="23"/>
        <v>יוקנעם</v>
      </c>
    </row>
    <row r="626" spans="1:16" x14ac:dyDescent="0.3">
      <c r="A626" s="61">
        <v>24</v>
      </c>
      <c r="B626" s="61">
        <v>23</v>
      </c>
      <c r="C626" s="97"/>
      <c r="D626" s="79"/>
      <c r="E626" s="79"/>
      <c r="F626" s="79"/>
      <c r="G626" s="94"/>
      <c r="I626" s="86" t="e">
        <f t="shared" si="22"/>
        <v>#DIV/0!</v>
      </c>
      <c r="J626" s="87" t="e">
        <f t="shared" si="22"/>
        <v>#DIV/0!</v>
      </c>
      <c r="K626" s="87" t="e">
        <f t="shared" si="22"/>
        <v>#DIV/0!</v>
      </c>
      <c r="L626" s="87" t="e">
        <f t="shared" si="22"/>
        <v>#DIV/0!</v>
      </c>
      <c r="M626" s="88" t="e">
        <f t="shared" si="22"/>
        <v>#DIV/0!</v>
      </c>
      <c r="O626" s="121" t="str">
        <f t="shared" si="23"/>
        <v>חוף הכרמל</v>
      </c>
      <c r="P626" s="121" t="str">
        <f t="shared" si="23"/>
        <v>דלית אל כרמל</v>
      </c>
    </row>
    <row r="627" spans="1:16" x14ac:dyDescent="0.3">
      <c r="A627" s="61">
        <v>24</v>
      </c>
      <c r="B627" s="61">
        <v>24</v>
      </c>
      <c r="C627" s="97"/>
      <c r="D627" s="79"/>
      <c r="E627" s="79"/>
      <c r="F627" s="79"/>
      <c r="G627" s="94"/>
      <c r="I627" s="86" t="e">
        <f t="shared" si="22"/>
        <v>#DIV/0!</v>
      </c>
      <c r="J627" s="87" t="e">
        <f t="shared" si="22"/>
        <v>#DIV/0!</v>
      </c>
      <c r="K627" s="87" t="e">
        <f t="shared" si="22"/>
        <v>#DIV/0!</v>
      </c>
      <c r="L627" s="87" t="e">
        <f t="shared" si="22"/>
        <v>#DIV/0!</v>
      </c>
      <c r="M627" s="88" t="e">
        <f t="shared" si="22"/>
        <v>#DIV/0!</v>
      </c>
      <c r="O627" s="121" t="str">
        <f t="shared" si="23"/>
        <v>חוף הכרמל</v>
      </c>
      <c r="P627" s="121" t="str">
        <f t="shared" si="23"/>
        <v>חוף הכרמל</v>
      </c>
    </row>
    <row r="628" spans="1:16" x14ac:dyDescent="0.3">
      <c r="A628" s="61">
        <v>24</v>
      </c>
      <c r="B628" s="61">
        <v>25</v>
      </c>
      <c r="C628" s="97"/>
      <c r="D628" s="79"/>
      <c r="E628" s="79"/>
      <c r="F628" s="79"/>
      <c r="G628" s="94"/>
      <c r="I628" s="86" t="e">
        <f t="shared" si="22"/>
        <v>#DIV/0!</v>
      </c>
      <c r="J628" s="87" t="e">
        <f t="shared" si="22"/>
        <v>#DIV/0!</v>
      </c>
      <c r="K628" s="87" t="e">
        <f t="shared" si="22"/>
        <v>#DIV/0!</v>
      </c>
      <c r="L628" s="87" t="e">
        <f t="shared" si="22"/>
        <v>#DIV/0!</v>
      </c>
      <c r="M628" s="88" t="e">
        <f t="shared" si="22"/>
        <v>#DIV/0!</v>
      </c>
      <c r="O628" s="121" t="str">
        <f t="shared" si="23"/>
        <v>חוף הכרמל</v>
      </c>
      <c r="P628" s="121" t="str">
        <f t="shared" si="23"/>
        <v>זכרון יעקב</v>
      </c>
    </row>
    <row r="629" spans="1:16" x14ac:dyDescent="0.3">
      <c r="A629" s="61">
        <v>24</v>
      </c>
      <c r="B629" s="61">
        <v>30</v>
      </c>
      <c r="C629" s="97"/>
      <c r="D629" s="79"/>
      <c r="E629" s="79"/>
      <c r="F629" s="79"/>
      <c r="G629" s="94"/>
      <c r="I629" s="86" t="e">
        <f t="shared" si="22"/>
        <v>#DIV/0!</v>
      </c>
      <c r="J629" s="87" t="e">
        <f t="shared" si="22"/>
        <v>#DIV/0!</v>
      </c>
      <c r="K629" s="87" t="e">
        <f t="shared" si="22"/>
        <v>#DIV/0!</v>
      </c>
      <c r="L629" s="87" t="e">
        <f t="shared" si="22"/>
        <v>#DIV/0!</v>
      </c>
      <c r="M629" s="88" t="e">
        <f t="shared" si="22"/>
        <v>#DIV/0!</v>
      </c>
      <c r="O629" s="121" t="str">
        <f t="shared" si="23"/>
        <v>חוף הכרמל</v>
      </c>
      <c r="P629" s="121" t="str">
        <f t="shared" si="23"/>
        <v>סכנין</v>
      </c>
    </row>
    <row r="630" spans="1:16" x14ac:dyDescent="0.3">
      <c r="A630" s="61">
        <v>25</v>
      </c>
      <c r="B630" s="61">
        <v>1</v>
      </c>
      <c r="C630" s="97"/>
      <c r="D630" s="79"/>
      <c r="E630" s="79"/>
      <c r="F630" s="79"/>
      <c r="G630" s="94"/>
      <c r="I630" s="86" t="e">
        <f t="shared" si="22"/>
        <v>#DIV/0!</v>
      </c>
      <c r="J630" s="87" t="e">
        <f t="shared" si="22"/>
        <v>#DIV/0!</v>
      </c>
      <c r="K630" s="87" t="e">
        <f t="shared" si="22"/>
        <v>#DIV/0!</v>
      </c>
      <c r="L630" s="87" t="e">
        <f t="shared" si="22"/>
        <v>#DIV/0!</v>
      </c>
      <c r="M630" s="88" t="e">
        <f t="shared" si="22"/>
        <v>#DIV/0!</v>
      </c>
      <c r="O630" s="121" t="str">
        <f t="shared" si="23"/>
        <v>זכרון יעקב</v>
      </c>
      <c r="P630" s="121" t="str">
        <f t="shared" si="23"/>
        <v>נהריה</v>
      </c>
    </row>
    <row r="631" spans="1:16" x14ac:dyDescent="0.3">
      <c r="A631" s="61">
        <v>25</v>
      </c>
      <c r="B631" s="61">
        <v>2</v>
      </c>
      <c r="C631" s="97"/>
      <c r="D631" s="79"/>
      <c r="E631" s="79"/>
      <c r="F631" s="79"/>
      <c r="G631" s="94"/>
      <c r="I631" s="86" t="e">
        <f t="shared" ref="I631:M681" si="24">C631/SUM($C631:$G631)</f>
        <v>#DIV/0!</v>
      </c>
      <c r="J631" s="87" t="e">
        <f t="shared" si="24"/>
        <v>#DIV/0!</v>
      </c>
      <c r="K631" s="87" t="e">
        <f t="shared" si="24"/>
        <v>#DIV/0!</v>
      </c>
      <c r="L631" s="87" t="e">
        <f t="shared" si="24"/>
        <v>#DIV/0!</v>
      </c>
      <c r="M631" s="88" t="e">
        <f t="shared" si="24"/>
        <v>#DIV/0!</v>
      </c>
      <c r="O631" s="121" t="str">
        <f t="shared" si="23"/>
        <v>זכרון יעקב</v>
      </c>
      <c r="P631" s="121" t="str">
        <f t="shared" si="23"/>
        <v>עכו</v>
      </c>
    </row>
    <row r="632" spans="1:16" x14ac:dyDescent="0.3">
      <c r="A632" s="61">
        <v>25</v>
      </c>
      <c r="B632" s="61">
        <v>3</v>
      </c>
      <c r="C632" s="97"/>
      <c r="D632" s="79"/>
      <c r="E632" s="79"/>
      <c r="F632" s="79"/>
      <c r="G632" s="94"/>
      <c r="I632" s="86" t="e">
        <f t="shared" si="24"/>
        <v>#DIV/0!</v>
      </c>
      <c r="J632" s="87" t="e">
        <f t="shared" si="24"/>
        <v>#DIV/0!</v>
      </c>
      <c r="K632" s="87" t="e">
        <f t="shared" si="24"/>
        <v>#DIV/0!</v>
      </c>
      <c r="L632" s="87" t="e">
        <f t="shared" si="24"/>
        <v>#DIV/0!</v>
      </c>
      <c r="M632" s="88" t="e">
        <f t="shared" si="24"/>
        <v>#DIV/0!</v>
      </c>
      <c r="O632" s="121" t="str">
        <f t="shared" si="23"/>
        <v>זכרון יעקב</v>
      </c>
      <c r="P632" s="121" t="str">
        <f t="shared" si="23"/>
        <v>כרמיאל</v>
      </c>
    </row>
    <row r="633" spans="1:16" x14ac:dyDescent="0.3">
      <c r="A633" s="61">
        <v>25</v>
      </c>
      <c r="B633" s="61">
        <v>4</v>
      </c>
      <c r="C633" s="97"/>
      <c r="D633" s="79"/>
      <c r="E633" s="79"/>
      <c r="F633" s="79"/>
      <c r="G633" s="94"/>
      <c r="I633" s="86" t="e">
        <f t="shared" si="24"/>
        <v>#DIV/0!</v>
      </c>
      <c r="J633" s="87" t="e">
        <f t="shared" si="24"/>
        <v>#DIV/0!</v>
      </c>
      <c r="K633" s="87" t="e">
        <f t="shared" si="24"/>
        <v>#DIV/0!</v>
      </c>
      <c r="L633" s="87" t="e">
        <f t="shared" si="24"/>
        <v>#DIV/0!</v>
      </c>
      <c r="M633" s="88" t="e">
        <f t="shared" si="24"/>
        <v>#DIV/0!</v>
      </c>
      <c r="O633" s="121" t="str">
        <f t="shared" si="23"/>
        <v>זכרון יעקב</v>
      </c>
      <c r="P633" s="121" t="str">
        <f t="shared" si="23"/>
        <v>שפרעם</v>
      </c>
    </row>
    <row r="634" spans="1:16" x14ac:dyDescent="0.3">
      <c r="A634" s="61">
        <v>25</v>
      </c>
      <c r="B634" s="61">
        <v>5</v>
      </c>
      <c r="C634" s="97"/>
      <c r="D634" s="79"/>
      <c r="E634" s="79"/>
      <c r="F634" s="79"/>
      <c r="G634" s="94"/>
      <c r="I634" s="86" t="e">
        <f t="shared" si="24"/>
        <v>#DIV/0!</v>
      </c>
      <c r="J634" s="87" t="e">
        <f t="shared" si="24"/>
        <v>#DIV/0!</v>
      </c>
      <c r="K634" s="87" t="e">
        <f t="shared" si="24"/>
        <v>#DIV/0!</v>
      </c>
      <c r="L634" s="87" t="e">
        <f t="shared" si="24"/>
        <v>#DIV/0!</v>
      </c>
      <c r="M634" s="88" t="e">
        <f t="shared" si="24"/>
        <v>#DIV/0!</v>
      </c>
      <c r="O634" s="121" t="str">
        <f t="shared" si="23"/>
        <v>זכרון יעקב</v>
      </c>
      <c r="P634" s="121" t="str">
        <f t="shared" si="23"/>
        <v>קרית ים</v>
      </c>
    </row>
    <row r="635" spans="1:16" x14ac:dyDescent="0.3">
      <c r="A635" s="61">
        <v>25</v>
      </c>
      <c r="B635" s="61">
        <v>6</v>
      </c>
      <c r="C635" s="97"/>
      <c r="D635" s="79"/>
      <c r="E635" s="79"/>
      <c r="F635" s="79"/>
      <c r="G635" s="94"/>
      <c r="I635" s="86" t="e">
        <f t="shared" si="24"/>
        <v>#DIV/0!</v>
      </c>
      <c r="J635" s="87" t="e">
        <f t="shared" si="24"/>
        <v>#DIV/0!</v>
      </c>
      <c r="K635" s="87" t="e">
        <f t="shared" si="24"/>
        <v>#DIV/0!</v>
      </c>
      <c r="L635" s="87" t="e">
        <f t="shared" si="24"/>
        <v>#DIV/0!</v>
      </c>
      <c r="M635" s="88" t="e">
        <f t="shared" si="24"/>
        <v>#DIV/0!</v>
      </c>
      <c r="O635" s="121" t="str">
        <f t="shared" si="23"/>
        <v>זכרון יעקב</v>
      </c>
      <c r="P635" s="121" t="str">
        <f t="shared" si="23"/>
        <v>קרית מוצקין</v>
      </c>
    </row>
    <row r="636" spans="1:16" x14ac:dyDescent="0.3">
      <c r="A636" s="61">
        <v>25</v>
      </c>
      <c r="B636" s="61">
        <v>7</v>
      </c>
      <c r="C636" s="97"/>
      <c r="D636" s="79"/>
      <c r="E636" s="79"/>
      <c r="F636" s="79"/>
      <c r="G636" s="94"/>
      <c r="I636" s="86" t="e">
        <f t="shared" si="24"/>
        <v>#DIV/0!</v>
      </c>
      <c r="J636" s="87" t="e">
        <f t="shared" si="24"/>
        <v>#DIV/0!</v>
      </c>
      <c r="K636" s="87" t="e">
        <f t="shared" si="24"/>
        <v>#DIV/0!</v>
      </c>
      <c r="L636" s="87" t="e">
        <f t="shared" si="24"/>
        <v>#DIV/0!</v>
      </c>
      <c r="M636" s="88" t="e">
        <f t="shared" si="24"/>
        <v>#DIV/0!</v>
      </c>
      <c r="O636" s="121" t="str">
        <f t="shared" si="23"/>
        <v>זכרון יעקב</v>
      </c>
      <c r="P636" s="121" t="str">
        <f t="shared" si="23"/>
        <v>קרית ביאליק</v>
      </c>
    </row>
    <row r="637" spans="1:16" x14ac:dyDescent="0.3">
      <c r="A637" s="61">
        <v>25</v>
      </c>
      <c r="B637" s="61">
        <v>8</v>
      </c>
      <c r="C637" s="97"/>
      <c r="D637" s="79"/>
      <c r="E637" s="79"/>
      <c r="F637" s="79"/>
      <c r="G637" s="94"/>
      <c r="I637" s="86" t="e">
        <f t="shared" si="24"/>
        <v>#DIV/0!</v>
      </c>
      <c r="J637" s="87" t="e">
        <f t="shared" si="24"/>
        <v>#DIV/0!</v>
      </c>
      <c r="K637" s="87" t="e">
        <f t="shared" si="24"/>
        <v>#DIV/0!</v>
      </c>
      <c r="L637" s="87" t="e">
        <f t="shared" si="24"/>
        <v>#DIV/0!</v>
      </c>
      <c r="M637" s="88" t="e">
        <f t="shared" si="24"/>
        <v>#DIV/0!</v>
      </c>
      <c r="O637" s="121" t="str">
        <f t="shared" si="23"/>
        <v>זכרון יעקב</v>
      </c>
      <c r="P637" s="121" t="str">
        <f t="shared" si="23"/>
        <v>קרית חיים</v>
      </c>
    </row>
    <row r="638" spans="1:16" x14ac:dyDescent="0.3">
      <c r="A638" s="61">
        <v>25</v>
      </c>
      <c r="B638" s="61">
        <v>9</v>
      </c>
      <c r="C638" s="97"/>
      <c r="D638" s="79"/>
      <c r="E638" s="79"/>
      <c r="F638" s="79"/>
      <c r="G638" s="94"/>
      <c r="I638" s="86" t="e">
        <f t="shared" si="24"/>
        <v>#DIV/0!</v>
      </c>
      <c r="J638" s="87" t="e">
        <f t="shared" si="24"/>
        <v>#DIV/0!</v>
      </c>
      <c r="K638" s="87" t="e">
        <f t="shared" si="24"/>
        <v>#DIV/0!</v>
      </c>
      <c r="L638" s="87" t="e">
        <f t="shared" si="24"/>
        <v>#DIV/0!</v>
      </c>
      <c r="M638" s="88" t="e">
        <f t="shared" si="24"/>
        <v>#DIV/0!</v>
      </c>
      <c r="O638" s="121" t="str">
        <f t="shared" si="23"/>
        <v>זכרון יעקב</v>
      </c>
      <c r="P638" s="121" t="str">
        <f t="shared" si="23"/>
        <v>קרית אתא</v>
      </c>
    </row>
    <row r="639" spans="1:16" x14ac:dyDescent="0.3">
      <c r="A639" s="61">
        <v>25</v>
      </c>
      <c r="B639" s="61">
        <v>10</v>
      </c>
      <c r="C639" s="97"/>
      <c r="D639" s="79"/>
      <c r="E639" s="79"/>
      <c r="F639" s="79"/>
      <c r="G639" s="94"/>
      <c r="I639" s="86" t="e">
        <f t="shared" si="24"/>
        <v>#DIV/0!</v>
      </c>
      <c r="J639" s="87" t="e">
        <f t="shared" si="24"/>
        <v>#DIV/0!</v>
      </c>
      <c r="K639" s="87" t="e">
        <f t="shared" si="24"/>
        <v>#DIV/0!</v>
      </c>
      <c r="L639" s="87" t="e">
        <f t="shared" si="24"/>
        <v>#DIV/0!</v>
      </c>
      <c r="M639" s="88" t="e">
        <f t="shared" si="24"/>
        <v>#DIV/0!</v>
      </c>
      <c r="O639" s="121" t="str">
        <f t="shared" si="23"/>
        <v>זכרון יעקב</v>
      </c>
      <c r="P639" s="121" t="str">
        <f t="shared" si="23"/>
        <v>כפר מנדא</v>
      </c>
    </row>
    <row r="640" spans="1:16" x14ac:dyDescent="0.3">
      <c r="A640" s="61">
        <v>25</v>
      </c>
      <c r="B640" s="61">
        <v>11</v>
      </c>
      <c r="C640" s="97"/>
      <c r="D640" s="79"/>
      <c r="E640" s="79"/>
      <c r="F640" s="79"/>
      <c r="G640" s="94"/>
      <c r="I640" s="86" t="e">
        <f t="shared" si="24"/>
        <v>#DIV/0!</v>
      </c>
      <c r="J640" s="87" t="e">
        <f t="shared" si="24"/>
        <v>#DIV/0!</v>
      </c>
      <c r="K640" s="87" t="e">
        <f t="shared" si="24"/>
        <v>#DIV/0!</v>
      </c>
      <c r="L640" s="87" t="e">
        <f t="shared" si="24"/>
        <v>#DIV/0!</v>
      </c>
      <c r="M640" s="88" t="e">
        <f t="shared" si="24"/>
        <v>#DIV/0!</v>
      </c>
      <c r="O640" s="121" t="str">
        <f t="shared" si="23"/>
        <v>זכרון יעקב</v>
      </c>
      <c r="P640" s="121" t="str">
        <f t="shared" si="23"/>
        <v>זבולון</v>
      </c>
    </row>
    <row r="641" spans="1:16" x14ac:dyDescent="0.3">
      <c r="A641" s="61">
        <v>25</v>
      </c>
      <c r="B641" s="61">
        <v>12</v>
      </c>
      <c r="C641" s="97"/>
      <c r="D641" s="79"/>
      <c r="E641" s="79"/>
      <c r="F641" s="79"/>
      <c r="G641" s="94"/>
      <c r="I641" s="86" t="e">
        <f t="shared" si="24"/>
        <v>#DIV/0!</v>
      </c>
      <c r="J641" s="87" t="e">
        <f t="shared" si="24"/>
        <v>#DIV/0!</v>
      </c>
      <c r="K641" s="87" t="e">
        <f t="shared" si="24"/>
        <v>#DIV/0!</v>
      </c>
      <c r="L641" s="87" t="e">
        <f t="shared" si="24"/>
        <v>#DIV/0!</v>
      </c>
      <c r="M641" s="88" t="e">
        <f t="shared" si="24"/>
        <v>#DIV/0!</v>
      </c>
      <c r="O641" s="121" t="str">
        <f t="shared" si="23"/>
        <v>זכרון יעקב</v>
      </c>
      <c r="P641" s="121" t="str">
        <f t="shared" si="23"/>
        <v>חיפה מפרץ</v>
      </c>
    </row>
    <row r="642" spans="1:16" x14ac:dyDescent="0.3">
      <c r="A642" s="61">
        <v>25</v>
      </c>
      <c r="B642" s="61">
        <v>13</v>
      </c>
      <c r="C642" s="97"/>
      <c r="D642" s="79"/>
      <c r="E642" s="79"/>
      <c r="F642" s="79"/>
      <c r="G642" s="94"/>
      <c r="I642" s="86" t="e">
        <f t="shared" si="24"/>
        <v>#DIV/0!</v>
      </c>
      <c r="J642" s="87" t="e">
        <f t="shared" si="24"/>
        <v>#DIV/0!</v>
      </c>
      <c r="K642" s="87" t="e">
        <f t="shared" si="24"/>
        <v>#DIV/0!</v>
      </c>
      <c r="L642" s="87" t="e">
        <f t="shared" si="24"/>
        <v>#DIV/0!</v>
      </c>
      <c r="M642" s="88" t="e">
        <f t="shared" si="24"/>
        <v>#DIV/0!</v>
      </c>
      <c r="O642" s="121" t="str">
        <f t="shared" si="23"/>
        <v>זכרון יעקב</v>
      </c>
      <c r="P642" s="121" t="str">
        <f t="shared" si="23"/>
        <v>חיפה עיר תחתית</v>
      </c>
    </row>
    <row r="643" spans="1:16" x14ac:dyDescent="0.3">
      <c r="A643" s="61">
        <v>25</v>
      </c>
      <c r="B643" s="61">
        <v>14</v>
      </c>
      <c r="C643" s="97"/>
      <c r="D643" s="79"/>
      <c r="E643" s="79"/>
      <c r="F643" s="79"/>
      <c r="G643" s="94"/>
      <c r="I643" s="86" t="e">
        <f t="shared" si="24"/>
        <v>#DIV/0!</v>
      </c>
      <c r="J643" s="87" t="e">
        <f t="shared" si="24"/>
        <v>#DIV/0!</v>
      </c>
      <c r="K643" s="87" t="e">
        <f t="shared" si="24"/>
        <v>#DIV/0!</v>
      </c>
      <c r="L643" s="87" t="e">
        <f t="shared" si="24"/>
        <v>#DIV/0!</v>
      </c>
      <c r="M643" s="88" t="e">
        <f t="shared" si="24"/>
        <v>#DIV/0!</v>
      </c>
      <c r="O643" s="121" t="str">
        <f t="shared" si="23"/>
        <v>זכרון יעקב</v>
      </c>
      <c r="P643" s="121" t="str">
        <f t="shared" si="23"/>
        <v>חיפה הדר-כרמל</v>
      </c>
    </row>
    <row r="644" spans="1:16" x14ac:dyDescent="0.3">
      <c r="A644" s="61">
        <v>25</v>
      </c>
      <c r="B644" s="61">
        <v>15</v>
      </c>
      <c r="C644" s="97"/>
      <c r="D644" s="79"/>
      <c r="E644" s="79"/>
      <c r="F644" s="79"/>
      <c r="G644" s="94"/>
      <c r="I644" s="86" t="e">
        <f t="shared" si="24"/>
        <v>#DIV/0!</v>
      </c>
      <c r="J644" s="87" t="e">
        <f t="shared" si="24"/>
        <v>#DIV/0!</v>
      </c>
      <c r="K644" s="87" t="e">
        <f t="shared" si="24"/>
        <v>#DIV/0!</v>
      </c>
      <c r="L644" s="87" t="e">
        <f t="shared" si="24"/>
        <v>#DIV/0!</v>
      </c>
      <c r="M644" s="88" t="e">
        <f t="shared" si="24"/>
        <v>#DIV/0!</v>
      </c>
      <c r="O644" s="121" t="str">
        <f t="shared" si="23"/>
        <v>זכרון יעקב</v>
      </c>
      <c r="P644" s="121" t="str">
        <f t="shared" si="23"/>
        <v>חיפה מערב</v>
      </c>
    </row>
    <row r="645" spans="1:16" x14ac:dyDescent="0.3">
      <c r="A645" s="61">
        <v>25</v>
      </c>
      <c r="B645" s="61">
        <v>16</v>
      </c>
      <c r="C645" s="97"/>
      <c r="D645" s="79"/>
      <c r="E645" s="79"/>
      <c r="F645" s="79"/>
      <c r="G645" s="94"/>
      <c r="I645" s="86" t="e">
        <f t="shared" si="24"/>
        <v>#DIV/0!</v>
      </c>
      <c r="J645" s="87" t="e">
        <f t="shared" si="24"/>
        <v>#DIV/0!</v>
      </c>
      <c r="K645" s="87" t="e">
        <f t="shared" si="24"/>
        <v>#DIV/0!</v>
      </c>
      <c r="L645" s="87" t="e">
        <f t="shared" si="24"/>
        <v>#DIV/0!</v>
      </c>
      <c r="M645" s="88" t="e">
        <f t="shared" si="24"/>
        <v>#DIV/0!</v>
      </c>
      <c r="O645" s="121" t="str">
        <f t="shared" si="23"/>
        <v>זכרון יעקב</v>
      </c>
      <c r="P645" s="121" t="str">
        <f t="shared" si="23"/>
        <v>חיפה כרמל</v>
      </c>
    </row>
    <row r="646" spans="1:16" x14ac:dyDescent="0.3">
      <c r="A646" s="61">
        <v>25</v>
      </c>
      <c r="B646" s="61">
        <v>17</v>
      </c>
      <c r="C646" s="97"/>
      <c r="D646" s="79"/>
      <c r="E646" s="79"/>
      <c r="F646" s="79"/>
      <c r="G646" s="94"/>
      <c r="I646" s="86" t="e">
        <f t="shared" si="24"/>
        <v>#DIV/0!</v>
      </c>
      <c r="J646" s="87" t="e">
        <f t="shared" si="24"/>
        <v>#DIV/0!</v>
      </c>
      <c r="K646" s="87" t="e">
        <f t="shared" si="24"/>
        <v>#DIV/0!</v>
      </c>
      <c r="L646" s="87" t="e">
        <f t="shared" si="24"/>
        <v>#DIV/0!</v>
      </c>
      <c r="M646" s="88" t="e">
        <f t="shared" si="24"/>
        <v>#DIV/0!</v>
      </c>
      <c r="O646" s="121" t="str">
        <f t="shared" si="23"/>
        <v>זכרון יעקב</v>
      </c>
      <c r="P646" s="121" t="str">
        <f t="shared" si="23"/>
        <v>חיפה נווה שאנן</v>
      </c>
    </row>
    <row r="647" spans="1:16" x14ac:dyDescent="0.3">
      <c r="A647" s="61">
        <v>25</v>
      </c>
      <c r="B647" s="61">
        <v>18</v>
      </c>
      <c r="C647" s="97"/>
      <c r="D647" s="79"/>
      <c r="E647" s="79"/>
      <c r="F647" s="79"/>
      <c r="G647" s="94"/>
      <c r="I647" s="86" t="e">
        <f t="shared" si="24"/>
        <v>#DIV/0!</v>
      </c>
      <c r="J647" s="87" t="e">
        <f t="shared" si="24"/>
        <v>#DIV/0!</v>
      </c>
      <c r="K647" s="87" t="e">
        <f t="shared" si="24"/>
        <v>#DIV/0!</v>
      </c>
      <c r="L647" s="87" t="e">
        <f t="shared" si="24"/>
        <v>#DIV/0!</v>
      </c>
      <c r="M647" s="88" t="e">
        <f t="shared" si="24"/>
        <v>#DIV/0!</v>
      </c>
      <c r="O647" s="121" t="str">
        <f t="shared" si="23"/>
        <v>זכרון יעקב</v>
      </c>
      <c r="P647" s="121" t="str">
        <f t="shared" si="23"/>
        <v>נשר</v>
      </c>
    </row>
    <row r="648" spans="1:16" x14ac:dyDescent="0.3">
      <c r="A648" s="61">
        <v>25</v>
      </c>
      <c r="B648" s="61">
        <v>19</v>
      </c>
      <c r="C648" s="97"/>
      <c r="D648" s="79"/>
      <c r="E648" s="79"/>
      <c r="F648" s="79"/>
      <c r="G648" s="94"/>
      <c r="I648" s="86" t="e">
        <f t="shared" si="24"/>
        <v>#DIV/0!</v>
      </c>
      <c r="J648" s="87" t="e">
        <f t="shared" si="24"/>
        <v>#DIV/0!</v>
      </c>
      <c r="K648" s="87" t="e">
        <f t="shared" si="24"/>
        <v>#DIV/0!</v>
      </c>
      <c r="L648" s="87" t="e">
        <f t="shared" si="24"/>
        <v>#DIV/0!</v>
      </c>
      <c r="M648" s="88" t="e">
        <f t="shared" si="24"/>
        <v>#DIV/0!</v>
      </c>
      <c r="O648" s="121" t="str">
        <f t="shared" ref="O648:P681" si="25">VLOOKUP(A648,$S$6:$T$31,2,0)</f>
        <v>זכרון יעקב</v>
      </c>
      <c r="P648" s="121" t="str">
        <f t="shared" si="25"/>
        <v>נצרת</v>
      </c>
    </row>
    <row r="649" spans="1:16" x14ac:dyDescent="0.3">
      <c r="A649" s="61">
        <v>25</v>
      </c>
      <c r="B649" s="61">
        <v>20</v>
      </c>
      <c r="C649" s="97"/>
      <c r="D649" s="79"/>
      <c r="E649" s="79"/>
      <c r="F649" s="79"/>
      <c r="G649" s="94"/>
      <c r="I649" s="86" t="e">
        <f t="shared" si="24"/>
        <v>#DIV/0!</v>
      </c>
      <c r="J649" s="87" t="e">
        <f t="shared" si="24"/>
        <v>#DIV/0!</v>
      </c>
      <c r="K649" s="87" t="e">
        <f t="shared" si="24"/>
        <v>#DIV/0!</v>
      </c>
      <c r="L649" s="87" t="e">
        <f t="shared" si="24"/>
        <v>#DIV/0!</v>
      </c>
      <c r="M649" s="88" t="e">
        <f t="shared" si="24"/>
        <v>#DIV/0!</v>
      </c>
      <c r="O649" s="121" t="str">
        <f t="shared" si="25"/>
        <v>זכרון יעקב</v>
      </c>
      <c r="P649" s="121" t="str">
        <f t="shared" si="25"/>
        <v>נצרת-עילית</v>
      </c>
    </row>
    <row r="650" spans="1:16" x14ac:dyDescent="0.3">
      <c r="A650" s="61">
        <v>25</v>
      </c>
      <c r="B650" s="61">
        <v>21</v>
      </c>
      <c r="C650" s="97"/>
      <c r="D650" s="79"/>
      <c r="E650" s="79"/>
      <c r="F650" s="79"/>
      <c r="G650" s="94"/>
      <c r="I650" s="86" t="e">
        <f t="shared" si="24"/>
        <v>#DIV/0!</v>
      </c>
      <c r="J650" s="87" t="e">
        <f t="shared" si="24"/>
        <v>#DIV/0!</v>
      </c>
      <c r="K650" s="87" t="e">
        <f t="shared" si="24"/>
        <v>#DIV/0!</v>
      </c>
      <c r="L650" s="87" t="e">
        <f t="shared" si="24"/>
        <v>#DIV/0!</v>
      </c>
      <c r="M650" s="88" t="e">
        <f t="shared" si="24"/>
        <v>#DIV/0!</v>
      </c>
      <c r="O650" s="121" t="str">
        <f t="shared" si="25"/>
        <v>זכרון יעקב</v>
      </c>
      <c r="P650" s="121" t="str">
        <f t="shared" si="25"/>
        <v>מגדל העמק</v>
      </c>
    </row>
    <row r="651" spans="1:16" x14ac:dyDescent="0.3">
      <c r="A651" s="61">
        <v>25</v>
      </c>
      <c r="B651" s="61">
        <v>22</v>
      </c>
      <c r="C651" s="97"/>
      <c r="D651" s="79"/>
      <c r="E651" s="79"/>
      <c r="F651" s="79"/>
      <c r="G651" s="94"/>
      <c r="I651" s="86" t="e">
        <f t="shared" si="24"/>
        <v>#DIV/0!</v>
      </c>
      <c r="J651" s="87" t="e">
        <f t="shared" si="24"/>
        <v>#DIV/0!</v>
      </c>
      <c r="K651" s="87" t="e">
        <f t="shared" si="24"/>
        <v>#DIV/0!</v>
      </c>
      <c r="L651" s="87" t="e">
        <f t="shared" si="24"/>
        <v>#DIV/0!</v>
      </c>
      <c r="M651" s="88" t="e">
        <f t="shared" si="24"/>
        <v>#DIV/0!</v>
      </c>
      <c r="O651" s="121" t="str">
        <f t="shared" si="25"/>
        <v>זכרון יעקב</v>
      </c>
      <c r="P651" s="121" t="str">
        <f t="shared" si="25"/>
        <v>יוקנעם</v>
      </c>
    </row>
    <row r="652" spans="1:16" x14ac:dyDescent="0.3">
      <c r="A652" s="61">
        <v>25</v>
      </c>
      <c r="B652" s="61">
        <v>23</v>
      </c>
      <c r="C652" s="97"/>
      <c r="D652" s="79"/>
      <c r="E652" s="79"/>
      <c r="F652" s="79"/>
      <c r="G652" s="94"/>
      <c r="I652" s="86" t="e">
        <f t="shared" si="24"/>
        <v>#DIV/0!</v>
      </c>
      <c r="J652" s="87" t="e">
        <f t="shared" si="24"/>
        <v>#DIV/0!</v>
      </c>
      <c r="K652" s="87" t="e">
        <f t="shared" si="24"/>
        <v>#DIV/0!</v>
      </c>
      <c r="L652" s="87" t="e">
        <f t="shared" si="24"/>
        <v>#DIV/0!</v>
      </c>
      <c r="M652" s="88" t="e">
        <f t="shared" si="24"/>
        <v>#DIV/0!</v>
      </c>
      <c r="O652" s="121" t="str">
        <f t="shared" si="25"/>
        <v>זכרון יעקב</v>
      </c>
      <c r="P652" s="121" t="str">
        <f t="shared" si="25"/>
        <v>דלית אל כרמל</v>
      </c>
    </row>
    <row r="653" spans="1:16" x14ac:dyDescent="0.3">
      <c r="A653" s="61">
        <v>25</v>
      </c>
      <c r="B653" s="61">
        <v>24</v>
      </c>
      <c r="C653" s="97"/>
      <c r="D653" s="79"/>
      <c r="E653" s="79"/>
      <c r="F653" s="79"/>
      <c r="G653" s="94"/>
      <c r="I653" s="86" t="e">
        <f t="shared" si="24"/>
        <v>#DIV/0!</v>
      </c>
      <c r="J653" s="87" t="e">
        <f t="shared" si="24"/>
        <v>#DIV/0!</v>
      </c>
      <c r="K653" s="87" t="e">
        <f t="shared" si="24"/>
        <v>#DIV/0!</v>
      </c>
      <c r="L653" s="87" t="e">
        <f t="shared" si="24"/>
        <v>#DIV/0!</v>
      </c>
      <c r="M653" s="88" t="e">
        <f t="shared" si="24"/>
        <v>#DIV/0!</v>
      </c>
      <c r="O653" s="121" t="str">
        <f t="shared" si="25"/>
        <v>זכרון יעקב</v>
      </c>
      <c r="P653" s="121" t="str">
        <f t="shared" si="25"/>
        <v>חוף הכרמל</v>
      </c>
    </row>
    <row r="654" spans="1:16" x14ac:dyDescent="0.3">
      <c r="A654" s="61">
        <v>25</v>
      </c>
      <c r="B654" s="61">
        <v>25</v>
      </c>
      <c r="C654" s="97"/>
      <c r="D654" s="79"/>
      <c r="E654" s="79"/>
      <c r="F654" s="79"/>
      <c r="G654" s="94"/>
      <c r="I654" s="86" t="e">
        <f t="shared" si="24"/>
        <v>#DIV/0!</v>
      </c>
      <c r="J654" s="87" t="e">
        <f t="shared" si="24"/>
        <v>#DIV/0!</v>
      </c>
      <c r="K654" s="87" t="e">
        <f t="shared" si="24"/>
        <v>#DIV/0!</v>
      </c>
      <c r="L654" s="87" t="e">
        <f t="shared" si="24"/>
        <v>#DIV/0!</v>
      </c>
      <c r="M654" s="88" t="e">
        <f t="shared" si="24"/>
        <v>#DIV/0!</v>
      </c>
      <c r="O654" s="121" t="str">
        <f t="shared" si="25"/>
        <v>זכרון יעקב</v>
      </c>
      <c r="P654" s="121" t="str">
        <f t="shared" si="25"/>
        <v>זכרון יעקב</v>
      </c>
    </row>
    <row r="655" spans="1:16" x14ac:dyDescent="0.3">
      <c r="A655" s="61">
        <v>25</v>
      </c>
      <c r="B655" s="61">
        <v>30</v>
      </c>
      <c r="C655" s="97"/>
      <c r="D655" s="79"/>
      <c r="E655" s="79"/>
      <c r="F655" s="79"/>
      <c r="G655" s="94"/>
      <c r="I655" s="86" t="e">
        <f t="shared" si="24"/>
        <v>#DIV/0!</v>
      </c>
      <c r="J655" s="87" t="e">
        <f t="shared" si="24"/>
        <v>#DIV/0!</v>
      </c>
      <c r="K655" s="87" t="e">
        <f t="shared" si="24"/>
        <v>#DIV/0!</v>
      </c>
      <c r="L655" s="87" t="e">
        <f t="shared" si="24"/>
        <v>#DIV/0!</v>
      </c>
      <c r="M655" s="88" t="e">
        <f t="shared" si="24"/>
        <v>#DIV/0!</v>
      </c>
      <c r="O655" s="121" t="str">
        <f t="shared" si="25"/>
        <v>זכרון יעקב</v>
      </c>
      <c r="P655" s="121" t="str">
        <f t="shared" si="25"/>
        <v>סכנין</v>
      </c>
    </row>
    <row r="656" spans="1:16" x14ac:dyDescent="0.3">
      <c r="A656" s="61">
        <v>30</v>
      </c>
      <c r="B656" s="61">
        <v>1</v>
      </c>
      <c r="C656" s="97"/>
      <c r="D656" s="79"/>
      <c r="E656" s="79"/>
      <c r="F656" s="79"/>
      <c r="G656" s="94"/>
      <c r="I656" s="86" t="e">
        <f t="shared" si="24"/>
        <v>#DIV/0!</v>
      </c>
      <c r="J656" s="87" t="e">
        <f t="shared" si="24"/>
        <v>#DIV/0!</v>
      </c>
      <c r="K656" s="87" t="e">
        <f t="shared" si="24"/>
        <v>#DIV/0!</v>
      </c>
      <c r="L656" s="87" t="e">
        <f t="shared" si="24"/>
        <v>#DIV/0!</v>
      </c>
      <c r="M656" s="88" t="e">
        <f t="shared" si="24"/>
        <v>#DIV/0!</v>
      </c>
      <c r="O656" s="121" t="str">
        <f t="shared" si="25"/>
        <v>סכנין</v>
      </c>
      <c r="P656" s="121" t="str">
        <f t="shared" si="25"/>
        <v>נהריה</v>
      </c>
    </row>
    <row r="657" spans="1:16" x14ac:dyDescent="0.3">
      <c r="A657" s="61">
        <v>30</v>
      </c>
      <c r="B657" s="61">
        <v>2</v>
      </c>
      <c r="C657" s="97"/>
      <c r="D657" s="79"/>
      <c r="E657" s="79"/>
      <c r="F657" s="79"/>
      <c r="G657" s="94"/>
      <c r="I657" s="86" t="e">
        <f t="shared" si="24"/>
        <v>#DIV/0!</v>
      </c>
      <c r="J657" s="87" t="e">
        <f t="shared" si="24"/>
        <v>#DIV/0!</v>
      </c>
      <c r="K657" s="87" t="e">
        <f t="shared" si="24"/>
        <v>#DIV/0!</v>
      </c>
      <c r="L657" s="87" t="e">
        <f t="shared" si="24"/>
        <v>#DIV/0!</v>
      </c>
      <c r="M657" s="88" t="e">
        <f t="shared" si="24"/>
        <v>#DIV/0!</v>
      </c>
      <c r="O657" s="121" t="str">
        <f t="shared" si="25"/>
        <v>סכנין</v>
      </c>
      <c r="P657" s="121" t="str">
        <f t="shared" si="25"/>
        <v>עכו</v>
      </c>
    </row>
    <row r="658" spans="1:16" x14ac:dyDescent="0.3">
      <c r="A658" s="61">
        <v>30</v>
      </c>
      <c r="B658" s="61">
        <v>3</v>
      </c>
      <c r="C658" s="97"/>
      <c r="D658" s="79"/>
      <c r="E658" s="79"/>
      <c r="F658" s="79"/>
      <c r="G658" s="94"/>
      <c r="I658" s="86" t="e">
        <f t="shared" si="24"/>
        <v>#DIV/0!</v>
      </c>
      <c r="J658" s="87" t="e">
        <f t="shared" si="24"/>
        <v>#DIV/0!</v>
      </c>
      <c r="K658" s="87" t="e">
        <f t="shared" si="24"/>
        <v>#DIV/0!</v>
      </c>
      <c r="L658" s="87" t="e">
        <f t="shared" si="24"/>
        <v>#DIV/0!</v>
      </c>
      <c r="M658" s="88" t="e">
        <f t="shared" si="24"/>
        <v>#DIV/0!</v>
      </c>
      <c r="O658" s="121" t="str">
        <f t="shared" si="25"/>
        <v>סכנין</v>
      </c>
      <c r="P658" s="121" t="str">
        <f t="shared" si="25"/>
        <v>כרמיאל</v>
      </c>
    </row>
    <row r="659" spans="1:16" x14ac:dyDescent="0.3">
      <c r="A659" s="61">
        <v>30</v>
      </c>
      <c r="B659" s="61">
        <v>4</v>
      </c>
      <c r="C659" s="97"/>
      <c r="D659" s="79"/>
      <c r="E659" s="79"/>
      <c r="F659" s="79"/>
      <c r="G659" s="94"/>
      <c r="I659" s="86" t="e">
        <f t="shared" si="24"/>
        <v>#DIV/0!</v>
      </c>
      <c r="J659" s="87" t="e">
        <f t="shared" si="24"/>
        <v>#DIV/0!</v>
      </c>
      <c r="K659" s="87" t="e">
        <f t="shared" si="24"/>
        <v>#DIV/0!</v>
      </c>
      <c r="L659" s="87" t="e">
        <f t="shared" si="24"/>
        <v>#DIV/0!</v>
      </c>
      <c r="M659" s="88" t="e">
        <f t="shared" si="24"/>
        <v>#DIV/0!</v>
      </c>
      <c r="O659" s="121" t="str">
        <f t="shared" si="25"/>
        <v>סכנין</v>
      </c>
      <c r="P659" s="121" t="str">
        <f t="shared" si="25"/>
        <v>שפרעם</v>
      </c>
    </row>
    <row r="660" spans="1:16" x14ac:dyDescent="0.3">
      <c r="A660" s="61">
        <v>30</v>
      </c>
      <c r="B660" s="61">
        <v>5</v>
      </c>
      <c r="C660" s="97"/>
      <c r="D660" s="79"/>
      <c r="E660" s="79"/>
      <c r="F660" s="79"/>
      <c r="G660" s="94"/>
      <c r="I660" s="86" t="e">
        <f t="shared" si="24"/>
        <v>#DIV/0!</v>
      </c>
      <c r="J660" s="87" t="e">
        <f t="shared" si="24"/>
        <v>#DIV/0!</v>
      </c>
      <c r="K660" s="87" t="e">
        <f t="shared" si="24"/>
        <v>#DIV/0!</v>
      </c>
      <c r="L660" s="87" t="e">
        <f t="shared" si="24"/>
        <v>#DIV/0!</v>
      </c>
      <c r="M660" s="88" t="e">
        <f t="shared" si="24"/>
        <v>#DIV/0!</v>
      </c>
      <c r="O660" s="121" t="str">
        <f t="shared" si="25"/>
        <v>סכנין</v>
      </c>
      <c r="P660" s="121" t="str">
        <f t="shared" si="25"/>
        <v>קרית ים</v>
      </c>
    </row>
    <row r="661" spans="1:16" x14ac:dyDescent="0.3">
      <c r="A661" s="61">
        <v>30</v>
      </c>
      <c r="B661" s="61">
        <v>6</v>
      </c>
      <c r="C661" s="97"/>
      <c r="D661" s="79"/>
      <c r="E661" s="79"/>
      <c r="F661" s="79"/>
      <c r="G661" s="94"/>
      <c r="I661" s="86" t="e">
        <f t="shared" si="24"/>
        <v>#DIV/0!</v>
      </c>
      <c r="J661" s="87" t="e">
        <f t="shared" si="24"/>
        <v>#DIV/0!</v>
      </c>
      <c r="K661" s="87" t="e">
        <f t="shared" si="24"/>
        <v>#DIV/0!</v>
      </c>
      <c r="L661" s="87" t="e">
        <f t="shared" si="24"/>
        <v>#DIV/0!</v>
      </c>
      <c r="M661" s="88" t="e">
        <f t="shared" si="24"/>
        <v>#DIV/0!</v>
      </c>
      <c r="O661" s="121" t="str">
        <f t="shared" si="25"/>
        <v>סכנין</v>
      </c>
      <c r="P661" s="121" t="str">
        <f t="shared" si="25"/>
        <v>קרית מוצקין</v>
      </c>
    </row>
    <row r="662" spans="1:16" x14ac:dyDescent="0.3">
      <c r="A662" s="61">
        <v>30</v>
      </c>
      <c r="B662" s="61">
        <v>7</v>
      </c>
      <c r="C662" s="97"/>
      <c r="D662" s="79"/>
      <c r="E662" s="79"/>
      <c r="F662" s="79"/>
      <c r="G662" s="94"/>
      <c r="I662" s="86" t="e">
        <f t="shared" si="24"/>
        <v>#DIV/0!</v>
      </c>
      <c r="J662" s="87" t="e">
        <f t="shared" si="24"/>
        <v>#DIV/0!</v>
      </c>
      <c r="K662" s="87" t="e">
        <f t="shared" si="24"/>
        <v>#DIV/0!</v>
      </c>
      <c r="L662" s="87" t="e">
        <f t="shared" si="24"/>
        <v>#DIV/0!</v>
      </c>
      <c r="M662" s="88" t="e">
        <f t="shared" si="24"/>
        <v>#DIV/0!</v>
      </c>
      <c r="O662" s="121" t="str">
        <f t="shared" si="25"/>
        <v>סכנין</v>
      </c>
      <c r="P662" s="121" t="str">
        <f t="shared" si="25"/>
        <v>קרית ביאליק</v>
      </c>
    </row>
    <row r="663" spans="1:16" x14ac:dyDescent="0.3">
      <c r="A663" s="61">
        <v>30</v>
      </c>
      <c r="B663" s="61">
        <v>8</v>
      </c>
      <c r="C663" s="97"/>
      <c r="D663" s="79"/>
      <c r="E663" s="79"/>
      <c r="F663" s="79"/>
      <c r="G663" s="94"/>
      <c r="I663" s="86" t="e">
        <f t="shared" si="24"/>
        <v>#DIV/0!</v>
      </c>
      <c r="J663" s="87" t="e">
        <f t="shared" si="24"/>
        <v>#DIV/0!</v>
      </c>
      <c r="K663" s="87" t="e">
        <f t="shared" si="24"/>
        <v>#DIV/0!</v>
      </c>
      <c r="L663" s="87" t="e">
        <f t="shared" si="24"/>
        <v>#DIV/0!</v>
      </c>
      <c r="M663" s="88" t="e">
        <f t="shared" si="24"/>
        <v>#DIV/0!</v>
      </c>
      <c r="O663" s="121" t="str">
        <f t="shared" si="25"/>
        <v>סכנין</v>
      </c>
      <c r="P663" s="121" t="str">
        <f t="shared" si="25"/>
        <v>קרית חיים</v>
      </c>
    </row>
    <row r="664" spans="1:16" x14ac:dyDescent="0.3">
      <c r="A664" s="61">
        <v>30</v>
      </c>
      <c r="B664" s="61">
        <v>9</v>
      </c>
      <c r="C664" s="97"/>
      <c r="D664" s="79"/>
      <c r="E664" s="79"/>
      <c r="F664" s="79"/>
      <c r="G664" s="94"/>
      <c r="I664" s="86" t="e">
        <f t="shared" si="24"/>
        <v>#DIV/0!</v>
      </c>
      <c r="J664" s="87" t="e">
        <f t="shared" si="24"/>
        <v>#DIV/0!</v>
      </c>
      <c r="K664" s="87" t="e">
        <f t="shared" si="24"/>
        <v>#DIV/0!</v>
      </c>
      <c r="L664" s="87" t="e">
        <f t="shared" si="24"/>
        <v>#DIV/0!</v>
      </c>
      <c r="M664" s="88" t="e">
        <f t="shared" si="24"/>
        <v>#DIV/0!</v>
      </c>
      <c r="O664" s="121" t="str">
        <f t="shared" si="25"/>
        <v>סכנין</v>
      </c>
      <c r="P664" s="121" t="str">
        <f t="shared" si="25"/>
        <v>קרית אתא</v>
      </c>
    </row>
    <row r="665" spans="1:16" x14ac:dyDescent="0.3">
      <c r="A665" s="61">
        <v>30</v>
      </c>
      <c r="B665" s="61">
        <v>10</v>
      </c>
      <c r="C665" s="97"/>
      <c r="D665" s="79"/>
      <c r="E665" s="79"/>
      <c r="F665" s="79"/>
      <c r="G665" s="94"/>
      <c r="I665" s="86" t="e">
        <f t="shared" si="24"/>
        <v>#DIV/0!</v>
      </c>
      <c r="J665" s="87" t="e">
        <f t="shared" si="24"/>
        <v>#DIV/0!</v>
      </c>
      <c r="K665" s="87" t="e">
        <f t="shared" si="24"/>
        <v>#DIV/0!</v>
      </c>
      <c r="L665" s="87" t="e">
        <f t="shared" si="24"/>
        <v>#DIV/0!</v>
      </c>
      <c r="M665" s="88" t="e">
        <f t="shared" si="24"/>
        <v>#DIV/0!</v>
      </c>
      <c r="O665" s="121" t="str">
        <f t="shared" si="25"/>
        <v>סכנין</v>
      </c>
      <c r="P665" s="121" t="str">
        <f t="shared" si="25"/>
        <v>כפר מנדא</v>
      </c>
    </row>
    <row r="666" spans="1:16" x14ac:dyDescent="0.3">
      <c r="A666" s="61">
        <v>30</v>
      </c>
      <c r="B666" s="61">
        <v>11</v>
      </c>
      <c r="C666" s="97"/>
      <c r="D666" s="79"/>
      <c r="E666" s="79"/>
      <c r="F666" s="79"/>
      <c r="G666" s="94"/>
      <c r="I666" s="86" t="e">
        <f t="shared" si="24"/>
        <v>#DIV/0!</v>
      </c>
      <c r="J666" s="87" t="e">
        <f t="shared" si="24"/>
        <v>#DIV/0!</v>
      </c>
      <c r="K666" s="87" t="e">
        <f t="shared" si="24"/>
        <v>#DIV/0!</v>
      </c>
      <c r="L666" s="87" t="e">
        <f t="shared" si="24"/>
        <v>#DIV/0!</v>
      </c>
      <c r="M666" s="88" t="e">
        <f t="shared" si="24"/>
        <v>#DIV/0!</v>
      </c>
      <c r="O666" s="121" t="str">
        <f t="shared" si="25"/>
        <v>סכנין</v>
      </c>
      <c r="P666" s="121" t="str">
        <f t="shared" si="25"/>
        <v>זבולון</v>
      </c>
    </row>
    <row r="667" spans="1:16" x14ac:dyDescent="0.3">
      <c r="A667" s="61">
        <v>30</v>
      </c>
      <c r="B667" s="61">
        <v>12</v>
      </c>
      <c r="C667" s="97"/>
      <c r="D667" s="79"/>
      <c r="E667" s="79"/>
      <c r="F667" s="79"/>
      <c r="G667" s="94"/>
      <c r="I667" s="86" t="e">
        <f t="shared" si="24"/>
        <v>#DIV/0!</v>
      </c>
      <c r="J667" s="87" t="e">
        <f t="shared" si="24"/>
        <v>#DIV/0!</v>
      </c>
      <c r="K667" s="87" t="e">
        <f t="shared" si="24"/>
        <v>#DIV/0!</v>
      </c>
      <c r="L667" s="87" t="e">
        <f t="shared" si="24"/>
        <v>#DIV/0!</v>
      </c>
      <c r="M667" s="88" t="e">
        <f t="shared" si="24"/>
        <v>#DIV/0!</v>
      </c>
      <c r="O667" s="121" t="str">
        <f t="shared" si="25"/>
        <v>סכנין</v>
      </c>
      <c r="P667" s="121" t="str">
        <f t="shared" si="25"/>
        <v>חיפה מפרץ</v>
      </c>
    </row>
    <row r="668" spans="1:16" x14ac:dyDescent="0.3">
      <c r="A668" s="61">
        <v>30</v>
      </c>
      <c r="B668" s="61">
        <v>13</v>
      </c>
      <c r="C668" s="97"/>
      <c r="D668" s="79"/>
      <c r="E668" s="79"/>
      <c r="F668" s="79"/>
      <c r="G668" s="94"/>
      <c r="I668" s="86" t="e">
        <f t="shared" si="24"/>
        <v>#DIV/0!</v>
      </c>
      <c r="J668" s="87" t="e">
        <f t="shared" si="24"/>
        <v>#DIV/0!</v>
      </c>
      <c r="K668" s="87" t="e">
        <f t="shared" si="24"/>
        <v>#DIV/0!</v>
      </c>
      <c r="L668" s="87" t="e">
        <f t="shared" si="24"/>
        <v>#DIV/0!</v>
      </c>
      <c r="M668" s="88" t="e">
        <f t="shared" si="24"/>
        <v>#DIV/0!</v>
      </c>
      <c r="O668" s="121" t="str">
        <f t="shared" si="25"/>
        <v>סכנין</v>
      </c>
      <c r="P668" s="121" t="str">
        <f t="shared" si="25"/>
        <v>חיפה עיר תחתית</v>
      </c>
    </row>
    <row r="669" spans="1:16" x14ac:dyDescent="0.3">
      <c r="A669" s="61">
        <v>30</v>
      </c>
      <c r="B669" s="61">
        <v>14</v>
      </c>
      <c r="C669" s="97"/>
      <c r="D669" s="79"/>
      <c r="E669" s="79"/>
      <c r="F669" s="79"/>
      <c r="G669" s="94"/>
      <c r="I669" s="86" t="e">
        <f t="shared" si="24"/>
        <v>#DIV/0!</v>
      </c>
      <c r="J669" s="87" t="e">
        <f t="shared" si="24"/>
        <v>#DIV/0!</v>
      </c>
      <c r="K669" s="87" t="e">
        <f t="shared" si="24"/>
        <v>#DIV/0!</v>
      </c>
      <c r="L669" s="87" t="e">
        <f t="shared" si="24"/>
        <v>#DIV/0!</v>
      </c>
      <c r="M669" s="88" t="e">
        <f t="shared" si="24"/>
        <v>#DIV/0!</v>
      </c>
      <c r="O669" s="121" t="str">
        <f t="shared" si="25"/>
        <v>סכנין</v>
      </c>
      <c r="P669" s="121" t="str">
        <f t="shared" si="25"/>
        <v>חיפה הדר-כרמל</v>
      </c>
    </row>
    <row r="670" spans="1:16" x14ac:dyDescent="0.3">
      <c r="A670" s="61">
        <v>30</v>
      </c>
      <c r="B670" s="61">
        <v>15</v>
      </c>
      <c r="C670" s="97"/>
      <c r="D670" s="79"/>
      <c r="E670" s="79"/>
      <c r="F670" s="79"/>
      <c r="G670" s="94"/>
      <c r="I670" s="86" t="e">
        <f t="shared" si="24"/>
        <v>#DIV/0!</v>
      </c>
      <c r="J670" s="87" t="e">
        <f t="shared" si="24"/>
        <v>#DIV/0!</v>
      </c>
      <c r="K670" s="87" t="e">
        <f t="shared" si="24"/>
        <v>#DIV/0!</v>
      </c>
      <c r="L670" s="87" t="e">
        <f t="shared" si="24"/>
        <v>#DIV/0!</v>
      </c>
      <c r="M670" s="88" t="e">
        <f t="shared" si="24"/>
        <v>#DIV/0!</v>
      </c>
      <c r="O670" s="121" t="str">
        <f t="shared" si="25"/>
        <v>סכנין</v>
      </c>
      <c r="P670" s="121" t="str">
        <f t="shared" si="25"/>
        <v>חיפה מערב</v>
      </c>
    </row>
    <row r="671" spans="1:16" x14ac:dyDescent="0.3">
      <c r="A671" s="61">
        <v>30</v>
      </c>
      <c r="B671" s="61">
        <v>16</v>
      </c>
      <c r="C671" s="97"/>
      <c r="D671" s="79"/>
      <c r="E671" s="79"/>
      <c r="F671" s="79"/>
      <c r="G671" s="94"/>
      <c r="I671" s="86" t="e">
        <f t="shared" si="24"/>
        <v>#DIV/0!</v>
      </c>
      <c r="J671" s="87" t="e">
        <f t="shared" si="24"/>
        <v>#DIV/0!</v>
      </c>
      <c r="K671" s="87" t="e">
        <f t="shared" si="24"/>
        <v>#DIV/0!</v>
      </c>
      <c r="L671" s="87" t="e">
        <f t="shared" si="24"/>
        <v>#DIV/0!</v>
      </c>
      <c r="M671" s="88" t="e">
        <f t="shared" si="24"/>
        <v>#DIV/0!</v>
      </c>
      <c r="O671" s="121" t="str">
        <f t="shared" si="25"/>
        <v>סכנין</v>
      </c>
      <c r="P671" s="121" t="str">
        <f t="shared" si="25"/>
        <v>חיפה כרמל</v>
      </c>
    </row>
    <row r="672" spans="1:16" x14ac:dyDescent="0.3">
      <c r="A672" s="61">
        <v>30</v>
      </c>
      <c r="B672" s="61">
        <v>17</v>
      </c>
      <c r="C672" s="97"/>
      <c r="D672" s="79"/>
      <c r="E672" s="79"/>
      <c r="F672" s="79"/>
      <c r="G672" s="94"/>
      <c r="I672" s="86" t="e">
        <f t="shared" si="24"/>
        <v>#DIV/0!</v>
      </c>
      <c r="J672" s="87" t="e">
        <f t="shared" si="24"/>
        <v>#DIV/0!</v>
      </c>
      <c r="K672" s="87" t="e">
        <f t="shared" si="24"/>
        <v>#DIV/0!</v>
      </c>
      <c r="L672" s="87" t="e">
        <f t="shared" si="24"/>
        <v>#DIV/0!</v>
      </c>
      <c r="M672" s="88" t="e">
        <f t="shared" si="24"/>
        <v>#DIV/0!</v>
      </c>
      <c r="O672" s="121" t="str">
        <f t="shared" si="25"/>
        <v>סכנין</v>
      </c>
      <c r="P672" s="121" t="str">
        <f t="shared" si="25"/>
        <v>חיפה נווה שאנן</v>
      </c>
    </row>
    <row r="673" spans="1:16" x14ac:dyDescent="0.3">
      <c r="A673" s="61">
        <v>30</v>
      </c>
      <c r="B673" s="61">
        <v>18</v>
      </c>
      <c r="C673" s="97"/>
      <c r="D673" s="79"/>
      <c r="E673" s="79"/>
      <c r="F673" s="79"/>
      <c r="G673" s="94"/>
      <c r="I673" s="86" t="e">
        <f t="shared" si="24"/>
        <v>#DIV/0!</v>
      </c>
      <c r="J673" s="87" t="e">
        <f t="shared" si="24"/>
        <v>#DIV/0!</v>
      </c>
      <c r="K673" s="87" t="e">
        <f t="shared" si="24"/>
        <v>#DIV/0!</v>
      </c>
      <c r="L673" s="87" t="e">
        <f t="shared" si="24"/>
        <v>#DIV/0!</v>
      </c>
      <c r="M673" s="88" t="e">
        <f t="shared" si="24"/>
        <v>#DIV/0!</v>
      </c>
      <c r="O673" s="121" t="str">
        <f t="shared" si="25"/>
        <v>סכנין</v>
      </c>
      <c r="P673" s="121" t="str">
        <f t="shared" si="25"/>
        <v>נשר</v>
      </c>
    </row>
    <row r="674" spans="1:16" x14ac:dyDescent="0.3">
      <c r="A674" s="61">
        <v>30</v>
      </c>
      <c r="B674" s="61">
        <v>19</v>
      </c>
      <c r="C674" s="97"/>
      <c r="D674" s="79"/>
      <c r="E674" s="79"/>
      <c r="F674" s="79"/>
      <c r="G674" s="94"/>
      <c r="I674" s="86" t="e">
        <f t="shared" si="24"/>
        <v>#DIV/0!</v>
      </c>
      <c r="J674" s="87" t="e">
        <f t="shared" si="24"/>
        <v>#DIV/0!</v>
      </c>
      <c r="K674" s="87" t="e">
        <f t="shared" si="24"/>
        <v>#DIV/0!</v>
      </c>
      <c r="L674" s="87" t="e">
        <f t="shared" si="24"/>
        <v>#DIV/0!</v>
      </c>
      <c r="M674" s="88" t="e">
        <f t="shared" si="24"/>
        <v>#DIV/0!</v>
      </c>
      <c r="O674" s="121" t="str">
        <f t="shared" si="25"/>
        <v>סכנין</v>
      </c>
      <c r="P674" s="121" t="str">
        <f t="shared" si="25"/>
        <v>נצרת</v>
      </c>
    </row>
    <row r="675" spans="1:16" x14ac:dyDescent="0.3">
      <c r="A675" s="61">
        <v>30</v>
      </c>
      <c r="B675" s="61">
        <v>20</v>
      </c>
      <c r="C675" s="97"/>
      <c r="D675" s="79"/>
      <c r="E675" s="79"/>
      <c r="F675" s="79"/>
      <c r="G675" s="94"/>
      <c r="I675" s="86" t="e">
        <f t="shared" si="24"/>
        <v>#DIV/0!</v>
      </c>
      <c r="J675" s="87" t="e">
        <f t="shared" si="24"/>
        <v>#DIV/0!</v>
      </c>
      <c r="K675" s="87" t="e">
        <f t="shared" si="24"/>
        <v>#DIV/0!</v>
      </c>
      <c r="L675" s="87" t="e">
        <f t="shared" si="24"/>
        <v>#DIV/0!</v>
      </c>
      <c r="M675" s="88" t="e">
        <f t="shared" si="24"/>
        <v>#DIV/0!</v>
      </c>
      <c r="O675" s="121" t="str">
        <f t="shared" si="25"/>
        <v>סכנין</v>
      </c>
      <c r="P675" s="121" t="str">
        <f t="shared" si="25"/>
        <v>נצרת-עילית</v>
      </c>
    </row>
    <row r="676" spans="1:16" x14ac:dyDescent="0.3">
      <c r="A676" s="61">
        <v>30</v>
      </c>
      <c r="B676" s="61">
        <v>21</v>
      </c>
      <c r="C676" s="97"/>
      <c r="D676" s="79"/>
      <c r="E676" s="79"/>
      <c r="F676" s="79"/>
      <c r="G676" s="94"/>
      <c r="I676" s="86" t="e">
        <f t="shared" si="24"/>
        <v>#DIV/0!</v>
      </c>
      <c r="J676" s="87" t="e">
        <f t="shared" si="24"/>
        <v>#DIV/0!</v>
      </c>
      <c r="K676" s="87" t="e">
        <f t="shared" si="24"/>
        <v>#DIV/0!</v>
      </c>
      <c r="L676" s="87" t="e">
        <f t="shared" si="24"/>
        <v>#DIV/0!</v>
      </c>
      <c r="M676" s="88" t="e">
        <f t="shared" si="24"/>
        <v>#DIV/0!</v>
      </c>
      <c r="O676" s="121" t="str">
        <f t="shared" si="25"/>
        <v>סכנין</v>
      </c>
      <c r="P676" s="121" t="str">
        <f t="shared" si="25"/>
        <v>מגדל העמק</v>
      </c>
    </row>
    <row r="677" spans="1:16" x14ac:dyDescent="0.3">
      <c r="A677" s="61">
        <v>30</v>
      </c>
      <c r="B677" s="61">
        <v>22</v>
      </c>
      <c r="C677" s="97"/>
      <c r="D677" s="79"/>
      <c r="E677" s="79"/>
      <c r="F677" s="79"/>
      <c r="G677" s="94"/>
      <c r="I677" s="86" t="e">
        <f t="shared" si="24"/>
        <v>#DIV/0!</v>
      </c>
      <c r="J677" s="87" t="e">
        <f t="shared" si="24"/>
        <v>#DIV/0!</v>
      </c>
      <c r="K677" s="87" t="e">
        <f t="shared" si="24"/>
        <v>#DIV/0!</v>
      </c>
      <c r="L677" s="87" t="e">
        <f t="shared" si="24"/>
        <v>#DIV/0!</v>
      </c>
      <c r="M677" s="88" t="e">
        <f t="shared" si="24"/>
        <v>#DIV/0!</v>
      </c>
      <c r="O677" s="121" t="str">
        <f t="shared" si="25"/>
        <v>סכנין</v>
      </c>
      <c r="P677" s="121" t="str">
        <f t="shared" si="25"/>
        <v>יוקנעם</v>
      </c>
    </row>
    <row r="678" spans="1:16" x14ac:dyDescent="0.3">
      <c r="A678" s="61">
        <v>30</v>
      </c>
      <c r="B678" s="61">
        <v>23</v>
      </c>
      <c r="C678" s="97"/>
      <c r="D678" s="79"/>
      <c r="E678" s="79"/>
      <c r="F678" s="79"/>
      <c r="G678" s="94"/>
      <c r="I678" s="86" t="e">
        <f t="shared" si="24"/>
        <v>#DIV/0!</v>
      </c>
      <c r="J678" s="87" t="e">
        <f t="shared" si="24"/>
        <v>#DIV/0!</v>
      </c>
      <c r="K678" s="87" t="e">
        <f t="shared" si="24"/>
        <v>#DIV/0!</v>
      </c>
      <c r="L678" s="87" t="e">
        <f t="shared" si="24"/>
        <v>#DIV/0!</v>
      </c>
      <c r="M678" s="88" t="e">
        <f t="shared" si="24"/>
        <v>#DIV/0!</v>
      </c>
      <c r="O678" s="121" t="str">
        <f t="shared" si="25"/>
        <v>סכנין</v>
      </c>
      <c r="P678" s="121" t="str">
        <f t="shared" si="25"/>
        <v>דלית אל כרמל</v>
      </c>
    </row>
    <row r="679" spans="1:16" x14ac:dyDescent="0.3">
      <c r="A679" s="61">
        <v>30</v>
      </c>
      <c r="B679" s="61">
        <v>24</v>
      </c>
      <c r="C679" s="97"/>
      <c r="D679" s="79"/>
      <c r="E679" s="79"/>
      <c r="F679" s="79"/>
      <c r="G679" s="94"/>
      <c r="I679" s="86" t="e">
        <f t="shared" si="24"/>
        <v>#DIV/0!</v>
      </c>
      <c r="J679" s="87" t="e">
        <f t="shared" si="24"/>
        <v>#DIV/0!</v>
      </c>
      <c r="K679" s="87" t="e">
        <f t="shared" si="24"/>
        <v>#DIV/0!</v>
      </c>
      <c r="L679" s="87" t="e">
        <f t="shared" si="24"/>
        <v>#DIV/0!</v>
      </c>
      <c r="M679" s="88" t="e">
        <f t="shared" si="24"/>
        <v>#DIV/0!</v>
      </c>
      <c r="O679" s="121" t="str">
        <f t="shared" si="25"/>
        <v>סכנין</v>
      </c>
      <c r="P679" s="121" t="str">
        <f t="shared" si="25"/>
        <v>חוף הכרמל</v>
      </c>
    </row>
    <row r="680" spans="1:16" x14ac:dyDescent="0.3">
      <c r="A680" s="61">
        <v>30</v>
      </c>
      <c r="B680" s="61">
        <v>25</v>
      </c>
      <c r="C680" s="97"/>
      <c r="D680" s="79"/>
      <c r="E680" s="79"/>
      <c r="F680" s="79"/>
      <c r="G680" s="94"/>
      <c r="I680" s="86" t="e">
        <f t="shared" si="24"/>
        <v>#DIV/0!</v>
      </c>
      <c r="J680" s="87" t="e">
        <f t="shared" si="24"/>
        <v>#DIV/0!</v>
      </c>
      <c r="K680" s="87" t="e">
        <f t="shared" si="24"/>
        <v>#DIV/0!</v>
      </c>
      <c r="L680" s="87" t="e">
        <f t="shared" si="24"/>
        <v>#DIV/0!</v>
      </c>
      <c r="M680" s="88" t="e">
        <f t="shared" si="24"/>
        <v>#DIV/0!</v>
      </c>
      <c r="O680" s="121" t="str">
        <f t="shared" si="25"/>
        <v>סכנין</v>
      </c>
      <c r="P680" s="121" t="str">
        <f t="shared" si="25"/>
        <v>זכרון יעקב</v>
      </c>
    </row>
    <row r="681" spans="1:16" x14ac:dyDescent="0.3">
      <c r="A681" s="61">
        <v>30</v>
      </c>
      <c r="B681" s="61">
        <v>30</v>
      </c>
      <c r="C681" s="98"/>
      <c r="D681" s="95"/>
      <c r="E681" s="95"/>
      <c r="F681" s="95"/>
      <c r="G681" s="96"/>
      <c r="I681" s="89" t="e">
        <f t="shared" si="24"/>
        <v>#DIV/0!</v>
      </c>
      <c r="J681" s="90" t="e">
        <f t="shared" si="24"/>
        <v>#DIV/0!</v>
      </c>
      <c r="K681" s="90" t="e">
        <f t="shared" si="24"/>
        <v>#DIV/0!</v>
      </c>
      <c r="L681" s="90" t="e">
        <f t="shared" si="24"/>
        <v>#DIV/0!</v>
      </c>
      <c r="M681" s="91" t="e">
        <f t="shared" si="24"/>
        <v>#DIV/0!</v>
      </c>
      <c r="O681" s="121" t="str">
        <f t="shared" si="25"/>
        <v>סכנין</v>
      </c>
      <c r="P681" s="121" t="str">
        <f t="shared" si="25"/>
        <v>סכנין</v>
      </c>
    </row>
    <row r="682" spans="1:16" x14ac:dyDescent="0.3">
      <c r="A682" s="153" t="s">
        <v>44</v>
      </c>
      <c r="B682" s="153"/>
      <c r="C682" s="92">
        <f>SUM(C6:C681)</f>
        <v>0</v>
      </c>
      <c r="D682" s="92">
        <f t="shared" ref="D682:G682" si="26">SUM(D6:D681)</f>
        <v>0</v>
      </c>
      <c r="E682" s="92">
        <f t="shared" si="26"/>
        <v>0</v>
      </c>
      <c r="F682" s="92">
        <f t="shared" si="26"/>
        <v>0</v>
      </c>
      <c r="G682" s="92">
        <f t="shared" si="26"/>
        <v>0</v>
      </c>
    </row>
    <row r="683" spans="1:16" x14ac:dyDescent="0.3">
      <c r="A683" s="153" t="s">
        <v>62</v>
      </c>
      <c r="B683" s="153"/>
      <c r="C683" s="93" t="e">
        <f>C682/SUM(C682:G682)</f>
        <v>#DIV/0!</v>
      </c>
      <c r="D683" s="93" t="e">
        <f>D682/SUM(C682:G682)</f>
        <v>#DIV/0!</v>
      </c>
      <c r="E683" s="93" t="e">
        <f>E682/SUM(C682:G682)</f>
        <v>#DIV/0!</v>
      </c>
      <c r="F683" s="93" t="e">
        <f>F682/SUM(C682:G682)</f>
        <v>#DIV/0!</v>
      </c>
      <c r="G683" s="93" t="e">
        <f>G682/SUM(C682:G682)</f>
        <v>#DIV/0!</v>
      </c>
    </row>
  </sheetData>
  <mergeCells count="9">
    <mergeCell ref="E4:E5"/>
    <mergeCell ref="F4:F5"/>
    <mergeCell ref="G4:G5"/>
    <mergeCell ref="A682:B682"/>
    <mergeCell ref="A683:B683"/>
    <mergeCell ref="A4:A5"/>
    <mergeCell ref="B4:B5"/>
    <mergeCell ref="C4:C5"/>
    <mergeCell ref="D4:D5"/>
  </mergeCells>
  <hyperlinks>
    <hyperlink ref="A1" location="'Table Of Contents'!A1" display="Return to ToC" xr:uid="{00000000-0004-0000-0D00-000000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A1:H23"/>
  <sheetViews>
    <sheetView workbookViewId="0">
      <pane xSplit="2" ySplit="4" topLeftCell="C5" activePane="bottomRight" state="frozen"/>
      <selection activeCell="D14" sqref="D14"/>
      <selection pane="topRight" activeCell="D14" sqref="D14"/>
      <selection pane="bottomLeft" activeCell="D14" sqref="D14"/>
      <selection pane="bottomRight"/>
    </sheetView>
  </sheetViews>
  <sheetFormatPr defaultColWidth="9" defaultRowHeight="14.4" x14ac:dyDescent="0.3"/>
  <cols>
    <col min="1" max="1" width="8.33203125" style="7" customWidth="1"/>
    <col min="2" max="2" width="5.33203125" style="7" bestFit="1" customWidth="1"/>
    <col min="3" max="3" width="6.33203125" style="7" bestFit="1" customWidth="1"/>
    <col min="4" max="4" width="7.33203125" style="7" bestFit="1" customWidth="1"/>
    <col min="5" max="5" width="5.33203125" style="7" bestFit="1" customWidth="1"/>
    <col min="6" max="6" width="7.33203125" style="7" bestFit="1" customWidth="1"/>
    <col min="7" max="7" width="9.77734375" style="7" bestFit="1" customWidth="1"/>
    <col min="8" max="8" width="7.77734375" style="7" bestFit="1" customWidth="1"/>
    <col min="9" max="9" width="8" style="7" bestFit="1" customWidth="1"/>
    <col min="10" max="16384" width="9" style="7"/>
  </cols>
  <sheetData>
    <row r="1" spans="1:8" s="61" customFormat="1" ht="27" thickBot="1" x14ac:dyDescent="0.35">
      <c r="A1" s="8" t="s">
        <v>2</v>
      </c>
      <c r="B1" s="99"/>
    </row>
    <row r="2" spans="1:8" s="61" customFormat="1" ht="21" x14ac:dyDescent="0.3">
      <c r="B2" s="112"/>
      <c r="C2" s="112"/>
      <c r="D2" s="112"/>
      <c r="E2" s="112"/>
      <c r="F2" s="112"/>
      <c r="G2" s="112"/>
      <c r="H2" s="112"/>
    </row>
    <row r="3" spans="1:8" s="61" customFormat="1" ht="6.75" customHeight="1" x14ac:dyDescent="0.3"/>
    <row r="4" spans="1:8" ht="43.2" x14ac:dyDescent="0.3">
      <c r="C4" s="100" t="s">
        <v>63</v>
      </c>
      <c r="D4" s="101" t="s">
        <v>64</v>
      </c>
      <c r="E4" s="101" t="s">
        <v>65</v>
      </c>
      <c r="F4" s="101" t="s">
        <v>66</v>
      </c>
      <c r="G4" s="101" t="s">
        <v>67</v>
      </c>
      <c r="H4" s="102" t="s">
        <v>68</v>
      </c>
    </row>
    <row r="5" spans="1:8" x14ac:dyDescent="0.3">
      <c r="A5" s="155" t="s">
        <v>5</v>
      </c>
      <c r="B5" s="56" t="s">
        <v>69</v>
      </c>
      <c r="C5" s="64">
        <v>2.7</v>
      </c>
      <c r="D5" s="64"/>
      <c r="E5" s="64"/>
      <c r="F5" s="64"/>
      <c r="G5" s="64"/>
      <c r="H5" s="65"/>
    </row>
    <row r="6" spans="1:8" x14ac:dyDescent="0.3">
      <c r="A6" s="163"/>
      <c r="B6" s="61" t="s">
        <v>70</v>
      </c>
      <c r="C6" s="67">
        <v>2.54</v>
      </c>
      <c r="D6" s="67"/>
      <c r="E6" s="67"/>
      <c r="F6" s="67"/>
      <c r="G6" s="67"/>
      <c r="H6" s="68"/>
    </row>
    <row r="7" spans="1:8" x14ac:dyDescent="0.3">
      <c r="A7" s="163"/>
      <c r="B7" s="61" t="s">
        <v>71</v>
      </c>
      <c r="C7" s="67">
        <v>24.445858999999999</v>
      </c>
      <c r="D7" s="67"/>
      <c r="E7" s="67"/>
      <c r="F7" s="67"/>
      <c r="G7" s="67"/>
      <c r="H7" s="68"/>
    </row>
    <row r="8" spans="1:8" x14ac:dyDescent="0.3">
      <c r="A8" s="156"/>
      <c r="B8" s="84" t="s">
        <v>72</v>
      </c>
      <c r="C8" s="103">
        <v>24.445858999999999</v>
      </c>
      <c r="D8" s="103"/>
      <c r="E8" s="103"/>
      <c r="F8" s="103"/>
      <c r="G8" s="103"/>
      <c r="H8" s="104"/>
    </row>
    <row r="9" spans="1:8" x14ac:dyDescent="0.3">
      <c r="C9" s="105"/>
      <c r="D9" s="105"/>
      <c r="E9" s="105"/>
      <c r="F9" s="105"/>
      <c r="G9" s="105"/>
      <c r="H9" s="105"/>
    </row>
    <row r="10" spans="1:8" x14ac:dyDescent="0.3">
      <c r="A10" s="155" t="s">
        <v>6</v>
      </c>
      <c r="B10" s="56" t="s">
        <v>69</v>
      </c>
      <c r="C10" s="64">
        <v>2.7</v>
      </c>
      <c r="D10" s="64"/>
      <c r="E10" s="64"/>
      <c r="F10" s="64"/>
      <c r="G10" s="64"/>
      <c r="H10" s="65"/>
    </row>
    <row r="11" spans="1:8" x14ac:dyDescent="0.3">
      <c r="A11" s="163"/>
      <c r="B11" s="61" t="s">
        <v>70</v>
      </c>
      <c r="C11" s="67">
        <v>2.54</v>
      </c>
      <c r="D11" s="67"/>
      <c r="E11" s="67"/>
      <c r="F11" s="67"/>
      <c r="G11" s="67"/>
      <c r="H11" s="68"/>
    </row>
    <row r="12" spans="1:8" x14ac:dyDescent="0.3">
      <c r="A12" s="163"/>
      <c r="B12" s="61" t="s">
        <v>71</v>
      </c>
      <c r="C12" s="67">
        <v>24.445858999999999</v>
      </c>
      <c r="D12" s="67"/>
      <c r="E12" s="67"/>
      <c r="F12" s="67"/>
      <c r="G12" s="67"/>
      <c r="H12" s="68"/>
    </row>
    <row r="13" spans="1:8" x14ac:dyDescent="0.3">
      <c r="A13" s="156"/>
      <c r="B13" s="84" t="s">
        <v>72</v>
      </c>
      <c r="C13" s="103">
        <v>24.445858999999999</v>
      </c>
      <c r="D13" s="103"/>
      <c r="E13" s="103"/>
      <c r="F13" s="103"/>
      <c r="G13" s="103"/>
      <c r="H13" s="104"/>
    </row>
    <row r="14" spans="1:8" x14ac:dyDescent="0.3">
      <c r="C14" s="105"/>
      <c r="D14" s="105"/>
      <c r="E14" s="105"/>
      <c r="F14" s="105"/>
      <c r="G14" s="105"/>
      <c r="H14" s="105"/>
    </row>
    <row r="15" spans="1:8" x14ac:dyDescent="0.3">
      <c r="A15" s="155" t="s">
        <v>7</v>
      </c>
      <c r="B15" s="56" t="s">
        <v>69</v>
      </c>
      <c r="C15" s="64">
        <v>2.7</v>
      </c>
      <c r="D15" s="64"/>
      <c r="E15" s="64"/>
      <c r="F15" s="64"/>
      <c r="G15" s="64"/>
      <c r="H15" s="65"/>
    </row>
    <row r="16" spans="1:8" x14ac:dyDescent="0.3">
      <c r="A16" s="163"/>
      <c r="B16" s="61" t="s">
        <v>70</v>
      </c>
      <c r="C16" s="67">
        <v>2.54</v>
      </c>
      <c r="D16" s="67"/>
      <c r="E16" s="67"/>
      <c r="F16" s="67"/>
      <c r="G16" s="67"/>
      <c r="H16" s="68"/>
    </row>
    <row r="17" spans="1:8" x14ac:dyDescent="0.3">
      <c r="A17" s="163"/>
      <c r="B17" s="61" t="s">
        <v>71</v>
      </c>
      <c r="C17" s="67">
        <v>24.445858999999999</v>
      </c>
      <c r="D17" s="67"/>
      <c r="E17" s="67"/>
      <c r="F17" s="67"/>
      <c r="G17" s="67"/>
      <c r="H17" s="68"/>
    </row>
    <row r="18" spans="1:8" x14ac:dyDescent="0.3">
      <c r="A18" s="156"/>
      <c r="B18" s="84" t="s">
        <v>72</v>
      </c>
      <c r="C18" s="103">
        <v>24.445858999999999</v>
      </c>
      <c r="D18" s="103"/>
      <c r="E18" s="103"/>
      <c r="F18" s="103"/>
      <c r="G18" s="103"/>
      <c r="H18" s="104"/>
    </row>
    <row r="19" spans="1:8" x14ac:dyDescent="0.3">
      <c r="C19" s="105"/>
      <c r="D19" s="105"/>
      <c r="E19" s="105"/>
      <c r="F19" s="105"/>
      <c r="G19" s="105"/>
      <c r="H19" s="105"/>
    </row>
    <row r="20" spans="1:8" x14ac:dyDescent="0.3">
      <c r="A20" s="148" t="s">
        <v>73</v>
      </c>
      <c r="B20" s="106" t="s">
        <v>69</v>
      </c>
      <c r="C20" s="64">
        <v>2.7</v>
      </c>
      <c r="D20" s="64"/>
      <c r="E20" s="64"/>
      <c r="F20" s="64"/>
      <c r="G20" s="64"/>
      <c r="H20" s="65"/>
    </row>
    <row r="21" spans="1:8" x14ac:dyDescent="0.3">
      <c r="A21" s="163"/>
      <c r="B21" s="79" t="s">
        <v>70</v>
      </c>
      <c r="C21" s="67">
        <v>2.54</v>
      </c>
      <c r="D21" s="67"/>
      <c r="E21" s="67"/>
      <c r="F21" s="67"/>
      <c r="G21" s="67"/>
      <c r="H21" s="68"/>
    </row>
    <row r="22" spans="1:8" x14ac:dyDescent="0.3">
      <c r="A22" s="163"/>
      <c r="B22" s="79" t="s">
        <v>71</v>
      </c>
      <c r="C22" s="67">
        <v>24.445858999999999</v>
      </c>
      <c r="D22" s="67"/>
      <c r="E22" s="67"/>
      <c r="F22" s="67"/>
      <c r="G22" s="67"/>
      <c r="H22" s="68"/>
    </row>
    <row r="23" spans="1:8" x14ac:dyDescent="0.3">
      <c r="A23" s="156"/>
      <c r="B23" s="95" t="s">
        <v>72</v>
      </c>
      <c r="C23" s="103">
        <v>24.445858999999999</v>
      </c>
      <c r="D23" s="103"/>
      <c r="E23" s="103"/>
      <c r="F23" s="103"/>
      <c r="G23" s="103"/>
      <c r="H23" s="104"/>
    </row>
  </sheetData>
  <mergeCells count="4">
    <mergeCell ref="A5:A8"/>
    <mergeCell ref="A10:A13"/>
    <mergeCell ref="A15:A18"/>
    <mergeCell ref="A20:A23"/>
  </mergeCells>
  <hyperlinks>
    <hyperlink ref="A1" location="'Table Of Contents'!A1" display="Return to ToC" xr:uid="{00000000-0004-0000-0E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L190"/>
  <sheetViews>
    <sheetView zoomScale="115" zoomScaleNormal="115" workbookViewId="0">
      <selection activeCell="B4" sqref="B4:F4"/>
    </sheetView>
  </sheetViews>
  <sheetFormatPr defaultRowHeight="14.4" x14ac:dyDescent="0.3"/>
  <cols>
    <col min="1" max="1" width="6.77734375" bestFit="1" customWidth="1"/>
    <col min="2" max="2" width="6" bestFit="1" customWidth="1"/>
    <col min="3" max="3" width="8.33203125" bestFit="1" customWidth="1"/>
    <col min="4" max="4" width="9" bestFit="1" customWidth="1"/>
    <col min="5" max="5" width="9.21875" bestFit="1" customWidth="1"/>
    <col min="6" max="6" width="10.33203125" bestFit="1" customWidth="1"/>
    <col min="8" max="8" width="10.77734375" bestFit="1" customWidth="1"/>
    <col min="9" max="9" width="14.6640625" bestFit="1" customWidth="1"/>
    <col min="10" max="10" width="15.109375" bestFit="1" customWidth="1"/>
    <col min="11" max="11" width="15" bestFit="1" customWidth="1"/>
    <col min="12" max="12" width="16.33203125" bestFit="1" customWidth="1"/>
    <col min="13" max="14" width="11.77734375" bestFit="1" customWidth="1"/>
  </cols>
  <sheetData>
    <row r="1" spans="1:12" ht="27" thickBot="1" x14ac:dyDescent="0.35">
      <c r="A1" s="8" t="s">
        <v>2</v>
      </c>
    </row>
    <row r="4" spans="1:12" x14ac:dyDescent="0.3">
      <c r="A4" s="52" t="s">
        <v>74</v>
      </c>
      <c r="B4" s="52" t="s">
        <v>75</v>
      </c>
      <c r="C4" s="52" t="s">
        <v>76</v>
      </c>
      <c r="D4" s="52" t="s">
        <v>23</v>
      </c>
      <c r="E4" s="52" t="s">
        <v>21</v>
      </c>
      <c r="F4" s="52" t="s">
        <v>22</v>
      </c>
    </row>
    <row r="5" spans="1:12" x14ac:dyDescent="0.3">
      <c r="G5">
        <v>620.27960199999995</v>
      </c>
      <c r="H5" s="109" t="s">
        <v>3</v>
      </c>
      <c r="I5" t="s">
        <v>77</v>
      </c>
      <c r="J5" t="s">
        <v>78</v>
      </c>
      <c r="K5" t="s">
        <v>79</v>
      </c>
      <c r="L5" t="s">
        <v>80</v>
      </c>
    </row>
    <row r="6" spans="1:12" x14ac:dyDescent="0.3">
      <c r="G6">
        <v>0</v>
      </c>
      <c r="H6" s="107" t="s">
        <v>81</v>
      </c>
      <c r="I6" s="108"/>
      <c r="J6" s="108"/>
      <c r="K6" s="108"/>
      <c r="L6" s="108"/>
    </row>
    <row r="7" spans="1:12" x14ac:dyDescent="0.3">
      <c r="G7">
        <v>0.976047</v>
      </c>
      <c r="H7" s="107" t="s">
        <v>82</v>
      </c>
      <c r="I7" s="108"/>
      <c r="J7" s="108"/>
      <c r="K7" s="108"/>
      <c r="L7" s="108"/>
    </row>
    <row r="8" spans="1:12" x14ac:dyDescent="0.3">
      <c r="G8">
        <v>0</v>
      </c>
    </row>
    <row r="9" spans="1:12" x14ac:dyDescent="0.3">
      <c r="G9">
        <v>0</v>
      </c>
    </row>
    <row r="10" spans="1:12" x14ac:dyDescent="0.3">
      <c r="G10">
        <v>0</v>
      </c>
    </row>
    <row r="11" spans="1:12" x14ac:dyDescent="0.3">
      <c r="G11">
        <v>154.96301199999999</v>
      </c>
    </row>
    <row r="12" spans="1:12" x14ac:dyDescent="0.3">
      <c r="G12">
        <v>2375.9250400000001</v>
      </c>
    </row>
    <row r="13" spans="1:12" x14ac:dyDescent="0.3">
      <c r="G13">
        <v>0</v>
      </c>
    </row>
    <row r="14" spans="1:12" x14ac:dyDescent="0.3">
      <c r="G14">
        <v>60.149023999999997</v>
      </c>
    </row>
    <row r="15" spans="1:12" x14ac:dyDescent="0.3">
      <c r="G15">
        <v>0</v>
      </c>
    </row>
    <row r="16" spans="1:12" x14ac:dyDescent="0.3">
      <c r="G16">
        <v>25.419955999999999</v>
      </c>
      <c r="H16" s="109" t="s">
        <v>83</v>
      </c>
      <c r="I16" t="s">
        <v>77</v>
      </c>
      <c r="J16" t="s">
        <v>78</v>
      </c>
      <c r="K16" t="s">
        <v>79</v>
      </c>
      <c r="L16" t="s">
        <v>80</v>
      </c>
    </row>
    <row r="17" spans="7:12" x14ac:dyDescent="0.3">
      <c r="G17">
        <v>0</v>
      </c>
      <c r="H17" s="107" t="s">
        <v>81</v>
      </c>
      <c r="I17" s="108"/>
      <c r="J17" s="108"/>
      <c r="K17" s="108"/>
      <c r="L17" s="108"/>
    </row>
    <row r="18" spans="7:12" x14ac:dyDescent="0.3">
      <c r="G18">
        <v>1467.42822</v>
      </c>
      <c r="H18" s="107" t="s">
        <v>82</v>
      </c>
      <c r="I18" s="108"/>
      <c r="J18" s="108"/>
      <c r="K18" s="108"/>
      <c r="L18" s="108"/>
    </row>
    <row r="19" spans="7:12" x14ac:dyDescent="0.3">
      <c r="G19">
        <v>725.54083200000002</v>
      </c>
    </row>
    <row r="20" spans="7:12" x14ac:dyDescent="0.3">
      <c r="G20">
        <v>0</v>
      </c>
    </row>
    <row r="21" spans="7:12" x14ac:dyDescent="0.3">
      <c r="G21">
        <v>4.5000000000000003E-5</v>
      </c>
    </row>
    <row r="22" spans="7:12" x14ac:dyDescent="0.3">
      <c r="G22">
        <v>842.27514599999995</v>
      </c>
    </row>
    <row r="23" spans="7:12" x14ac:dyDescent="0.3">
      <c r="G23">
        <v>0</v>
      </c>
    </row>
    <row r="24" spans="7:12" x14ac:dyDescent="0.3">
      <c r="G24">
        <v>0</v>
      </c>
    </row>
    <row r="25" spans="7:12" x14ac:dyDescent="0.3">
      <c r="G25">
        <v>812.42346099999997</v>
      </c>
    </row>
    <row r="26" spans="7:12" x14ac:dyDescent="0.3">
      <c r="G26">
        <v>2023.1881100000001</v>
      </c>
    </row>
    <row r="27" spans="7:12" x14ac:dyDescent="0.3">
      <c r="G27">
        <v>0</v>
      </c>
    </row>
    <row r="28" spans="7:12" x14ac:dyDescent="0.3">
      <c r="G28">
        <v>56.154758000000001</v>
      </c>
    </row>
    <row r="29" spans="7:12" x14ac:dyDescent="0.3">
      <c r="G29">
        <v>218.415344</v>
      </c>
    </row>
    <row r="30" spans="7:12" x14ac:dyDescent="0.3">
      <c r="G30">
        <v>408.13476500000002</v>
      </c>
    </row>
    <row r="31" spans="7:12" x14ac:dyDescent="0.3">
      <c r="G31">
        <v>0</v>
      </c>
    </row>
    <row r="32" spans="7:12" x14ac:dyDescent="0.3">
      <c r="G32">
        <v>135.15162599999999</v>
      </c>
    </row>
    <row r="33" spans="7:7" x14ac:dyDescent="0.3">
      <c r="G33">
        <v>71.193945999999997</v>
      </c>
    </row>
    <row r="34" spans="7:7" x14ac:dyDescent="0.3">
      <c r="G34">
        <v>0</v>
      </c>
    </row>
    <row r="35" spans="7:7" x14ac:dyDescent="0.3">
      <c r="G35">
        <v>2.4238680000000001</v>
      </c>
    </row>
    <row r="36" spans="7:7" x14ac:dyDescent="0.3">
      <c r="G36">
        <v>52.047679000000002</v>
      </c>
    </row>
    <row r="37" spans="7:7" x14ac:dyDescent="0.3">
      <c r="G37">
        <v>0</v>
      </c>
    </row>
    <row r="38" spans="7:7" x14ac:dyDescent="0.3">
      <c r="G38">
        <v>0</v>
      </c>
    </row>
    <row r="39" spans="7:7" x14ac:dyDescent="0.3">
      <c r="G39">
        <v>170.69813500000001</v>
      </c>
    </row>
    <row r="40" spans="7:7" x14ac:dyDescent="0.3">
      <c r="G40">
        <v>153.53805500000001</v>
      </c>
    </row>
    <row r="41" spans="7:7" x14ac:dyDescent="0.3">
      <c r="G41">
        <v>0</v>
      </c>
    </row>
    <row r="42" spans="7:7" x14ac:dyDescent="0.3">
      <c r="G42">
        <v>19.469429000000002</v>
      </c>
    </row>
    <row r="43" spans="7:7" x14ac:dyDescent="0.3">
      <c r="G43">
        <v>116.181427</v>
      </c>
    </row>
    <row r="44" spans="7:7" x14ac:dyDescent="0.3">
      <c r="G44">
        <v>0</v>
      </c>
    </row>
    <row r="45" spans="7:7" x14ac:dyDescent="0.3">
      <c r="G45">
        <v>0</v>
      </c>
    </row>
    <row r="46" spans="7:7" x14ac:dyDescent="0.3">
      <c r="G46">
        <v>169.407287</v>
      </c>
    </row>
    <row r="47" spans="7:7" x14ac:dyDescent="0.3">
      <c r="G47">
        <v>624.70159899999999</v>
      </c>
    </row>
    <row r="48" spans="7:7" x14ac:dyDescent="0.3">
      <c r="G48">
        <v>0</v>
      </c>
    </row>
    <row r="49" spans="7:7" x14ac:dyDescent="0.3">
      <c r="G49">
        <v>65.547256000000004</v>
      </c>
    </row>
    <row r="50" spans="7:7" x14ac:dyDescent="0.3">
      <c r="G50">
        <v>767.49548300000004</v>
      </c>
    </row>
    <row r="51" spans="7:7" x14ac:dyDescent="0.3">
      <c r="G51">
        <v>464.33813400000003</v>
      </c>
    </row>
    <row r="52" spans="7:7" x14ac:dyDescent="0.3">
      <c r="G52">
        <v>0</v>
      </c>
    </row>
    <row r="53" spans="7:7" x14ac:dyDescent="0.3">
      <c r="G53">
        <v>1020.06359</v>
      </c>
    </row>
    <row r="54" spans="7:7" x14ac:dyDescent="0.3">
      <c r="G54">
        <v>84.051101000000003</v>
      </c>
    </row>
    <row r="55" spans="7:7" x14ac:dyDescent="0.3">
      <c r="G55">
        <v>0</v>
      </c>
    </row>
    <row r="56" spans="7:7" x14ac:dyDescent="0.3">
      <c r="G56">
        <v>6.6936859999999996</v>
      </c>
    </row>
    <row r="57" spans="7:7" x14ac:dyDescent="0.3">
      <c r="G57">
        <v>336.294647</v>
      </c>
    </row>
    <row r="58" spans="7:7" x14ac:dyDescent="0.3">
      <c r="G58">
        <v>0</v>
      </c>
    </row>
    <row r="59" spans="7:7" x14ac:dyDescent="0.3">
      <c r="G59">
        <v>0</v>
      </c>
    </row>
    <row r="60" spans="7:7" x14ac:dyDescent="0.3">
      <c r="G60">
        <v>635.29540999999995</v>
      </c>
    </row>
    <row r="61" spans="7:7" x14ac:dyDescent="0.3">
      <c r="G61">
        <v>1484.8198199999999</v>
      </c>
    </row>
    <row r="62" spans="7:7" x14ac:dyDescent="0.3">
      <c r="G62">
        <v>0</v>
      </c>
    </row>
    <row r="63" spans="7:7" x14ac:dyDescent="0.3">
      <c r="G63">
        <v>111.90098500000001</v>
      </c>
    </row>
    <row r="64" spans="7:7" x14ac:dyDescent="0.3">
      <c r="G64">
        <v>322.76669299999998</v>
      </c>
    </row>
    <row r="65" spans="7:7" x14ac:dyDescent="0.3">
      <c r="G65">
        <v>794.69958399999996</v>
      </c>
    </row>
    <row r="66" spans="7:7" x14ac:dyDescent="0.3">
      <c r="G66">
        <v>0</v>
      </c>
    </row>
    <row r="67" spans="7:7" x14ac:dyDescent="0.3">
      <c r="G67">
        <v>518.73059000000001</v>
      </c>
    </row>
    <row r="68" spans="7:7" x14ac:dyDescent="0.3">
      <c r="G68">
        <v>361.44726500000002</v>
      </c>
    </row>
    <row r="69" spans="7:7" x14ac:dyDescent="0.3">
      <c r="G69">
        <v>0</v>
      </c>
    </row>
    <row r="70" spans="7:7" x14ac:dyDescent="0.3">
      <c r="G70">
        <v>0</v>
      </c>
    </row>
    <row r="71" spans="7:7" x14ac:dyDescent="0.3">
      <c r="G71">
        <v>0</v>
      </c>
    </row>
    <row r="72" spans="7:7" x14ac:dyDescent="0.3">
      <c r="G72">
        <v>386.597106</v>
      </c>
    </row>
    <row r="73" spans="7:7" x14ac:dyDescent="0.3">
      <c r="G73">
        <v>0</v>
      </c>
    </row>
    <row r="74" spans="7:7" x14ac:dyDescent="0.3">
      <c r="G74">
        <v>0</v>
      </c>
    </row>
    <row r="75" spans="7:7" x14ac:dyDescent="0.3">
      <c r="G75">
        <v>1384.7161799999999</v>
      </c>
    </row>
    <row r="76" spans="7:7" x14ac:dyDescent="0.3">
      <c r="G76">
        <v>0</v>
      </c>
    </row>
    <row r="77" spans="7:7" x14ac:dyDescent="0.3">
      <c r="G77">
        <v>0.79268799999999995</v>
      </c>
    </row>
    <row r="78" spans="7:7" x14ac:dyDescent="0.3">
      <c r="G78">
        <v>0</v>
      </c>
    </row>
    <row r="79" spans="7:7" x14ac:dyDescent="0.3">
      <c r="G79">
        <v>0</v>
      </c>
    </row>
    <row r="80" spans="7:7" x14ac:dyDescent="0.3">
      <c r="G80">
        <v>0</v>
      </c>
    </row>
    <row r="81" spans="7:7" x14ac:dyDescent="0.3">
      <c r="G81">
        <v>220.92356799999999</v>
      </c>
    </row>
    <row r="82" spans="7:7" x14ac:dyDescent="0.3">
      <c r="G82">
        <v>982.21826099999998</v>
      </c>
    </row>
    <row r="83" spans="7:7" x14ac:dyDescent="0.3">
      <c r="G83">
        <v>111.178962</v>
      </c>
    </row>
    <row r="84" spans="7:7" x14ac:dyDescent="0.3">
      <c r="G84">
        <v>39.616087999999998</v>
      </c>
    </row>
    <row r="85" spans="7:7" x14ac:dyDescent="0.3">
      <c r="G85">
        <v>1773.04675</v>
      </c>
    </row>
    <row r="86" spans="7:7" x14ac:dyDescent="0.3">
      <c r="G86">
        <v>296.59020900000002</v>
      </c>
    </row>
    <row r="87" spans="7:7" x14ac:dyDescent="0.3">
      <c r="G87">
        <v>0</v>
      </c>
    </row>
    <row r="88" spans="7:7" x14ac:dyDescent="0.3">
      <c r="G88">
        <v>1141.41345</v>
      </c>
    </row>
    <row r="89" spans="7:7" x14ac:dyDescent="0.3">
      <c r="G89">
        <v>588.82434000000001</v>
      </c>
    </row>
    <row r="90" spans="7:7" x14ac:dyDescent="0.3">
      <c r="G90">
        <v>0</v>
      </c>
    </row>
    <row r="91" spans="7:7" x14ac:dyDescent="0.3">
      <c r="G91">
        <v>19.268087000000001</v>
      </c>
    </row>
    <row r="92" spans="7:7" x14ac:dyDescent="0.3">
      <c r="G92">
        <v>770.71606399999996</v>
      </c>
    </row>
    <row r="93" spans="7:7" x14ac:dyDescent="0.3">
      <c r="G93">
        <v>144.42782500000001</v>
      </c>
    </row>
    <row r="94" spans="7:7" x14ac:dyDescent="0.3">
      <c r="G94">
        <v>3.9006980000000002</v>
      </c>
    </row>
    <row r="95" spans="7:7" x14ac:dyDescent="0.3">
      <c r="G95">
        <v>828.44555600000001</v>
      </c>
    </row>
    <row r="96" spans="7:7" x14ac:dyDescent="0.3">
      <c r="G96">
        <v>937.54229699999996</v>
      </c>
    </row>
    <row r="97" spans="7:7" x14ac:dyDescent="0.3">
      <c r="G97">
        <v>0</v>
      </c>
    </row>
    <row r="98" spans="7:7" x14ac:dyDescent="0.3">
      <c r="G98">
        <v>47.671230000000001</v>
      </c>
    </row>
    <row r="99" spans="7:7" x14ac:dyDescent="0.3">
      <c r="G99">
        <v>76.013778000000002</v>
      </c>
    </row>
    <row r="100" spans="7:7" x14ac:dyDescent="0.3">
      <c r="G100">
        <v>0</v>
      </c>
    </row>
    <row r="101" spans="7:7" x14ac:dyDescent="0.3">
      <c r="G101">
        <v>34.645716999999998</v>
      </c>
    </row>
    <row r="102" spans="7:7" x14ac:dyDescent="0.3">
      <c r="G102">
        <v>0</v>
      </c>
    </row>
    <row r="103" spans="7:7" x14ac:dyDescent="0.3">
      <c r="G103">
        <v>1090.2197200000001</v>
      </c>
    </row>
    <row r="104" spans="7:7" x14ac:dyDescent="0.3">
      <c r="G104">
        <v>0</v>
      </c>
    </row>
    <row r="105" spans="7:7" x14ac:dyDescent="0.3">
      <c r="G105">
        <v>114.828987</v>
      </c>
    </row>
    <row r="106" spans="7:7" x14ac:dyDescent="0.3">
      <c r="G106">
        <v>517.004638</v>
      </c>
    </row>
    <row r="107" spans="7:7" x14ac:dyDescent="0.3">
      <c r="G107">
        <v>139.85021900000001</v>
      </c>
    </row>
    <row r="108" spans="7:7" x14ac:dyDescent="0.3">
      <c r="G108">
        <v>0</v>
      </c>
    </row>
    <row r="109" spans="7:7" x14ac:dyDescent="0.3">
      <c r="G109">
        <v>810.98211600000002</v>
      </c>
    </row>
    <row r="110" spans="7:7" x14ac:dyDescent="0.3">
      <c r="G110">
        <v>2669.9789999999998</v>
      </c>
    </row>
    <row r="111" spans="7:7" x14ac:dyDescent="0.3">
      <c r="G111">
        <v>79.515540999999999</v>
      </c>
    </row>
    <row r="112" spans="7:7" x14ac:dyDescent="0.3">
      <c r="G112">
        <v>39.013956999999998</v>
      </c>
    </row>
    <row r="113" spans="7:7" x14ac:dyDescent="0.3">
      <c r="G113">
        <v>0</v>
      </c>
    </row>
    <row r="114" spans="7:7" x14ac:dyDescent="0.3">
      <c r="G114">
        <v>0</v>
      </c>
    </row>
    <row r="115" spans="7:7" x14ac:dyDescent="0.3">
      <c r="G115">
        <v>4.316039</v>
      </c>
    </row>
    <row r="116" spans="7:7" x14ac:dyDescent="0.3">
      <c r="G116">
        <v>0</v>
      </c>
    </row>
    <row r="117" spans="7:7" x14ac:dyDescent="0.3">
      <c r="G117">
        <v>1454.91821</v>
      </c>
    </row>
    <row r="118" spans="7:7" x14ac:dyDescent="0.3">
      <c r="G118">
        <v>133.40827899999999</v>
      </c>
    </row>
    <row r="119" spans="7:7" x14ac:dyDescent="0.3">
      <c r="G119">
        <v>58.315479000000003</v>
      </c>
    </row>
    <row r="120" spans="7:7" x14ac:dyDescent="0.3">
      <c r="G120">
        <v>197.83526599999999</v>
      </c>
    </row>
    <row r="121" spans="7:7" x14ac:dyDescent="0.3">
      <c r="G121">
        <v>87.037993999999998</v>
      </c>
    </row>
    <row r="122" spans="7:7" x14ac:dyDescent="0.3">
      <c r="G122">
        <v>0</v>
      </c>
    </row>
    <row r="123" spans="7:7" x14ac:dyDescent="0.3">
      <c r="G123">
        <v>430.72412100000003</v>
      </c>
    </row>
    <row r="124" spans="7:7" x14ac:dyDescent="0.3">
      <c r="G124">
        <v>1199.98181</v>
      </c>
    </row>
    <row r="125" spans="7:7" x14ac:dyDescent="0.3">
      <c r="G125">
        <v>57.286216000000003</v>
      </c>
    </row>
    <row r="126" spans="7:7" x14ac:dyDescent="0.3">
      <c r="G126">
        <v>11.579876000000001</v>
      </c>
    </row>
    <row r="127" spans="7:7" x14ac:dyDescent="0.3">
      <c r="G127">
        <v>0</v>
      </c>
    </row>
    <row r="128" spans="7:7" x14ac:dyDescent="0.3">
      <c r="G128">
        <v>0</v>
      </c>
    </row>
    <row r="129" spans="7:7" x14ac:dyDescent="0.3">
      <c r="G129">
        <v>0</v>
      </c>
    </row>
    <row r="130" spans="7:7" x14ac:dyDescent="0.3">
      <c r="G130">
        <v>354.51171799999997</v>
      </c>
    </row>
    <row r="131" spans="7:7" x14ac:dyDescent="0.3">
      <c r="G131">
        <v>1752.5002400000001</v>
      </c>
    </row>
    <row r="132" spans="7:7" x14ac:dyDescent="0.3">
      <c r="G132">
        <v>0</v>
      </c>
    </row>
    <row r="133" spans="7:7" x14ac:dyDescent="0.3">
      <c r="G133">
        <v>0</v>
      </c>
    </row>
    <row r="134" spans="7:7" x14ac:dyDescent="0.3">
      <c r="G134">
        <v>269.45187299999998</v>
      </c>
    </row>
    <row r="135" spans="7:7" x14ac:dyDescent="0.3">
      <c r="G135">
        <v>566.55230700000004</v>
      </c>
    </row>
    <row r="136" spans="7:7" x14ac:dyDescent="0.3">
      <c r="G136">
        <v>0</v>
      </c>
    </row>
    <row r="137" spans="7:7" x14ac:dyDescent="0.3">
      <c r="G137">
        <v>0</v>
      </c>
    </row>
    <row r="138" spans="7:7" x14ac:dyDescent="0.3">
      <c r="G138">
        <v>115.088165</v>
      </c>
    </row>
    <row r="139" spans="7:7" x14ac:dyDescent="0.3">
      <c r="G139">
        <v>0</v>
      </c>
    </row>
    <row r="140" spans="7:7" x14ac:dyDescent="0.3">
      <c r="G140">
        <v>0</v>
      </c>
    </row>
    <row r="141" spans="7:7" x14ac:dyDescent="0.3">
      <c r="G141">
        <v>0</v>
      </c>
    </row>
    <row r="142" spans="7:7" x14ac:dyDescent="0.3">
      <c r="G142">
        <v>376.526184</v>
      </c>
    </row>
    <row r="143" spans="7:7" x14ac:dyDescent="0.3">
      <c r="G143">
        <v>0</v>
      </c>
    </row>
    <row r="144" spans="7:7" x14ac:dyDescent="0.3">
      <c r="G144">
        <v>0</v>
      </c>
    </row>
    <row r="145" spans="7:7" x14ac:dyDescent="0.3">
      <c r="G145">
        <v>1141.19201</v>
      </c>
    </row>
    <row r="146" spans="7:7" x14ac:dyDescent="0.3">
      <c r="G146">
        <v>0</v>
      </c>
    </row>
    <row r="147" spans="7:7" x14ac:dyDescent="0.3">
      <c r="G147">
        <v>1.882E-2</v>
      </c>
    </row>
    <row r="148" spans="7:7" x14ac:dyDescent="0.3">
      <c r="G148">
        <v>229.58738700000001</v>
      </c>
    </row>
    <row r="149" spans="7:7" x14ac:dyDescent="0.3">
      <c r="G149">
        <v>232.87239</v>
      </c>
    </row>
    <row r="150" spans="7:7" x14ac:dyDescent="0.3">
      <c r="G150">
        <v>0</v>
      </c>
    </row>
    <row r="151" spans="7:7" x14ac:dyDescent="0.3">
      <c r="G151">
        <v>201.364913</v>
      </c>
    </row>
    <row r="152" spans="7:7" x14ac:dyDescent="0.3">
      <c r="G152">
        <v>4915.48632</v>
      </c>
    </row>
    <row r="153" spans="7:7" x14ac:dyDescent="0.3">
      <c r="G153">
        <v>0</v>
      </c>
    </row>
    <row r="154" spans="7:7" x14ac:dyDescent="0.3">
      <c r="G154">
        <v>2.025331</v>
      </c>
    </row>
    <row r="155" spans="7:7" x14ac:dyDescent="0.3">
      <c r="G155">
        <v>0</v>
      </c>
    </row>
    <row r="156" spans="7:7" x14ac:dyDescent="0.3">
      <c r="G156">
        <v>0</v>
      </c>
    </row>
    <row r="157" spans="7:7" x14ac:dyDescent="0.3">
      <c r="G157">
        <v>0</v>
      </c>
    </row>
    <row r="158" spans="7:7" x14ac:dyDescent="0.3">
      <c r="G158">
        <v>528.0625</v>
      </c>
    </row>
    <row r="159" spans="7:7" x14ac:dyDescent="0.3">
      <c r="G159">
        <v>854.37475500000005</v>
      </c>
    </row>
    <row r="160" spans="7:7" x14ac:dyDescent="0.3">
      <c r="G160">
        <v>0</v>
      </c>
    </row>
    <row r="161" spans="7:7" x14ac:dyDescent="0.3">
      <c r="G161">
        <v>50.075496000000001</v>
      </c>
    </row>
    <row r="162" spans="7:7" x14ac:dyDescent="0.3">
      <c r="G162">
        <v>0</v>
      </c>
    </row>
    <row r="163" spans="7:7" x14ac:dyDescent="0.3">
      <c r="G163">
        <v>0</v>
      </c>
    </row>
    <row r="164" spans="7:7" x14ac:dyDescent="0.3">
      <c r="G164">
        <v>0</v>
      </c>
    </row>
    <row r="165" spans="7:7" x14ac:dyDescent="0.3">
      <c r="G165">
        <v>51.771545000000003</v>
      </c>
    </row>
    <row r="166" spans="7:7" x14ac:dyDescent="0.3">
      <c r="G166">
        <v>3074.0747000000001</v>
      </c>
    </row>
    <row r="167" spans="7:7" x14ac:dyDescent="0.3">
      <c r="G167">
        <v>0</v>
      </c>
    </row>
    <row r="168" spans="7:7" x14ac:dyDescent="0.3">
      <c r="G168">
        <v>58.979301</v>
      </c>
    </row>
    <row r="169" spans="7:7" x14ac:dyDescent="0.3">
      <c r="G169">
        <v>0</v>
      </c>
    </row>
    <row r="170" spans="7:7" x14ac:dyDescent="0.3">
      <c r="G170">
        <v>0</v>
      </c>
    </row>
    <row r="171" spans="7:7" x14ac:dyDescent="0.3">
      <c r="G171">
        <v>0</v>
      </c>
    </row>
    <row r="172" spans="7:7" x14ac:dyDescent="0.3">
      <c r="G172">
        <v>1112.14843</v>
      </c>
    </row>
    <row r="173" spans="7:7" x14ac:dyDescent="0.3">
      <c r="G173">
        <v>904.70641999999998</v>
      </c>
    </row>
    <row r="174" spans="7:7" x14ac:dyDescent="0.3">
      <c r="G174">
        <v>0</v>
      </c>
    </row>
    <row r="175" spans="7:7" x14ac:dyDescent="0.3">
      <c r="G175">
        <v>2.178267</v>
      </c>
    </row>
    <row r="176" spans="7:7" x14ac:dyDescent="0.3">
      <c r="G176">
        <v>0</v>
      </c>
    </row>
    <row r="177" spans="3:7" x14ac:dyDescent="0.3">
      <c r="G177">
        <v>0</v>
      </c>
    </row>
    <row r="178" spans="3:7" x14ac:dyDescent="0.3">
      <c r="G178">
        <v>0</v>
      </c>
    </row>
    <row r="179" spans="3:7" x14ac:dyDescent="0.3">
      <c r="G179">
        <v>80.857200000000006</v>
      </c>
    </row>
    <row r="180" spans="3:7" x14ac:dyDescent="0.3">
      <c r="G180">
        <v>204.14189099999999</v>
      </c>
    </row>
    <row r="181" spans="3:7" x14ac:dyDescent="0.3">
      <c r="G181">
        <v>0</v>
      </c>
    </row>
    <row r="182" spans="3:7" x14ac:dyDescent="0.3">
      <c r="G182">
        <v>0</v>
      </c>
    </row>
    <row r="183" spans="3:7" x14ac:dyDescent="0.3">
      <c r="G183">
        <v>332.08514400000001</v>
      </c>
    </row>
    <row r="184" spans="3:7" x14ac:dyDescent="0.3">
      <c r="G184">
        <v>0</v>
      </c>
    </row>
    <row r="185" spans="3:7" x14ac:dyDescent="0.3">
      <c r="C185" s="108"/>
      <c r="D185" s="108"/>
      <c r="E185" s="108"/>
      <c r="F185" s="108"/>
      <c r="G185">
        <v>0</v>
      </c>
    </row>
    <row r="186" spans="3:7" x14ac:dyDescent="0.3">
      <c r="C186" s="108"/>
      <c r="D186" s="108"/>
      <c r="E186" s="108"/>
      <c r="F186" s="108"/>
      <c r="G186">
        <v>0</v>
      </c>
    </row>
    <row r="187" spans="3:7" x14ac:dyDescent="0.3">
      <c r="C187" s="108"/>
      <c r="D187" s="108"/>
      <c r="E187" s="108"/>
      <c r="F187" s="108"/>
    </row>
    <row r="188" spans="3:7" x14ac:dyDescent="0.3">
      <c r="C188" s="108"/>
      <c r="D188" s="108"/>
      <c r="E188" s="108"/>
      <c r="F188" s="108"/>
    </row>
    <row r="189" spans="3:7" x14ac:dyDescent="0.3">
      <c r="C189" s="108"/>
      <c r="D189" s="108"/>
      <c r="E189" s="108"/>
      <c r="F189" s="108"/>
    </row>
    <row r="190" spans="3:7" x14ac:dyDescent="0.3">
      <c r="C190" s="108"/>
      <c r="D190" s="108"/>
      <c r="E190" s="108"/>
      <c r="F190" s="108"/>
    </row>
  </sheetData>
  <hyperlinks>
    <hyperlink ref="A1" location="'Table Of Contents'!A1" display="Return to ToC" xr:uid="{00000000-0004-0000-0F00-000000000000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/>
  <dimension ref="A1:L190"/>
  <sheetViews>
    <sheetView zoomScale="115" zoomScaleNormal="115" workbookViewId="0">
      <selection activeCell="B4" sqref="B4:F4"/>
    </sheetView>
  </sheetViews>
  <sheetFormatPr defaultRowHeight="14.4" x14ac:dyDescent="0.3"/>
  <cols>
    <col min="1" max="1" width="6.77734375" bestFit="1" customWidth="1"/>
    <col min="2" max="2" width="6" bestFit="1" customWidth="1"/>
    <col min="3" max="3" width="8.33203125" bestFit="1" customWidth="1"/>
    <col min="4" max="4" width="9" customWidth="1"/>
    <col min="5" max="5" width="9.21875" bestFit="1" customWidth="1"/>
    <col min="6" max="6" width="10.33203125" bestFit="1" customWidth="1"/>
    <col min="8" max="8" width="10.77734375" bestFit="1" customWidth="1"/>
    <col min="9" max="9" width="14.6640625" bestFit="1" customWidth="1"/>
    <col min="10" max="10" width="15.109375" bestFit="1" customWidth="1"/>
    <col min="11" max="11" width="15" bestFit="1" customWidth="1"/>
    <col min="12" max="12" width="16.33203125" bestFit="1" customWidth="1"/>
    <col min="13" max="14" width="11.77734375" bestFit="1" customWidth="1"/>
  </cols>
  <sheetData>
    <row r="1" spans="1:12" ht="27" thickBot="1" x14ac:dyDescent="0.35">
      <c r="A1" s="8" t="s">
        <v>2</v>
      </c>
    </row>
    <row r="4" spans="1:12" x14ac:dyDescent="0.3">
      <c r="A4" s="52" t="s">
        <v>74</v>
      </c>
      <c r="B4" s="52" t="s">
        <v>75</v>
      </c>
      <c r="C4" s="52" t="s">
        <v>76</v>
      </c>
      <c r="D4" s="52" t="s">
        <v>23</v>
      </c>
      <c r="E4" s="52" t="s">
        <v>21</v>
      </c>
      <c r="F4" s="52" t="s">
        <v>22</v>
      </c>
    </row>
    <row r="5" spans="1:12" x14ac:dyDescent="0.3">
      <c r="C5" s="108"/>
      <c r="D5" s="108"/>
      <c r="E5" s="108"/>
      <c r="F5" s="108"/>
      <c r="G5">
        <v>241.604309</v>
      </c>
      <c r="H5" s="109" t="s">
        <v>3</v>
      </c>
      <c r="I5" t="s">
        <v>77</v>
      </c>
      <c r="J5" t="s">
        <v>78</v>
      </c>
      <c r="K5" t="s">
        <v>79</v>
      </c>
      <c r="L5" t="s">
        <v>80</v>
      </c>
    </row>
    <row r="6" spans="1:12" x14ac:dyDescent="0.3">
      <c r="C6" s="108"/>
      <c r="D6" s="108"/>
      <c r="E6" s="108"/>
      <c r="F6" s="108"/>
      <c r="G6">
        <v>0</v>
      </c>
      <c r="H6" s="107" t="s">
        <v>81</v>
      </c>
      <c r="I6" s="108"/>
      <c r="J6" s="108"/>
      <c r="K6" s="108"/>
      <c r="L6" s="108"/>
    </row>
    <row r="7" spans="1:12" x14ac:dyDescent="0.3">
      <c r="C7" s="108"/>
      <c r="D7" s="108"/>
      <c r="E7" s="108"/>
      <c r="F7" s="108"/>
      <c r="G7">
        <v>0.962978</v>
      </c>
      <c r="H7" s="107" t="s">
        <v>82</v>
      </c>
      <c r="I7" s="108"/>
      <c r="J7" s="108"/>
      <c r="K7" s="108"/>
      <c r="L7" s="108"/>
    </row>
    <row r="8" spans="1:12" x14ac:dyDescent="0.3">
      <c r="C8" s="108"/>
      <c r="D8" s="108"/>
      <c r="E8" s="108"/>
      <c r="F8" s="108"/>
      <c r="G8">
        <v>0</v>
      </c>
    </row>
    <row r="9" spans="1:12" x14ac:dyDescent="0.3">
      <c r="C9" s="108"/>
      <c r="D9" s="108"/>
      <c r="E9" s="108"/>
      <c r="F9" s="108"/>
      <c r="G9">
        <v>0</v>
      </c>
    </row>
    <row r="10" spans="1:12" x14ac:dyDescent="0.3">
      <c r="C10" s="108"/>
      <c r="D10" s="108"/>
      <c r="E10" s="108"/>
      <c r="F10" s="108"/>
      <c r="G10">
        <v>0</v>
      </c>
    </row>
    <row r="11" spans="1:12" x14ac:dyDescent="0.3">
      <c r="C11" s="108"/>
      <c r="D11" s="108"/>
      <c r="E11" s="108"/>
      <c r="F11" s="108"/>
      <c r="G11">
        <v>114.640625</v>
      </c>
    </row>
    <row r="12" spans="1:12" x14ac:dyDescent="0.3">
      <c r="C12" s="108"/>
      <c r="D12" s="108"/>
      <c r="E12" s="108"/>
      <c r="F12" s="108"/>
      <c r="G12">
        <v>1011.30535</v>
      </c>
    </row>
    <row r="13" spans="1:12" x14ac:dyDescent="0.3">
      <c r="C13" s="108"/>
      <c r="D13" s="108"/>
      <c r="E13" s="108"/>
      <c r="F13" s="108"/>
      <c r="G13">
        <v>0</v>
      </c>
    </row>
    <row r="14" spans="1:12" x14ac:dyDescent="0.3">
      <c r="C14" s="108"/>
      <c r="D14" s="108"/>
      <c r="E14" s="108"/>
      <c r="F14" s="108"/>
      <c r="G14">
        <v>62.48854</v>
      </c>
    </row>
    <row r="15" spans="1:12" x14ac:dyDescent="0.3">
      <c r="C15" s="108"/>
      <c r="D15" s="108"/>
      <c r="E15" s="108"/>
      <c r="F15" s="108"/>
      <c r="G15">
        <v>0</v>
      </c>
    </row>
    <row r="16" spans="1:12" x14ac:dyDescent="0.3">
      <c r="C16" s="108"/>
      <c r="D16" s="108"/>
      <c r="E16" s="108"/>
      <c r="F16" s="108"/>
      <c r="G16">
        <v>23.208309</v>
      </c>
      <c r="H16" s="109" t="s">
        <v>83</v>
      </c>
      <c r="I16" t="s">
        <v>77</v>
      </c>
      <c r="J16" t="s">
        <v>78</v>
      </c>
      <c r="K16" t="s">
        <v>79</v>
      </c>
      <c r="L16" t="s">
        <v>80</v>
      </c>
    </row>
    <row r="17" spans="3:12" x14ac:dyDescent="0.3">
      <c r="C17" s="108"/>
      <c r="D17" s="108"/>
      <c r="E17" s="108"/>
      <c r="F17" s="108"/>
      <c r="G17">
        <v>0</v>
      </c>
      <c r="H17" s="107" t="s">
        <v>81</v>
      </c>
      <c r="I17" s="108"/>
      <c r="J17" s="108"/>
      <c r="K17" s="108"/>
      <c r="L17" s="108"/>
    </row>
    <row r="18" spans="3:12" x14ac:dyDescent="0.3">
      <c r="C18" s="108"/>
      <c r="D18" s="108"/>
      <c r="E18" s="108"/>
      <c r="F18" s="108"/>
      <c r="G18">
        <v>1065.8778</v>
      </c>
      <c r="H18" s="107" t="s">
        <v>82</v>
      </c>
      <c r="I18" s="108"/>
      <c r="J18" s="108"/>
      <c r="K18" s="108"/>
      <c r="L18" s="108"/>
    </row>
    <row r="19" spans="3:12" x14ac:dyDescent="0.3">
      <c r="C19" s="108"/>
      <c r="D19" s="108"/>
      <c r="E19" s="108"/>
      <c r="F19" s="108"/>
      <c r="G19">
        <v>344.74234000000001</v>
      </c>
    </row>
    <row r="20" spans="3:12" x14ac:dyDescent="0.3">
      <c r="C20" s="108"/>
      <c r="D20" s="108"/>
      <c r="E20" s="108"/>
      <c r="F20" s="108"/>
      <c r="G20">
        <v>0</v>
      </c>
    </row>
    <row r="21" spans="3:12" x14ac:dyDescent="0.3">
      <c r="C21" s="108"/>
      <c r="D21" s="108"/>
      <c r="E21" s="108"/>
      <c r="F21" s="108"/>
      <c r="G21">
        <v>1.0380000000000001E-3</v>
      </c>
    </row>
    <row r="22" spans="3:12" x14ac:dyDescent="0.3">
      <c r="C22" s="108"/>
      <c r="D22" s="108"/>
      <c r="E22" s="108"/>
      <c r="F22" s="108"/>
      <c r="G22">
        <v>583.89849800000002</v>
      </c>
    </row>
    <row r="23" spans="3:12" x14ac:dyDescent="0.3">
      <c r="C23" s="108"/>
      <c r="D23" s="108"/>
      <c r="E23" s="108"/>
      <c r="F23" s="108"/>
      <c r="G23">
        <v>0</v>
      </c>
    </row>
    <row r="24" spans="3:12" x14ac:dyDescent="0.3">
      <c r="C24" s="108"/>
      <c r="D24" s="108"/>
      <c r="E24" s="108"/>
      <c r="F24" s="108"/>
      <c r="G24">
        <v>0</v>
      </c>
    </row>
    <row r="25" spans="3:12" x14ac:dyDescent="0.3">
      <c r="C25" s="108"/>
      <c r="D25" s="108"/>
      <c r="E25" s="108"/>
      <c r="F25" s="108"/>
      <c r="G25">
        <v>611.52093500000001</v>
      </c>
    </row>
    <row r="26" spans="3:12" x14ac:dyDescent="0.3">
      <c r="C26" s="108"/>
      <c r="D26" s="108"/>
      <c r="E26" s="108"/>
      <c r="F26" s="108"/>
      <c r="G26">
        <v>684.80895899999996</v>
      </c>
    </row>
    <row r="27" spans="3:12" x14ac:dyDescent="0.3">
      <c r="C27" s="108"/>
      <c r="D27" s="108"/>
      <c r="E27" s="108"/>
      <c r="F27" s="108"/>
      <c r="G27">
        <v>0</v>
      </c>
    </row>
    <row r="28" spans="3:12" x14ac:dyDescent="0.3">
      <c r="C28" s="108"/>
      <c r="D28" s="108"/>
      <c r="E28" s="108"/>
      <c r="F28" s="108"/>
      <c r="G28">
        <v>140.02354399999999</v>
      </c>
    </row>
    <row r="29" spans="3:12" x14ac:dyDescent="0.3">
      <c r="C29" s="108"/>
      <c r="D29" s="108"/>
      <c r="E29" s="108"/>
      <c r="F29" s="108"/>
      <c r="G29">
        <v>186.85385099999999</v>
      </c>
    </row>
    <row r="30" spans="3:12" x14ac:dyDescent="0.3">
      <c r="C30" s="108"/>
      <c r="D30" s="108"/>
      <c r="E30" s="108"/>
      <c r="F30" s="108"/>
      <c r="G30">
        <v>405.84292599999998</v>
      </c>
    </row>
    <row r="31" spans="3:12" x14ac:dyDescent="0.3">
      <c r="C31" s="108"/>
      <c r="D31" s="108"/>
      <c r="E31" s="108"/>
      <c r="F31" s="108"/>
      <c r="G31">
        <v>0</v>
      </c>
    </row>
    <row r="32" spans="3:12" x14ac:dyDescent="0.3">
      <c r="C32" s="108"/>
      <c r="D32" s="108"/>
      <c r="E32" s="108"/>
      <c r="F32" s="108"/>
      <c r="G32">
        <v>96.567214000000007</v>
      </c>
    </row>
    <row r="33" spans="3:7" x14ac:dyDescent="0.3">
      <c r="C33" s="108"/>
      <c r="D33" s="108"/>
      <c r="E33" s="108"/>
      <c r="F33" s="108"/>
      <c r="G33">
        <v>60.874237000000001</v>
      </c>
    </row>
    <row r="34" spans="3:7" x14ac:dyDescent="0.3">
      <c r="C34" s="108"/>
      <c r="D34" s="108"/>
      <c r="E34" s="108"/>
      <c r="F34" s="108"/>
      <c r="G34">
        <v>0</v>
      </c>
    </row>
    <row r="35" spans="3:7" x14ac:dyDescent="0.3">
      <c r="C35" s="108"/>
      <c r="D35" s="108"/>
      <c r="E35" s="108"/>
      <c r="F35" s="108"/>
      <c r="G35">
        <v>2.680574</v>
      </c>
    </row>
    <row r="36" spans="3:7" x14ac:dyDescent="0.3">
      <c r="C36" s="108"/>
      <c r="D36" s="108"/>
      <c r="E36" s="108"/>
      <c r="F36" s="108"/>
      <c r="G36">
        <v>34.510306999999997</v>
      </c>
    </row>
    <row r="37" spans="3:7" x14ac:dyDescent="0.3">
      <c r="C37" s="108"/>
      <c r="D37" s="108"/>
      <c r="E37" s="108"/>
      <c r="F37" s="108"/>
      <c r="G37">
        <v>0</v>
      </c>
    </row>
    <row r="38" spans="3:7" x14ac:dyDescent="0.3">
      <c r="C38" s="108"/>
      <c r="D38" s="108"/>
      <c r="E38" s="108"/>
      <c r="F38" s="108"/>
      <c r="G38">
        <v>0</v>
      </c>
    </row>
    <row r="39" spans="3:7" x14ac:dyDescent="0.3">
      <c r="C39" s="108"/>
      <c r="D39" s="108"/>
      <c r="E39" s="108"/>
      <c r="F39" s="108"/>
      <c r="G39">
        <v>107.57324199999999</v>
      </c>
    </row>
    <row r="40" spans="3:7" x14ac:dyDescent="0.3">
      <c r="C40" s="108"/>
      <c r="D40" s="108"/>
      <c r="E40" s="108"/>
      <c r="F40" s="108"/>
      <c r="G40">
        <v>113.994354</v>
      </c>
    </row>
    <row r="41" spans="3:7" x14ac:dyDescent="0.3">
      <c r="C41" s="108"/>
      <c r="D41" s="108"/>
      <c r="E41" s="108"/>
      <c r="F41" s="108"/>
      <c r="G41">
        <v>0</v>
      </c>
    </row>
    <row r="42" spans="3:7" x14ac:dyDescent="0.3">
      <c r="C42" s="108"/>
      <c r="D42" s="108"/>
      <c r="E42" s="108"/>
      <c r="F42" s="108"/>
      <c r="G42">
        <v>31.72709</v>
      </c>
    </row>
    <row r="43" spans="3:7" x14ac:dyDescent="0.3">
      <c r="C43" s="108"/>
      <c r="D43" s="108"/>
      <c r="E43" s="108"/>
      <c r="F43" s="108"/>
      <c r="G43">
        <v>57.784911999999998</v>
      </c>
    </row>
    <row r="44" spans="3:7" x14ac:dyDescent="0.3">
      <c r="C44" s="108"/>
      <c r="D44" s="108"/>
      <c r="E44" s="108"/>
      <c r="F44" s="108"/>
      <c r="G44">
        <v>0</v>
      </c>
    </row>
    <row r="45" spans="3:7" x14ac:dyDescent="0.3">
      <c r="C45" s="108"/>
      <c r="D45" s="108"/>
      <c r="E45" s="108"/>
      <c r="F45" s="108"/>
      <c r="G45">
        <v>0</v>
      </c>
    </row>
    <row r="46" spans="3:7" x14ac:dyDescent="0.3">
      <c r="C46" s="108"/>
      <c r="D46" s="108"/>
      <c r="E46" s="108"/>
      <c r="F46" s="108"/>
      <c r="G46">
        <v>104.434478</v>
      </c>
    </row>
    <row r="47" spans="3:7" x14ac:dyDescent="0.3">
      <c r="C47" s="108"/>
      <c r="D47" s="108"/>
      <c r="E47" s="108"/>
      <c r="F47" s="108"/>
      <c r="G47">
        <v>424.27194200000002</v>
      </c>
    </row>
    <row r="48" spans="3:7" x14ac:dyDescent="0.3">
      <c r="C48" s="108"/>
      <c r="D48" s="108"/>
      <c r="E48" s="108"/>
      <c r="F48" s="108"/>
      <c r="G48">
        <v>0</v>
      </c>
    </row>
    <row r="49" spans="3:7" x14ac:dyDescent="0.3">
      <c r="C49" s="108"/>
      <c r="D49" s="108"/>
      <c r="E49" s="108"/>
      <c r="F49" s="108"/>
      <c r="G49">
        <v>130.68450899999999</v>
      </c>
    </row>
    <row r="50" spans="3:7" x14ac:dyDescent="0.3">
      <c r="C50" s="108"/>
      <c r="D50" s="108"/>
      <c r="E50" s="108"/>
      <c r="F50" s="108"/>
      <c r="G50">
        <v>305.722351</v>
      </c>
    </row>
    <row r="51" spans="3:7" x14ac:dyDescent="0.3">
      <c r="C51" s="108"/>
      <c r="D51" s="108"/>
      <c r="E51" s="108"/>
      <c r="F51" s="108"/>
      <c r="G51">
        <v>319.87582300000003</v>
      </c>
    </row>
    <row r="52" spans="3:7" x14ac:dyDescent="0.3">
      <c r="C52" s="108"/>
      <c r="D52" s="108"/>
      <c r="E52" s="108"/>
      <c r="F52" s="108"/>
      <c r="G52">
        <v>0</v>
      </c>
    </row>
    <row r="53" spans="3:7" x14ac:dyDescent="0.3">
      <c r="C53" s="108"/>
      <c r="D53" s="108"/>
      <c r="E53" s="108"/>
      <c r="F53" s="108"/>
      <c r="G53">
        <v>604.93517999999995</v>
      </c>
    </row>
    <row r="54" spans="3:7" x14ac:dyDescent="0.3">
      <c r="C54" s="108"/>
      <c r="D54" s="108"/>
      <c r="E54" s="108"/>
      <c r="F54" s="108"/>
      <c r="G54">
        <v>70.489645999999993</v>
      </c>
    </row>
    <row r="55" spans="3:7" x14ac:dyDescent="0.3">
      <c r="C55" s="108"/>
      <c r="D55" s="108"/>
      <c r="E55" s="108"/>
      <c r="F55" s="108"/>
      <c r="G55">
        <v>0</v>
      </c>
    </row>
    <row r="56" spans="3:7" x14ac:dyDescent="0.3">
      <c r="C56" s="108"/>
      <c r="D56" s="108"/>
      <c r="E56" s="108"/>
      <c r="F56" s="108"/>
      <c r="G56">
        <v>14.716347000000001</v>
      </c>
    </row>
    <row r="57" spans="3:7" x14ac:dyDescent="0.3">
      <c r="C57" s="108"/>
      <c r="D57" s="108"/>
      <c r="E57" s="108"/>
      <c r="F57" s="108"/>
      <c r="G57">
        <v>166.916336</v>
      </c>
    </row>
    <row r="58" spans="3:7" x14ac:dyDescent="0.3">
      <c r="C58" s="108"/>
      <c r="D58" s="108"/>
      <c r="E58" s="108"/>
      <c r="F58" s="108"/>
      <c r="G58">
        <v>0</v>
      </c>
    </row>
    <row r="59" spans="3:7" x14ac:dyDescent="0.3">
      <c r="C59" s="108"/>
      <c r="D59" s="108"/>
      <c r="E59" s="108"/>
      <c r="F59" s="108"/>
      <c r="G59">
        <v>0</v>
      </c>
    </row>
    <row r="60" spans="3:7" x14ac:dyDescent="0.3">
      <c r="C60" s="108"/>
      <c r="D60" s="108"/>
      <c r="E60" s="108"/>
      <c r="F60" s="108"/>
      <c r="G60">
        <v>355.66693099999998</v>
      </c>
    </row>
    <row r="61" spans="3:7" x14ac:dyDescent="0.3">
      <c r="C61" s="108"/>
      <c r="D61" s="108"/>
      <c r="E61" s="108"/>
      <c r="F61" s="108"/>
      <c r="G61">
        <v>922.43933100000004</v>
      </c>
    </row>
    <row r="62" spans="3:7" x14ac:dyDescent="0.3">
      <c r="C62" s="108"/>
      <c r="D62" s="108"/>
      <c r="E62" s="108"/>
      <c r="F62" s="108"/>
      <c r="G62">
        <v>0</v>
      </c>
    </row>
    <row r="63" spans="3:7" x14ac:dyDescent="0.3">
      <c r="C63" s="108"/>
      <c r="D63" s="108"/>
      <c r="E63" s="108"/>
      <c r="F63" s="108"/>
      <c r="G63">
        <v>373.78363000000002</v>
      </c>
    </row>
    <row r="64" spans="3:7" x14ac:dyDescent="0.3">
      <c r="C64" s="108"/>
      <c r="D64" s="108"/>
      <c r="E64" s="108"/>
      <c r="F64" s="108"/>
      <c r="G64">
        <v>149.847183</v>
      </c>
    </row>
    <row r="65" spans="3:7" x14ac:dyDescent="0.3">
      <c r="C65" s="108"/>
      <c r="D65" s="108"/>
      <c r="E65" s="108"/>
      <c r="F65" s="108"/>
      <c r="G65">
        <v>638.09558100000004</v>
      </c>
    </row>
    <row r="66" spans="3:7" x14ac:dyDescent="0.3">
      <c r="C66" s="108"/>
      <c r="D66" s="108"/>
      <c r="E66" s="108"/>
      <c r="F66" s="108"/>
      <c r="G66">
        <v>0</v>
      </c>
    </row>
    <row r="67" spans="3:7" x14ac:dyDescent="0.3">
      <c r="C67" s="108"/>
      <c r="D67" s="108"/>
      <c r="E67" s="108"/>
      <c r="F67" s="108"/>
      <c r="G67">
        <v>281.73922700000003</v>
      </c>
    </row>
    <row r="68" spans="3:7" x14ac:dyDescent="0.3">
      <c r="C68" s="108"/>
      <c r="D68" s="108"/>
      <c r="E68" s="108"/>
      <c r="F68" s="108"/>
      <c r="G68">
        <v>129.08802700000001</v>
      </c>
    </row>
    <row r="69" spans="3:7" x14ac:dyDescent="0.3">
      <c r="C69" s="108"/>
      <c r="D69" s="108"/>
      <c r="E69" s="108"/>
      <c r="F69" s="108"/>
      <c r="G69">
        <v>0</v>
      </c>
    </row>
    <row r="70" spans="3:7" x14ac:dyDescent="0.3">
      <c r="C70" s="108"/>
      <c r="D70" s="108"/>
      <c r="E70" s="108"/>
      <c r="F70" s="108"/>
      <c r="G70">
        <v>0</v>
      </c>
    </row>
    <row r="71" spans="3:7" x14ac:dyDescent="0.3">
      <c r="C71" s="108"/>
      <c r="D71" s="108"/>
      <c r="E71" s="108"/>
      <c r="F71" s="108"/>
      <c r="G71">
        <v>0</v>
      </c>
    </row>
    <row r="72" spans="3:7" x14ac:dyDescent="0.3">
      <c r="C72" s="108"/>
      <c r="D72" s="108"/>
      <c r="E72" s="108"/>
      <c r="F72" s="108"/>
      <c r="G72">
        <v>402.33029099999999</v>
      </c>
    </row>
    <row r="73" spans="3:7" x14ac:dyDescent="0.3">
      <c r="C73" s="108"/>
      <c r="D73" s="108"/>
      <c r="E73" s="108"/>
      <c r="F73" s="108"/>
      <c r="G73">
        <v>0</v>
      </c>
    </row>
    <row r="74" spans="3:7" x14ac:dyDescent="0.3">
      <c r="C74" s="108"/>
      <c r="D74" s="108"/>
      <c r="E74" s="108"/>
      <c r="F74" s="108"/>
      <c r="G74">
        <v>0</v>
      </c>
    </row>
    <row r="75" spans="3:7" x14ac:dyDescent="0.3">
      <c r="C75" s="108"/>
      <c r="D75" s="108"/>
      <c r="E75" s="108"/>
      <c r="F75" s="108"/>
      <c r="G75">
        <v>612.84393299999999</v>
      </c>
    </row>
    <row r="76" spans="3:7" x14ac:dyDescent="0.3">
      <c r="C76" s="108"/>
      <c r="D76" s="108"/>
      <c r="E76" s="108"/>
      <c r="F76" s="108"/>
      <c r="G76">
        <v>0</v>
      </c>
    </row>
    <row r="77" spans="3:7" x14ac:dyDescent="0.3">
      <c r="C77" s="108"/>
      <c r="D77" s="108"/>
      <c r="E77" s="108"/>
      <c r="F77" s="108"/>
      <c r="G77">
        <v>1.671705</v>
      </c>
    </row>
    <row r="78" spans="3:7" x14ac:dyDescent="0.3">
      <c r="C78" s="108"/>
      <c r="D78" s="108"/>
      <c r="E78" s="108"/>
      <c r="F78" s="108"/>
      <c r="G78">
        <v>0</v>
      </c>
    </row>
    <row r="79" spans="3:7" x14ac:dyDescent="0.3">
      <c r="C79" s="108"/>
      <c r="D79" s="108"/>
      <c r="E79" s="108"/>
      <c r="F79" s="108"/>
      <c r="G79">
        <v>0</v>
      </c>
    </row>
    <row r="80" spans="3:7" x14ac:dyDescent="0.3">
      <c r="C80" s="108"/>
      <c r="D80" s="108"/>
      <c r="E80" s="108"/>
      <c r="F80" s="108"/>
      <c r="G80">
        <v>0</v>
      </c>
    </row>
    <row r="81" spans="3:7" x14ac:dyDescent="0.3">
      <c r="C81" s="108"/>
      <c r="D81" s="108"/>
      <c r="E81" s="108"/>
      <c r="F81" s="108"/>
      <c r="G81">
        <v>119.741981</v>
      </c>
    </row>
    <row r="82" spans="3:7" x14ac:dyDescent="0.3">
      <c r="C82" s="108"/>
      <c r="D82" s="108"/>
      <c r="E82" s="108"/>
      <c r="F82" s="108"/>
      <c r="G82">
        <v>500.37527399999999</v>
      </c>
    </row>
    <row r="83" spans="3:7" x14ac:dyDescent="0.3">
      <c r="C83" s="108"/>
      <c r="D83" s="108"/>
      <c r="E83" s="108"/>
      <c r="F83" s="108"/>
      <c r="G83">
        <v>73.156920999999997</v>
      </c>
    </row>
    <row r="84" spans="3:7" x14ac:dyDescent="0.3">
      <c r="C84" s="108"/>
      <c r="D84" s="108"/>
      <c r="E84" s="108"/>
      <c r="F84" s="108"/>
      <c r="G84">
        <v>224.18485999999999</v>
      </c>
    </row>
    <row r="85" spans="3:7" x14ac:dyDescent="0.3">
      <c r="C85" s="108"/>
      <c r="D85" s="108"/>
      <c r="E85" s="108"/>
      <c r="F85" s="108"/>
      <c r="G85">
        <v>738.534851</v>
      </c>
    </row>
    <row r="86" spans="3:7" x14ac:dyDescent="0.3">
      <c r="C86" s="108"/>
      <c r="D86" s="108"/>
      <c r="E86" s="108"/>
      <c r="F86" s="108"/>
      <c r="G86">
        <v>191.03770399999999</v>
      </c>
    </row>
    <row r="87" spans="3:7" x14ac:dyDescent="0.3">
      <c r="C87" s="108"/>
      <c r="D87" s="108"/>
      <c r="E87" s="108"/>
      <c r="F87" s="108"/>
      <c r="G87">
        <v>0</v>
      </c>
    </row>
    <row r="88" spans="3:7" x14ac:dyDescent="0.3">
      <c r="C88" s="108"/>
      <c r="D88" s="108"/>
      <c r="E88" s="108"/>
      <c r="F88" s="108"/>
      <c r="G88">
        <v>631.72143500000004</v>
      </c>
    </row>
    <row r="89" spans="3:7" x14ac:dyDescent="0.3">
      <c r="C89" s="108"/>
      <c r="D89" s="108"/>
      <c r="E89" s="108"/>
      <c r="F89" s="108"/>
      <c r="G89">
        <v>255.16714400000001</v>
      </c>
    </row>
    <row r="90" spans="3:7" x14ac:dyDescent="0.3">
      <c r="C90" s="108"/>
      <c r="D90" s="108"/>
      <c r="E90" s="108"/>
      <c r="F90" s="108"/>
      <c r="G90">
        <v>0</v>
      </c>
    </row>
    <row r="91" spans="3:7" x14ac:dyDescent="0.3">
      <c r="C91" s="108"/>
      <c r="D91" s="108"/>
      <c r="E91" s="108"/>
      <c r="F91" s="108"/>
      <c r="G91">
        <v>55.121867999999999</v>
      </c>
    </row>
    <row r="92" spans="3:7" x14ac:dyDescent="0.3">
      <c r="C92" s="108"/>
      <c r="D92" s="108"/>
      <c r="E92" s="108"/>
      <c r="F92" s="108"/>
      <c r="G92">
        <v>321.70541300000002</v>
      </c>
    </row>
    <row r="93" spans="3:7" x14ac:dyDescent="0.3">
      <c r="C93" s="108"/>
      <c r="D93" s="108"/>
      <c r="E93" s="108"/>
      <c r="F93" s="108"/>
      <c r="G93">
        <v>79.086562999999998</v>
      </c>
    </row>
    <row r="94" spans="3:7" x14ac:dyDescent="0.3">
      <c r="C94" s="108"/>
      <c r="D94" s="108"/>
      <c r="E94" s="108"/>
      <c r="F94" s="108"/>
      <c r="G94">
        <v>1.207454</v>
      </c>
    </row>
    <row r="95" spans="3:7" x14ac:dyDescent="0.3">
      <c r="C95" s="108"/>
      <c r="D95" s="108"/>
      <c r="E95" s="108"/>
      <c r="F95" s="108"/>
      <c r="G95">
        <v>415.394226</v>
      </c>
    </row>
    <row r="96" spans="3:7" x14ac:dyDescent="0.3">
      <c r="C96" s="108"/>
      <c r="D96" s="108"/>
      <c r="E96" s="108"/>
      <c r="F96" s="108"/>
      <c r="G96">
        <v>422.05853200000001</v>
      </c>
    </row>
    <row r="97" spans="3:7" x14ac:dyDescent="0.3">
      <c r="C97" s="108"/>
      <c r="D97" s="108"/>
      <c r="E97" s="108"/>
      <c r="F97" s="108"/>
      <c r="G97">
        <v>0</v>
      </c>
    </row>
    <row r="98" spans="3:7" x14ac:dyDescent="0.3">
      <c r="C98" s="108"/>
      <c r="D98" s="108"/>
      <c r="E98" s="108"/>
      <c r="F98" s="108"/>
      <c r="G98">
        <v>71.171699000000004</v>
      </c>
    </row>
    <row r="99" spans="3:7" x14ac:dyDescent="0.3">
      <c r="C99" s="108"/>
      <c r="D99" s="108"/>
      <c r="E99" s="108"/>
      <c r="F99" s="108"/>
      <c r="G99">
        <v>34.596927000000001</v>
      </c>
    </row>
    <row r="100" spans="3:7" x14ac:dyDescent="0.3">
      <c r="C100" s="108"/>
      <c r="D100" s="108"/>
      <c r="E100" s="108"/>
      <c r="F100" s="108"/>
      <c r="G100">
        <v>0</v>
      </c>
    </row>
    <row r="101" spans="3:7" x14ac:dyDescent="0.3">
      <c r="C101" s="108"/>
      <c r="D101" s="108"/>
      <c r="E101" s="108"/>
      <c r="F101" s="108"/>
      <c r="G101">
        <v>12.182912</v>
      </c>
    </row>
    <row r="102" spans="3:7" x14ac:dyDescent="0.3">
      <c r="C102" s="108"/>
      <c r="D102" s="108"/>
      <c r="E102" s="108"/>
      <c r="F102" s="108"/>
      <c r="G102">
        <v>0</v>
      </c>
    </row>
    <row r="103" spans="3:7" x14ac:dyDescent="0.3">
      <c r="C103" s="108"/>
      <c r="D103" s="108"/>
      <c r="E103" s="108"/>
      <c r="F103" s="108"/>
      <c r="G103">
        <v>507.10751299999998</v>
      </c>
    </row>
    <row r="104" spans="3:7" x14ac:dyDescent="0.3">
      <c r="C104" s="108"/>
      <c r="D104" s="108"/>
      <c r="E104" s="108"/>
      <c r="F104" s="108"/>
      <c r="G104">
        <v>0</v>
      </c>
    </row>
    <row r="105" spans="3:7" x14ac:dyDescent="0.3">
      <c r="C105" s="108"/>
      <c r="D105" s="108"/>
      <c r="E105" s="108"/>
      <c r="F105" s="108"/>
      <c r="G105">
        <v>56.427574</v>
      </c>
    </row>
    <row r="106" spans="3:7" x14ac:dyDescent="0.3">
      <c r="C106" s="108"/>
      <c r="D106" s="108"/>
      <c r="E106" s="108"/>
      <c r="F106" s="108"/>
      <c r="G106">
        <v>223.882812</v>
      </c>
    </row>
    <row r="107" spans="3:7" x14ac:dyDescent="0.3">
      <c r="C107" s="108"/>
      <c r="D107" s="108"/>
      <c r="E107" s="108"/>
      <c r="F107" s="108"/>
      <c r="G107">
        <v>67.020713000000001</v>
      </c>
    </row>
    <row r="108" spans="3:7" x14ac:dyDescent="0.3">
      <c r="C108" s="108"/>
      <c r="D108" s="108"/>
      <c r="E108" s="108"/>
      <c r="F108" s="108"/>
      <c r="G108">
        <v>0</v>
      </c>
    </row>
    <row r="109" spans="3:7" x14ac:dyDescent="0.3">
      <c r="C109" s="108"/>
      <c r="D109" s="108"/>
      <c r="E109" s="108"/>
      <c r="F109" s="108"/>
      <c r="G109">
        <v>411.16635100000002</v>
      </c>
    </row>
    <row r="110" spans="3:7" x14ac:dyDescent="0.3">
      <c r="C110" s="108"/>
      <c r="D110" s="108"/>
      <c r="E110" s="108"/>
      <c r="F110" s="108"/>
      <c r="G110">
        <v>1177.0928899999999</v>
      </c>
    </row>
    <row r="111" spans="3:7" x14ac:dyDescent="0.3">
      <c r="C111" s="108"/>
      <c r="D111" s="108"/>
      <c r="E111" s="108"/>
      <c r="F111" s="108"/>
      <c r="G111">
        <v>51.551628000000001</v>
      </c>
    </row>
    <row r="112" spans="3:7" x14ac:dyDescent="0.3">
      <c r="C112" s="108"/>
      <c r="D112" s="108"/>
      <c r="E112" s="108"/>
      <c r="F112" s="108"/>
      <c r="G112">
        <v>40.373424</v>
      </c>
    </row>
    <row r="113" spans="3:7" x14ac:dyDescent="0.3">
      <c r="C113" s="108"/>
      <c r="D113" s="108"/>
      <c r="E113" s="108"/>
      <c r="F113" s="108"/>
      <c r="G113">
        <v>0</v>
      </c>
    </row>
    <row r="114" spans="3:7" x14ac:dyDescent="0.3">
      <c r="C114" s="108"/>
      <c r="D114" s="108"/>
      <c r="E114" s="108"/>
      <c r="F114" s="108"/>
      <c r="G114">
        <v>0</v>
      </c>
    </row>
    <row r="115" spans="3:7" x14ac:dyDescent="0.3">
      <c r="C115" s="108"/>
      <c r="D115" s="108"/>
      <c r="E115" s="108"/>
      <c r="F115" s="108"/>
      <c r="G115">
        <v>1.5705910000000001</v>
      </c>
    </row>
    <row r="116" spans="3:7" x14ac:dyDescent="0.3">
      <c r="C116" s="108"/>
      <c r="D116" s="108"/>
      <c r="E116" s="108"/>
      <c r="F116" s="108"/>
      <c r="G116">
        <v>0</v>
      </c>
    </row>
    <row r="117" spans="3:7" x14ac:dyDescent="0.3">
      <c r="C117" s="108"/>
      <c r="D117" s="108"/>
      <c r="E117" s="108"/>
      <c r="F117" s="108"/>
      <c r="G117">
        <v>752.08312899999999</v>
      </c>
    </row>
    <row r="118" spans="3:7" x14ac:dyDescent="0.3">
      <c r="C118" s="108"/>
      <c r="D118" s="108"/>
      <c r="E118" s="108"/>
      <c r="F118" s="108"/>
      <c r="G118">
        <v>87.568709999999996</v>
      </c>
    </row>
    <row r="119" spans="3:7" x14ac:dyDescent="0.3">
      <c r="C119" s="108"/>
      <c r="D119" s="108"/>
      <c r="E119" s="108"/>
      <c r="F119" s="108"/>
      <c r="G119">
        <v>99.167793000000003</v>
      </c>
    </row>
    <row r="120" spans="3:7" x14ac:dyDescent="0.3">
      <c r="C120" s="108"/>
      <c r="D120" s="108"/>
      <c r="E120" s="108"/>
      <c r="F120" s="108"/>
      <c r="G120">
        <v>107.78082999999999</v>
      </c>
    </row>
    <row r="121" spans="3:7" x14ac:dyDescent="0.3">
      <c r="C121" s="108"/>
      <c r="D121" s="108"/>
      <c r="E121" s="108"/>
      <c r="F121" s="108"/>
      <c r="G121">
        <v>52.502226999999998</v>
      </c>
    </row>
    <row r="122" spans="3:7" x14ac:dyDescent="0.3">
      <c r="C122" s="108"/>
      <c r="D122" s="108"/>
      <c r="E122" s="108"/>
      <c r="F122" s="108"/>
      <c r="G122">
        <v>0</v>
      </c>
    </row>
    <row r="123" spans="3:7" x14ac:dyDescent="0.3">
      <c r="C123" s="108"/>
      <c r="D123" s="108"/>
      <c r="E123" s="108"/>
      <c r="F123" s="108"/>
      <c r="G123">
        <v>218.720733</v>
      </c>
    </row>
    <row r="124" spans="3:7" x14ac:dyDescent="0.3">
      <c r="C124" s="108"/>
      <c r="D124" s="108"/>
      <c r="E124" s="108"/>
      <c r="F124" s="108"/>
      <c r="G124">
        <v>635.17095900000004</v>
      </c>
    </row>
    <row r="125" spans="3:7" x14ac:dyDescent="0.3">
      <c r="C125" s="108"/>
      <c r="D125" s="108"/>
      <c r="E125" s="108"/>
      <c r="F125" s="108"/>
      <c r="G125">
        <v>37.139842000000002</v>
      </c>
    </row>
    <row r="126" spans="3:7" x14ac:dyDescent="0.3">
      <c r="C126" s="108"/>
      <c r="D126" s="108"/>
      <c r="E126" s="108"/>
      <c r="F126" s="108"/>
      <c r="G126">
        <v>13.278955</v>
      </c>
    </row>
    <row r="127" spans="3:7" x14ac:dyDescent="0.3">
      <c r="C127" s="108"/>
      <c r="D127" s="108"/>
      <c r="E127" s="108"/>
      <c r="F127" s="108"/>
      <c r="G127">
        <v>0</v>
      </c>
    </row>
    <row r="128" spans="3:7" x14ac:dyDescent="0.3">
      <c r="C128" s="108"/>
      <c r="D128" s="108"/>
      <c r="E128" s="108"/>
      <c r="F128" s="108"/>
      <c r="G128">
        <v>0</v>
      </c>
    </row>
    <row r="129" spans="3:7" x14ac:dyDescent="0.3">
      <c r="C129" s="108"/>
      <c r="D129" s="108"/>
      <c r="E129" s="108"/>
      <c r="F129" s="108"/>
      <c r="G129">
        <v>0</v>
      </c>
    </row>
    <row r="130" spans="3:7" x14ac:dyDescent="0.3">
      <c r="C130" s="108"/>
      <c r="D130" s="108"/>
      <c r="E130" s="108"/>
      <c r="F130" s="108"/>
      <c r="G130">
        <v>183.67309499999999</v>
      </c>
    </row>
    <row r="131" spans="3:7" x14ac:dyDescent="0.3">
      <c r="C131" s="108"/>
      <c r="D131" s="108"/>
      <c r="E131" s="108"/>
      <c r="F131" s="108"/>
      <c r="G131">
        <v>579.47210600000005</v>
      </c>
    </row>
    <row r="132" spans="3:7" x14ac:dyDescent="0.3">
      <c r="C132" s="108"/>
      <c r="D132" s="108"/>
      <c r="E132" s="108"/>
      <c r="F132" s="108"/>
      <c r="G132">
        <v>0</v>
      </c>
    </row>
    <row r="133" spans="3:7" x14ac:dyDescent="0.3">
      <c r="C133" s="108"/>
      <c r="D133" s="108"/>
      <c r="E133" s="108"/>
      <c r="F133" s="108"/>
      <c r="G133">
        <v>0</v>
      </c>
    </row>
    <row r="134" spans="3:7" x14ac:dyDescent="0.3">
      <c r="C134" s="108"/>
      <c r="D134" s="108"/>
      <c r="E134" s="108"/>
      <c r="F134" s="108"/>
      <c r="G134">
        <v>214.83677599999999</v>
      </c>
    </row>
    <row r="135" spans="3:7" x14ac:dyDescent="0.3">
      <c r="C135" s="108"/>
      <c r="D135" s="108"/>
      <c r="E135" s="108"/>
      <c r="F135" s="108"/>
      <c r="G135">
        <v>612.46038799999997</v>
      </c>
    </row>
    <row r="136" spans="3:7" x14ac:dyDescent="0.3">
      <c r="C136" s="108"/>
      <c r="D136" s="108"/>
      <c r="E136" s="108"/>
      <c r="F136" s="108"/>
      <c r="G136">
        <v>0</v>
      </c>
    </row>
    <row r="137" spans="3:7" x14ac:dyDescent="0.3">
      <c r="C137" s="108"/>
      <c r="D137" s="108"/>
      <c r="E137" s="108"/>
      <c r="F137" s="108"/>
      <c r="G137">
        <v>0</v>
      </c>
    </row>
    <row r="138" spans="3:7" x14ac:dyDescent="0.3">
      <c r="C138" s="108"/>
      <c r="D138" s="108"/>
      <c r="E138" s="108"/>
      <c r="F138" s="108"/>
      <c r="G138">
        <v>40.221977000000003</v>
      </c>
    </row>
    <row r="139" spans="3:7" x14ac:dyDescent="0.3">
      <c r="C139" s="108"/>
      <c r="D139" s="108"/>
      <c r="E139" s="108"/>
      <c r="F139" s="108"/>
      <c r="G139">
        <v>0</v>
      </c>
    </row>
    <row r="140" spans="3:7" x14ac:dyDescent="0.3">
      <c r="C140" s="108"/>
      <c r="D140" s="108"/>
      <c r="E140" s="108"/>
      <c r="F140" s="108"/>
      <c r="G140">
        <v>0</v>
      </c>
    </row>
    <row r="141" spans="3:7" x14ac:dyDescent="0.3">
      <c r="C141" s="108"/>
      <c r="D141" s="108"/>
      <c r="E141" s="108"/>
      <c r="F141" s="108"/>
      <c r="G141">
        <v>0</v>
      </c>
    </row>
    <row r="142" spans="3:7" x14ac:dyDescent="0.3">
      <c r="C142" s="108"/>
      <c r="D142" s="108"/>
      <c r="E142" s="108"/>
      <c r="F142" s="108"/>
      <c r="G142">
        <v>429.82931500000001</v>
      </c>
    </row>
    <row r="143" spans="3:7" x14ac:dyDescent="0.3">
      <c r="C143" s="108"/>
      <c r="D143" s="108"/>
      <c r="E143" s="108"/>
      <c r="F143" s="108"/>
      <c r="G143">
        <v>0</v>
      </c>
    </row>
    <row r="144" spans="3:7" x14ac:dyDescent="0.3">
      <c r="C144" s="108"/>
      <c r="D144" s="108"/>
      <c r="E144" s="108"/>
      <c r="F144" s="108"/>
      <c r="G144">
        <v>0</v>
      </c>
    </row>
    <row r="145" spans="3:7" x14ac:dyDescent="0.3">
      <c r="C145" s="108"/>
      <c r="D145" s="108"/>
      <c r="E145" s="108"/>
      <c r="F145" s="108"/>
      <c r="G145">
        <v>442.31420800000001</v>
      </c>
    </row>
    <row r="146" spans="3:7" x14ac:dyDescent="0.3">
      <c r="C146" s="108"/>
      <c r="D146" s="108"/>
      <c r="E146" s="108"/>
      <c r="F146" s="108"/>
      <c r="G146">
        <v>0</v>
      </c>
    </row>
    <row r="147" spans="3:7" x14ac:dyDescent="0.3">
      <c r="C147" s="108"/>
      <c r="D147" s="108"/>
      <c r="E147" s="108"/>
      <c r="F147" s="108"/>
      <c r="G147">
        <v>1.5880999999999999E-2</v>
      </c>
    </row>
    <row r="148" spans="3:7" x14ac:dyDescent="0.3">
      <c r="C148" s="108"/>
      <c r="D148" s="108"/>
      <c r="E148" s="108"/>
      <c r="F148" s="108"/>
      <c r="G148">
        <v>193.490036</v>
      </c>
    </row>
    <row r="149" spans="3:7" x14ac:dyDescent="0.3">
      <c r="C149" s="108"/>
      <c r="D149" s="108"/>
      <c r="E149" s="108"/>
      <c r="F149" s="108"/>
      <c r="G149">
        <v>249.81570400000001</v>
      </c>
    </row>
    <row r="150" spans="3:7" x14ac:dyDescent="0.3">
      <c r="C150" s="108"/>
      <c r="D150" s="108"/>
      <c r="E150" s="108"/>
      <c r="F150" s="108"/>
      <c r="G150">
        <v>0</v>
      </c>
    </row>
    <row r="151" spans="3:7" x14ac:dyDescent="0.3">
      <c r="C151" s="108"/>
      <c r="D151" s="108"/>
      <c r="E151" s="108"/>
      <c r="F151" s="108"/>
      <c r="G151">
        <v>117.865661</v>
      </c>
    </row>
    <row r="152" spans="3:7" x14ac:dyDescent="0.3">
      <c r="C152" s="108"/>
      <c r="D152" s="108"/>
      <c r="E152" s="108"/>
      <c r="F152" s="108"/>
      <c r="G152">
        <v>1739.91967</v>
      </c>
    </row>
    <row r="153" spans="3:7" x14ac:dyDescent="0.3">
      <c r="C153" s="108"/>
      <c r="D153" s="108"/>
      <c r="E153" s="108"/>
      <c r="F153" s="108"/>
      <c r="G153">
        <v>0</v>
      </c>
    </row>
    <row r="154" spans="3:7" x14ac:dyDescent="0.3">
      <c r="C154" s="108"/>
      <c r="D154" s="108"/>
      <c r="E154" s="108"/>
      <c r="F154" s="108"/>
      <c r="G154">
        <v>3.3337279999999998</v>
      </c>
    </row>
    <row r="155" spans="3:7" x14ac:dyDescent="0.3">
      <c r="C155" s="108"/>
      <c r="D155" s="108"/>
      <c r="E155" s="108"/>
      <c r="F155" s="108"/>
      <c r="G155">
        <v>0</v>
      </c>
    </row>
    <row r="156" spans="3:7" x14ac:dyDescent="0.3">
      <c r="C156" s="108"/>
      <c r="D156" s="108"/>
      <c r="E156" s="108"/>
      <c r="F156" s="108"/>
      <c r="G156">
        <v>0</v>
      </c>
    </row>
    <row r="157" spans="3:7" x14ac:dyDescent="0.3">
      <c r="C157" s="108"/>
      <c r="D157" s="108"/>
      <c r="E157" s="108"/>
      <c r="F157" s="108"/>
      <c r="G157">
        <v>0</v>
      </c>
    </row>
    <row r="158" spans="3:7" x14ac:dyDescent="0.3">
      <c r="C158" s="108"/>
      <c r="D158" s="108"/>
      <c r="E158" s="108"/>
      <c r="F158" s="108"/>
      <c r="G158">
        <v>330.455963</v>
      </c>
    </row>
    <row r="159" spans="3:7" x14ac:dyDescent="0.3">
      <c r="C159" s="108"/>
      <c r="D159" s="108"/>
      <c r="E159" s="108"/>
      <c r="F159" s="108"/>
      <c r="G159">
        <v>208.725784</v>
      </c>
    </row>
    <row r="160" spans="3:7" x14ac:dyDescent="0.3">
      <c r="C160" s="108"/>
      <c r="D160" s="108"/>
      <c r="E160" s="108"/>
      <c r="F160" s="108"/>
      <c r="G160">
        <v>0</v>
      </c>
    </row>
    <row r="161" spans="3:7" x14ac:dyDescent="0.3">
      <c r="C161" s="108"/>
      <c r="D161" s="108"/>
      <c r="E161" s="108"/>
      <c r="F161" s="108"/>
      <c r="G161">
        <v>54.272041000000002</v>
      </c>
    </row>
    <row r="162" spans="3:7" x14ac:dyDescent="0.3">
      <c r="C162" s="108"/>
      <c r="D162" s="108"/>
      <c r="E162" s="108"/>
      <c r="F162" s="108"/>
      <c r="G162">
        <v>0</v>
      </c>
    </row>
    <row r="163" spans="3:7" x14ac:dyDescent="0.3">
      <c r="C163" s="108"/>
      <c r="D163" s="108"/>
      <c r="E163" s="108"/>
      <c r="F163" s="108"/>
      <c r="G163">
        <v>0</v>
      </c>
    </row>
    <row r="164" spans="3:7" x14ac:dyDescent="0.3">
      <c r="C164" s="108"/>
      <c r="D164" s="108"/>
      <c r="E164" s="108"/>
      <c r="F164" s="108"/>
      <c r="G164">
        <v>0</v>
      </c>
    </row>
    <row r="165" spans="3:7" x14ac:dyDescent="0.3">
      <c r="C165" s="108"/>
      <c r="D165" s="108"/>
      <c r="E165" s="108"/>
      <c r="F165" s="108"/>
      <c r="G165">
        <v>36.976520000000001</v>
      </c>
    </row>
    <row r="166" spans="3:7" x14ac:dyDescent="0.3">
      <c r="C166" s="108"/>
      <c r="D166" s="108"/>
      <c r="E166" s="108"/>
      <c r="F166" s="108"/>
      <c r="G166">
        <v>1076.27026</v>
      </c>
    </row>
    <row r="167" spans="3:7" x14ac:dyDescent="0.3">
      <c r="C167" s="108"/>
      <c r="D167" s="108"/>
      <c r="E167" s="108"/>
      <c r="F167" s="108"/>
      <c r="G167">
        <v>0</v>
      </c>
    </row>
    <row r="168" spans="3:7" x14ac:dyDescent="0.3">
      <c r="C168" s="108"/>
      <c r="D168" s="108"/>
      <c r="E168" s="108"/>
      <c r="F168" s="108"/>
      <c r="G168">
        <v>27.581921999999999</v>
      </c>
    </row>
    <row r="169" spans="3:7" x14ac:dyDescent="0.3">
      <c r="C169" s="108"/>
      <c r="D169" s="108"/>
      <c r="E169" s="108"/>
      <c r="F169" s="108"/>
      <c r="G169">
        <v>0</v>
      </c>
    </row>
    <row r="170" spans="3:7" x14ac:dyDescent="0.3">
      <c r="C170" s="108"/>
      <c r="D170" s="108"/>
      <c r="E170" s="108"/>
      <c r="F170" s="108"/>
      <c r="G170">
        <v>0</v>
      </c>
    </row>
    <row r="171" spans="3:7" x14ac:dyDescent="0.3">
      <c r="C171" s="108"/>
      <c r="D171" s="108"/>
      <c r="E171" s="108"/>
      <c r="F171" s="108"/>
      <c r="G171">
        <v>0</v>
      </c>
    </row>
    <row r="172" spans="3:7" x14ac:dyDescent="0.3">
      <c r="C172" s="108"/>
      <c r="D172" s="108"/>
      <c r="E172" s="108"/>
      <c r="F172" s="108"/>
      <c r="G172">
        <v>606.89801</v>
      </c>
    </row>
    <row r="173" spans="3:7" x14ac:dyDescent="0.3">
      <c r="C173" s="108"/>
      <c r="D173" s="108"/>
      <c r="E173" s="108"/>
      <c r="F173" s="108"/>
      <c r="G173">
        <v>263.86147999999997</v>
      </c>
    </row>
    <row r="174" spans="3:7" x14ac:dyDescent="0.3">
      <c r="C174" s="108"/>
      <c r="D174" s="108"/>
      <c r="E174" s="108"/>
      <c r="F174" s="108"/>
      <c r="G174">
        <v>0</v>
      </c>
    </row>
    <row r="175" spans="3:7" x14ac:dyDescent="0.3">
      <c r="C175" s="108"/>
      <c r="D175" s="108"/>
      <c r="E175" s="108"/>
      <c r="F175" s="108"/>
      <c r="G175">
        <v>0.25818999999999998</v>
      </c>
    </row>
    <row r="176" spans="3:7" x14ac:dyDescent="0.3">
      <c r="C176" s="108"/>
      <c r="D176" s="108"/>
      <c r="E176" s="108"/>
      <c r="F176" s="108"/>
      <c r="G176">
        <v>0</v>
      </c>
    </row>
    <row r="177" spans="3:7" x14ac:dyDescent="0.3">
      <c r="C177" s="108"/>
      <c r="D177" s="108"/>
      <c r="E177" s="108"/>
      <c r="F177" s="108"/>
      <c r="G177">
        <v>0</v>
      </c>
    </row>
    <row r="178" spans="3:7" x14ac:dyDescent="0.3">
      <c r="C178" s="108"/>
      <c r="D178" s="108"/>
      <c r="E178" s="108"/>
      <c r="F178" s="108"/>
      <c r="G178">
        <v>0</v>
      </c>
    </row>
    <row r="179" spans="3:7" x14ac:dyDescent="0.3">
      <c r="C179" s="108"/>
      <c r="D179" s="108"/>
      <c r="E179" s="108"/>
      <c r="F179" s="108"/>
      <c r="G179">
        <v>40.697299000000001</v>
      </c>
    </row>
    <row r="180" spans="3:7" x14ac:dyDescent="0.3">
      <c r="C180" s="108"/>
      <c r="D180" s="108"/>
      <c r="E180" s="108"/>
      <c r="F180" s="108"/>
      <c r="G180">
        <v>70.753142999999994</v>
      </c>
    </row>
    <row r="181" spans="3:7" x14ac:dyDescent="0.3">
      <c r="C181" s="108"/>
      <c r="D181" s="108"/>
      <c r="E181" s="108"/>
      <c r="F181" s="108"/>
      <c r="G181">
        <v>0</v>
      </c>
    </row>
    <row r="182" spans="3:7" x14ac:dyDescent="0.3">
      <c r="C182" s="108"/>
      <c r="D182" s="108"/>
      <c r="E182" s="108"/>
      <c r="F182" s="108"/>
      <c r="G182">
        <v>0</v>
      </c>
    </row>
    <row r="183" spans="3:7" x14ac:dyDescent="0.3">
      <c r="C183" s="108"/>
      <c r="D183" s="108"/>
      <c r="E183" s="108"/>
      <c r="F183" s="108"/>
      <c r="G183">
        <v>154.57873499999999</v>
      </c>
    </row>
    <row r="184" spans="3:7" x14ac:dyDescent="0.3">
      <c r="C184" s="108"/>
      <c r="D184" s="108"/>
      <c r="E184" s="108"/>
      <c r="F184" s="108"/>
      <c r="G184">
        <v>0</v>
      </c>
    </row>
    <row r="185" spans="3:7" x14ac:dyDescent="0.3">
      <c r="C185" s="108"/>
      <c r="D185" s="108"/>
      <c r="E185" s="108"/>
      <c r="F185" s="108"/>
      <c r="G185">
        <v>0</v>
      </c>
    </row>
    <row r="186" spans="3:7" x14ac:dyDescent="0.3">
      <c r="C186" s="108"/>
      <c r="D186" s="108"/>
      <c r="E186" s="108"/>
      <c r="F186" s="108"/>
      <c r="G186">
        <v>0</v>
      </c>
    </row>
    <row r="187" spans="3:7" x14ac:dyDescent="0.3">
      <c r="C187" s="108"/>
      <c r="D187" s="108"/>
      <c r="E187" s="108"/>
      <c r="F187" s="108"/>
    </row>
    <row r="188" spans="3:7" x14ac:dyDescent="0.3">
      <c r="C188" s="108"/>
      <c r="D188" s="108"/>
      <c r="E188" s="108"/>
      <c r="F188" s="108"/>
    </row>
    <row r="189" spans="3:7" x14ac:dyDescent="0.3">
      <c r="C189" s="108"/>
      <c r="D189" s="108"/>
      <c r="E189" s="108"/>
      <c r="F189" s="108"/>
    </row>
    <row r="190" spans="3:7" x14ac:dyDescent="0.3">
      <c r="C190" s="108"/>
      <c r="D190" s="108"/>
      <c r="E190" s="108"/>
      <c r="F190" s="108"/>
    </row>
  </sheetData>
  <hyperlinks>
    <hyperlink ref="A1" location="'Table Of Contents'!A1" display="Return to ToC" xr:uid="{00000000-0004-0000-1000-00000000000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/>
  <dimension ref="A1:L190"/>
  <sheetViews>
    <sheetView zoomScale="115" zoomScaleNormal="115" workbookViewId="0">
      <selection activeCell="F4" sqref="B4:F4"/>
    </sheetView>
  </sheetViews>
  <sheetFormatPr defaultRowHeight="14.4" x14ac:dyDescent="0.3"/>
  <cols>
    <col min="1" max="1" width="6.77734375" bestFit="1" customWidth="1"/>
    <col min="2" max="2" width="6" bestFit="1" customWidth="1"/>
    <col min="3" max="3" width="8.33203125" bestFit="1" customWidth="1"/>
    <col min="4" max="4" width="9" customWidth="1"/>
    <col min="5" max="5" width="9.21875" bestFit="1" customWidth="1"/>
    <col min="6" max="6" width="10.33203125" bestFit="1" customWidth="1"/>
    <col min="8" max="8" width="10.77734375" bestFit="1" customWidth="1"/>
    <col min="9" max="9" width="14.6640625" bestFit="1" customWidth="1"/>
    <col min="10" max="10" width="15.109375" bestFit="1" customWidth="1"/>
    <col min="11" max="11" width="15" bestFit="1" customWidth="1"/>
    <col min="12" max="12" width="16.33203125" bestFit="1" customWidth="1"/>
    <col min="13" max="14" width="11.77734375" bestFit="1" customWidth="1"/>
  </cols>
  <sheetData>
    <row r="1" spans="1:12" ht="27" thickBot="1" x14ac:dyDescent="0.35">
      <c r="A1" s="8" t="s">
        <v>2</v>
      </c>
    </row>
    <row r="4" spans="1:12" x14ac:dyDescent="0.3">
      <c r="A4" s="52" t="s">
        <v>74</v>
      </c>
      <c r="B4" s="52" t="s">
        <v>75</v>
      </c>
      <c r="C4" s="52" t="s">
        <v>76</v>
      </c>
      <c r="D4" s="52" t="s">
        <v>23</v>
      </c>
      <c r="E4" s="52" t="s">
        <v>21</v>
      </c>
      <c r="F4" s="52" t="s">
        <v>22</v>
      </c>
    </row>
    <row r="5" spans="1:12" x14ac:dyDescent="0.3">
      <c r="C5" s="108"/>
      <c r="D5" s="108"/>
      <c r="E5" s="108"/>
      <c r="F5" s="108"/>
      <c r="G5">
        <v>413.25241</v>
      </c>
      <c r="H5" s="109" t="s">
        <v>3</v>
      </c>
      <c r="I5" t="s">
        <v>77</v>
      </c>
      <c r="J5" t="s">
        <v>78</v>
      </c>
      <c r="K5" t="s">
        <v>79</v>
      </c>
      <c r="L5" t="s">
        <v>80</v>
      </c>
    </row>
    <row r="6" spans="1:12" x14ac:dyDescent="0.3">
      <c r="C6" s="108"/>
      <c r="D6" s="108"/>
      <c r="E6" s="108"/>
      <c r="F6" s="108"/>
      <c r="G6">
        <v>0</v>
      </c>
      <c r="H6" s="107" t="s">
        <v>81</v>
      </c>
      <c r="I6" s="108"/>
      <c r="J6" s="108"/>
      <c r="K6" s="108"/>
      <c r="L6" s="108"/>
    </row>
    <row r="7" spans="1:12" x14ac:dyDescent="0.3">
      <c r="C7" s="108"/>
      <c r="D7" s="108"/>
      <c r="E7" s="108"/>
      <c r="F7" s="108"/>
      <c r="G7">
        <v>1.118366</v>
      </c>
      <c r="H7" s="107" t="s">
        <v>82</v>
      </c>
      <c r="I7" s="108"/>
      <c r="J7" s="108"/>
      <c r="K7" s="108"/>
      <c r="L7" s="108"/>
    </row>
    <row r="8" spans="1:12" x14ac:dyDescent="0.3">
      <c r="C8" s="108"/>
      <c r="D8" s="108"/>
      <c r="E8" s="108"/>
      <c r="F8" s="108"/>
      <c r="G8">
        <v>0</v>
      </c>
    </row>
    <row r="9" spans="1:12" x14ac:dyDescent="0.3">
      <c r="C9" s="108"/>
      <c r="D9" s="108"/>
      <c r="E9" s="108"/>
      <c r="F9" s="108"/>
      <c r="G9">
        <v>0</v>
      </c>
    </row>
    <row r="10" spans="1:12" x14ac:dyDescent="0.3">
      <c r="C10" s="108"/>
      <c r="D10" s="108"/>
      <c r="E10" s="108"/>
      <c r="F10" s="108"/>
      <c r="G10">
        <v>0</v>
      </c>
    </row>
    <row r="11" spans="1:12" x14ac:dyDescent="0.3">
      <c r="C11" s="108"/>
      <c r="D11" s="108"/>
      <c r="E11" s="108"/>
      <c r="F11" s="108"/>
      <c r="G11">
        <v>171.53658999999999</v>
      </c>
    </row>
    <row r="12" spans="1:12" x14ac:dyDescent="0.3">
      <c r="C12" s="108"/>
      <c r="D12" s="108"/>
      <c r="E12" s="108"/>
      <c r="F12" s="108"/>
      <c r="G12">
        <v>1394.26953</v>
      </c>
    </row>
    <row r="13" spans="1:12" x14ac:dyDescent="0.3">
      <c r="C13" s="108"/>
      <c r="D13" s="108"/>
      <c r="E13" s="108"/>
      <c r="F13" s="108"/>
      <c r="G13">
        <v>0</v>
      </c>
    </row>
    <row r="14" spans="1:12" x14ac:dyDescent="0.3">
      <c r="C14" s="108"/>
      <c r="D14" s="108"/>
      <c r="E14" s="108"/>
      <c r="F14" s="108"/>
      <c r="G14">
        <v>61.437973</v>
      </c>
    </row>
    <row r="15" spans="1:12" x14ac:dyDescent="0.3">
      <c r="C15" s="108"/>
      <c r="D15" s="108"/>
      <c r="E15" s="108"/>
      <c r="F15" s="108"/>
      <c r="G15">
        <v>0</v>
      </c>
    </row>
    <row r="16" spans="1:12" x14ac:dyDescent="0.3">
      <c r="C16" s="108"/>
      <c r="D16" s="108"/>
      <c r="E16" s="108"/>
      <c r="F16" s="108"/>
      <c r="G16">
        <v>25.603204000000002</v>
      </c>
      <c r="H16" s="109" t="s">
        <v>83</v>
      </c>
      <c r="I16" t="s">
        <v>77</v>
      </c>
      <c r="J16" t="s">
        <v>78</v>
      </c>
      <c r="K16" t="s">
        <v>79</v>
      </c>
      <c r="L16" t="s">
        <v>80</v>
      </c>
    </row>
    <row r="17" spans="3:12" x14ac:dyDescent="0.3">
      <c r="C17" s="108"/>
      <c r="D17" s="108"/>
      <c r="E17" s="108"/>
      <c r="F17" s="108"/>
      <c r="G17">
        <v>0</v>
      </c>
      <c r="H17" s="107" t="s">
        <v>81</v>
      </c>
      <c r="I17" s="108"/>
      <c r="J17" s="108"/>
      <c r="K17" s="108"/>
      <c r="L17" s="108"/>
    </row>
    <row r="18" spans="3:12" x14ac:dyDescent="0.3">
      <c r="C18" s="108"/>
      <c r="D18" s="108"/>
      <c r="E18" s="108"/>
      <c r="F18" s="108"/>
      <c r="G18">
        <v>1627.3443600000001</v>
      </c>
      <c r="H18" s="107" t="s">
        <v>82</v>
      </c>
      <c r="I18" s="108"/>
      <c r="J18" s="108"/>
      <c r="K18" s="108"/>
      <c r="L18" s="108"/>
    </row>
    <row r="19" spans="3:12" x14ac:dyDescent="0.3">
      <c r="C19" s="108"/>
      <c r="D19" s="108"/>
      <c r="E19" s="108"/>
      <c r="F19" s="108"/>
      <c r="G19">
        <v>543.82067800000004</v>
      </c>
    </row>
    <row r="20" spans="3:12" x14ac:dyDescent="0.3">
      <c r="C20" s="108"/>
      <c r="D20" s="108"/>
      <c r="E20" s="108"/>
      <c r="F20" s="108"/>
      <c r="G20">
        <v>0</v>
      </c>
    </row>
    <row r="21" spans="3:12" x14ac:dyDescent="0.3">
      <c r="C21" s="108"/>
      <c r="D21" s="108"/>
      <c r="E21" s="108"/>
      <c r="F21" s="108"/>
      <c r="G21">
        <v>9.1799999999999998E-4</v>
      </c>
    </row>
    <row r="22" spans="3:12" x14ac:dyDescent="0.3">
      <c r="C22" s="108"/>
      <c r="D22" s="108"/>
      <c r="E22" s="108"/>
      <c r="F22" s="108"/>
      <c r="G22">
        <v>717.98352</v>
      </c>
    </row>
    <row r="23" spans="3:12" x14ac:dyDescent="0.3">
      <c r="C23" s="108"/>
      <c r="D23" s="108"/>
      <c r="E23" s="108"/>
      <c r="F23" s="108"/>
      <c r="G23">
        <v>0</v>
      </c>
    </row>
    <row r="24" spans="3:12" x14ac:dyDescent="0.3">
      <c r="C24" s="108"/>
      <c r="D24" s="108"/>
      <c r="E24" s="108"/>
      <c r="F24" s="108"/>
      <c r="G24">
        <v>0</v>
      </c>
    </row>
    <row r="25" spans="3:12" x14ac:dyDescent="0.3">
      <c r="C25" s="108"/>
      <c r="D25" s="108"/>
      <c r="E25" s="108"/>
      <c r="F25" s="108"/>
      <c r="G25">
        <v>864.104736</v>
      </c>
    </row>
    <row r="26" spans="3:12" x14ac:dyDescent="0.3">
      <c r="C26" s="108"/>
      <c r="D26" s="108"/>
      <c r="E26" s="108"/>
      <c r="F26" s="108"/>
      <c r="G26">
        <v>886.74774100000002</v>
      </c>
    </row>
    <row r="27" spans="3:12" x14ac:dyDescent="0.3">
      <c r="C27" s="108"/>
      <c r="D27" s="108"/>
      <c r="E27" s="108"/>
      <c r="F27" s="108"/>
      <c r="G27">
        <v>0</v>
      </c>
    </row>
    <row r="28" spans="3:12" x14ac:dyDescent="0.3">
      <c r="C28" s="108"/>
      <c r="D28" s="108"/>
      <c r="E28" s="108"/>
      <c r="F28" s="108"/>
      <c r="G28">
        <v>168.876113</v>
      </c>
    </row>
    <row r="29" spans="3:12" x14ac:dyDescent="0.3">
      <c r="C29" s="108"/>
      <c r="D29" s="108"/>
      <c r="E29" s="108"/>
      <c r="F29" s="108"/>
      <c r="G29">
        <v>240.54705799999999</v>
      </c>
    </row>
    <row r="30" spans="3:12" x14ac:dyDescent="0.3">
      <c r="C30" s="108"/>
      <c r="D30" s="108"/>
      <c r="E30" s="108"/>
      <c r="F30" s="108"/>
      <c r="G30">
        <v>548.02075100000002</v>
      </c>
    </row>
    <row r="31" spans="3:12" x14ac:dyDescent="0.3">
      <c r="C31" s="108"/>
      <c r="D31" s="108"/>
      <c r="E31" s="108"/>
      <c r="F31" s="108"/>
      <c r="G31">
        <v>0</v>
      </c>
    </row>
    <row r="32" spans="3:12" x14ac:dyDescent="0.3">
      <c r="C32" s="108"/>
      <c r="D32" s="108"/>
      <c r="E32" s="108"/>
      <c r="F32" s="108"/>
      <c r="G32">
        <v>145.40858399999999</v>
      </c>
    </row>
    <row r="33" spans="3:7" x14ac:dyDescent="0.3">
      <c r="C33" s="108"/>
      <c r="D33" s="108"/>
      <c r="E33" s="108"/>
      <c r="F33" s="108"/>
      <c r="G33">
        <v>90.509406999999996</v>
      </c>
    </row>
    <row r="34" spans="3:7" x14ac:dyDescent="0.3">
      <c r="C34" s="108"/>
      <c r="D34" s="108"/>
      <c r="E34" s="108"/>
      <c r="F34" s="108"/>
      <c r="G34">
        <v>0</v>
      </c>
    </row>
    <row r="35" spans="3:7" x14ac:dyDescent="0.3">
      <c r="C35" s="108"/>
      <c r="D35" s="108"/>
      <c r="E35" s="108"/>
      <c r="F35" s="108"/>
      <c r="G35">
        <v>2.5206599999999999</v>
      </c>
    </row>
    <row r="36" spans="3:7" x14ac:dyDescent="0.3">
      <c r="C36" s="108"/>
      <c r="D36" s="108"/>
      <c r="E36" s="108"/>
      <c r="F36" s="108"/>
      <c r="G36">
        <v>52.536045000000001</v>
      </c>
    </row>
    <row r="37" spans="3:7" x14ac:dyDescent="0.3">
      <c r="C37" s="108"/>
      <c r="D37" s="108"/>
      <c r="E37" s="108"/>
      <c r="F37" s="108"/>
      <c r="G37">
        <v>0</v>
      </c>
    </row>
    <row r="38" spans="3:7" x14ac:dyDescent="0.3">
      <c r="C38" s="108"/>
      <c r="D38" s="108"/>
      <c r="E38" s="108"/>
      <c r="F38" s="108"/>
      <c r="G38">
        <v>0</v>
      </c>
    </row>
    <row r="39" spans="3:7" x14ac:dyDescent="0.3">
      <c r="C39" s="108"/>
      <c r="D39" s="108"/>
      <c r="E39" s="108"/>
      <c r="F39" s="108"/>
      <c r="G39">
        <v>194.07762099999999</v>
      </c>
    </row>
    <row r="40" spans="3:7" x14ac:dyDescent="0.3">
      <c r="C40" s="108"/>
      <c r="D40" s="108"/>
      <c r="E40" s="108"/>
      <c r="F40" s="108"/>
      <c r="G40">
        <v>122.222099</v>
      </c>
    </row>
    <row r="41" spans="3:7" x14ac:dyDescent="0.3">
      <c r="C41" s="108"/>
      <c r="D41" s="108"/>
      <c r="E41" s="108"/>
      <c r="F41" s="108"/>
      <c r="G41">
        <v>0</v>
      </c>
    </row>
    <row r="42" spans="3:7" x14ac:dyDescent="0.3">
      <c r="C42" s="108"/>
      <c r="D42" s="108"/>
      <c r="E42" s="108"/>
      <c r="F42" s="108"/>
      <c r="G42">
        <v>16.938763999999999</v>
      </c>
    </row>
    <row r="43" spans="3:7" x14ac:dyDescent="0.3">
      <c r="C43" s="108"/>
      <c r="D43" s="108"/>
      <c r="E43" s="108"/>
      <c r="F43" s="108"/>
      <c r="G43">
        <v>145.24610899999999</v>
      </c>
    </row>
    <row r="44" spans="3:7" x14ac:dyDescent="0.3">
      <c r="C44" s="108"/>
      <c r="D44" s="108"/>
      <c r="E44" s="108"/>
      <c r="F44" s="108"/>
      <c r="G44">
        <v>0</v>
      </c>
    </row>
    <row r="45" spans="3:7" x14ac:dyDescent="0.3">
      <c r="C45" s="108"/>
      <c r="D45" s="108"/>
      <c r="E45" s="108"/>
      <c r="F45" s="108"/>
      <c r="G45">
        <v>0</v>
      </c>
    </row>
    <row r="46" spans="3:7" x14ac:dyDescent="0.3">
      <c r="C46" s="108"/>
      <c r="D46" s="108"/>
      <c r="E46" s="108"/>
      <c r="F46" s="108"/>
      <c r="G46">
        <v>187.83229</v>
      </c>
    </row>
    <row r="47" spans="3:7" x14ac:dyDescent="0.3">
      <c r="C47" s="108"/>
      <c r="D47" s="108"/>
      <c r="E47" s="108"/>
      <c r="F47" s="108"/>
      <c r="G47">
        <v>490.410034</v>
      </c>
    </row>
    <row r="48" spans="3:7" x14ac:dyDescent="0.3">
      <c r="C48" s="108"/>
      <c r="D48" s="108"/>
      <c r="E48" s="108"/>
      <c r="F48" s="108"/>
      <c r="G48">
        <v>0</v>
      </c>
    </row>
    <row r="49" spans="3:7" x14ac:dyDescent="0.3">
      <c r="C49" s="108"/>
      <c r="D49" s="108"/>
      <c r="E49" s="108"/>
      <c r="F49" s="108"/>
      <c r="G49">
        <v>91.237746999999999</v>
      </c>
    </row>
    <row r="50" spans="3:7" x14ac:dyDescent="0.3">
      <c r="C50" s="108"/>
      <c r="D50" s="108"/>
      <c r="E50" s="108"/>
      <c r="F50" s="108"/>
      <c r="G50">
        <v>758.820922</v>
      </c>
    </row>
    <row r="51" spans="3:7" x14ac:dyDescent="0.3">
      <c r="C51" s="108"/>
      <c r="D51" s="108"/>
      <c r="E51" s="108"/>
      <c r="F51" s="108"/>
      <c r="G51">
        <v>551.83849999999995</v>
      </c>
    </row>
    <row r="52" spans="3:7" x14ac:dyDescent="0.3">
      <c r="C52" s="108"/>
      <c r="D52" s="108"/>
      <c r="E52" s="108"/>
      <c r="F52" s="108"/>
      <c r="G52">
        <v>0</v>
      </c>
    </row>
    <row r="53" spans="3:7" x14ac:dyDescent="0.3">
      <c r="C53" s="108"/>
      <c r="D53" s="108"/>
      <c r="E53" s="108"/>
      <c r="F53" s="108"/>
      <c r="G53">
        <v>973.42633000000001</v>
      </c>
    </row>
    <row r="54" spans="3:7" x14ac:dyDescent="0.3">
      <c r="C54" s="108"/>
      <c r="D54" s="108"/>
      <c r="E54" s="108"/>
      <c r="F54" s="108"/>
      <c r="G54">
        <v>98.153464999999997</v>
      </c>
    </row>
    <row r="55" spans="3:7" x14ac:dyDescent="0.3">
      <c r="C55" s="108"/>
      <c r="D55" s="108"/>
      <c r="E55" s="108"/>
      <c r="F55" s="108"/>
      <c r="G55">
        <v>0</v>
      </c>
    </row>
    <row r="56" spans="3:7" x14ac:dyDescent="0.3">
      <c r="C56" s="108"/>
      <c r="D56" s="108"/>
      <c r="E56" s="108"/>
      <c r="F56" s="108"/>
      <c r="G56">
        <v>7.3517599999999996</v>
      </c>
    </row>
    <row r="57" spans="3:7" x14ac:dyDescent="0.3">
      <c r="C57" s="108"/>
      <c r="D57" s="108"/>
      <c r="E57" s="108"/>
      <c r="F57" s="108"/>
      <c r="G57">
        <v>352.82888700000001</v>
      </c>
    </row>
    <row r="58" spans="3:7" x14ac:dyDescent="0.3">
      <c r="C58" s="108"/>
      <c r="D58" s="108"/>
      <c r="E58" s="108"/>
      <c r="F58" s="108"/>
      <c r="G58">
        <v>0</v>
      </c>
    </row>
    <row r="59" spans="3:7" x14ac:dyDescent="0.3">
      <c r="C59" s="108"/>
      <c r="D59" s="108"/>
      <c r="E59" s="108"/>
      <c r="F59" s="108"/>
      <c r="G59">
        <v>0</v>
      </c>
    </row>
    <row r="60" spans="3:7" x14ac:dyDescent="0.3">
      <c r="C60" s="108"/>
      <c r="D60" s="108"/>
      <c r="E60" s="108"/>
      <c r="F60" s="108"/>
      <c r="G60">
        <v>666.67065400000001</v>
      </c>
    </row>
    <row r="61" spans="3:7" x14ac:dyDescent="0.3">
      <c r="C61" s="108"/>
      <c r="D61" s="108"/>
      <c r="E61" s="108"/>
      <c r="F61" s="108"/>
      <c r="G61">
        <v>1501.40661</v>
      </c>
    </row>
    <row r="62" spans="3:7" x14ac:dyDescent="0.3">
      <c r="C62" s="108"/>
      <c r="D62" s="108"/>
      <c r="E62" s="108"/>
      <c r="F62" s="108"/>
      <c r="G62">
        <v>0</v>
      </c>
    </row>
    <row r="63" spans="3:7" x14ac:dyDescent="0.3">
      <c r="C63" s="108"/>
      <c r="D63" s="108"/>
      <c r="E63" s="108"/>
      <c r="F63" s="108"/>
      <c r="G63">
        <v>358.48052899999999</v>
      </c>
    </row>
    <row r="64" spans="3:7" x14ac:dyDescent="0.3">
      <c r="C64" s="108"/>
      <c r="D64" s="108"/>
      <c r="E64" s="108"/>
      <c r="F64" s="108"/>
      <c r="G64">
        <v>287.57815499999998</v>
      </c>
    </row>
    <row r="65" spans="3:7" x14ac:dyDescent="0.3">
      <c r="C65" s="108"/>
      <c r="D65" s="108"/>
      <c r="E65" s="108"/>
      <c r="F65" s="108"/>
      <c r="G65">
        <v>1019.53161</v>
      </c>
    </row>
    <row r="66" spans="3:7" x14ac:dyDescent="0.3">
      <c r="C66" s="108"/>
      <c r="D66" s="108"/>
      <c r="E66" s="108"/>
      <c r="F66" s="108"/>
      <c r="G66">
        <v>0</v>
      </c>
    </row>
    <row r="67" spans="3:7" x14ac:dyDescent="0.3">
      <c r="C67" s="108"/>
      <c r="D67" s="108"/>
      <c r="E67" s="108"/>
      <c r="F67" s="108"/>
      <c r="G67">
        <v>445.61648500000001</v>
      </c>
    </row>
    <row r="68" spans="3:7" x14ac:dyDescent="0.3">
      <c r="C68" s="108"/>
      <c r="D68" s="108"/>
      <c r="E68" s="108"/>
      <c r="F68" s="108"/>
      <c r="G68">
        <v>283.80822699999999</v>
      </c>
    </row>
    <row r="69" spans="3:7" x14ac:dyDescent="0.3">
      <c r="C69" s="108"/>
      <c r="D69" s="108"/>
      <c r="E69" s="108"/>
      <c r="F69" s="108"/>
      <c r="G69">
        <v>0</v>
      </c>
    </row>
    <row r="70" spans="3:7" x14ac:dyDescent="0.3">
      <c r="C70" s="108"/>
      <c r="D70" s="108"/>
      <c r="E70" s="108"/>
      <c r="F70" s="108"/>
      <c r="G70">
        <v>0</v>
      </c>
    </row>
    <row r="71" spans="3:7" x14ac:dyDescent="0.3">
      <c r="C71" s="108"/>
      <c r="D71" s="108"/>
      <c r="E71" s="108"/>
      <c r="F71" s="108"/>
      <c r="G71">
        <v>0</v>
      </c>
    </row>
    <row r="72" spans="3:7" x14ac:dyDescent="0.3">
      <c r="C72" s="108"/>
      <c r="D72" s="108"/>
      <c r="E72" s="108"/>
      <c r="F72" s="108"/>
      <c r="G72">
        <v>548.02862500000003</v>
      </c>
    </row>
    <row r="73" spans="3:7" x14ac:dyDescent="0.3">
      <c r="C73" s="108"/>
      <c r="D73" s="108"/>
      <c r="E73" s="108"/>
      <c r="F73" s="108"/>
      <c r="G73">
        <v>0</v>
      </c>
    </row>
    <row r="74" spans="3:7" x14ac:dyDescent="0.3">
      <c r="C74" s="108"/>
      <c r="D74" s="108"/>
      <c r="E74" s="108"/>
      <c r="F74" s="108"/>
      <c r="G74">
        <v>0</v>
      </c>
    </row>
    <row r="75" spans="3:7" x14ac:dyDescent="0.3">
      <c r="C75" s="108"/>
      <c r="D75" s="108"/>
      <c r="E75" s="108"/>
      <c r="F75" s="108"/>
      <c r="G75">
        <v>977.76379299999996</v>
      </c>
    </row>
    <row r="76" spans="3:7" x14ac:dyDescent="0.3">
      <c r="C76" s="108"/>
      <c r="D76" s="108"/>
      <c r="E76" s="108"/>
      <c r="F76" s="108"/>
      <c r="G76">
        <v>0</v>
      </c>
    </row>
    <row r="77" spans="3:7" x14ac:dyDescent="0.3">
      <c r="C77" s="108"/>
      <c r="D77" s="108"/>
      <c r="E77" s="108"/>
      <c r="F77" s="108"/>
      <c r="G77">
        <v>2.7148970000000001</v>
      </c>
    </row>
    <row r="78" spans="3:7" x14ac:dyDescent="0.3">
      <c r="C78" s="108"/>
      <c r="D78" s="108"/>
      <c r="E78" s="108"/>
      <c r="F78" s="108"/>
      <c r="G78">
        <v>0</v>
      </c>
    </row>
    <row r="79" spans="3:7" x14ac:dyDescent="0.3">
      <c r="C79" s="108"/>
      <c r="D79" s="108"/>
      <c r="E79" s="108"/>
      <c r="F79" s="108"/>
      <c r="G79">
        <v>0</v>
      </c>
    </row>
    <row r="80" spans="3:7" x14ac:dyDescent="0.3">
      <c r="C80" s="108"/>
      <c r="D80" s="108"/>
      <c r="E80" s="108"/>
      <c r="F80" s="108"/>
      <c r="G80">
        <v>0</v>
      </c>
    </row>
    <row r="81" spans="3:7" x14ac:dyDescent="0.3">
      <c r="C81" s="108"/>
      <c r="D81" s="108"/>
      <c r="E81" s="108"/>
      <c r="F81" s="108"/>
      <c r="G81">
        <v>211.40696700000001</v>
      </c>
    </row>
    <row r="82" spans="3:7" x14ac:dyDescent="0.3">
      <c r="C82" s="108"/>
      <c r="D82" s="108"/>
      <c r="E82" s="108"/>
      <c r="F82" s="108"/>
      <c r="G82">
        <v>670.17755099999999</v>
      </c>
    </row>
    <row r="83" spans="3:7" x14ac:dyDescent="0.3">
      <c r="C83" s="108"/>
      <c r="D83" s="108"/>
      <c r="E83" s="108"/>
      <c r="F83" s="108"/>
      <c r="G83">
        <v>122.725128</v>
      </c>
    </row>
    <row r="84" spans="3:7" x14ac:dyDescent="0.3">
      <c r="C84" s="108"/>
      <c r="D84" s="108"/>
      <c r="E84" s="108"/>
      <c r="F84" s="108"/>
      <c r="G84">
        <v>110.52475699999999</v>
      </c>
    </row>
    <row r="85" spans="3:7" x14ac:dyDescent="0.3">
      <c r="C85" s="108"/>
      <c r="D85" s="108"/>
      <c r="E85" s="108"/>
      <c r="F85" s="108"/>
      <c r="G85">
        <v>1638.11364</v>
      </c>
    </row>
    <row r="86" spans="3:7" x14ac:dyDescent="0.3">
      <c r="C86" s="108"/>
      <c r="D86" s="108"/>
      <c r="E86" s="108"/>
      <c r="F86" s="108"/>
      <c r="G86">
        <v>369.51480099999998</v>
      </c>
    </row>
    <row r="87" spans="3:7" x14ac:dyDescent="0.3">
      <c r="C87" s="108"/>
      <c r="D87" s="108"/>
      <c r="E87" s="108"/>
      <c r="F87" s="108"/>
      <c r="G87">
        <v>0</v>
      </c>
    </row>
    <row r="88" spans="3:7" x14ac:dyDescent="0.3">
      <c r="C88" s="108"/>
      <c r="D88" s="108"/>
      <c r="E88" s="108"/>
      <c r="F88" s="108"/>
      <c r="G88">
        <v>1186.52343</v>
      </c>
    </row>
    <row r="89" spans="3:7" x14ac:dyDescent="0.3">
      <c r="C89" s="108"/>
      <c r="D89" s="108"/>
      <c r="E89" s="108"/>
      <c r="F89" s="108"/>
      <c r="G89">
        <v>402.50866600000001</v>
      </c>
    </row>
    <row r="90" spans="3:7" x14ac:dyDescent="0.3">
      <c r="C90" s="108"/>
      <c r="D90" s="108"/>
      <c r="E90" s="108"/>
      <c r="F90" s="108"/>
      <c r="G90">
        <v>0</v>
      </c>
    </row>
    <row r="91" spans="3:7" x14ac:dyDescent="0.3">
      <c r="C91" s="108"/>
      <c r="D91" s="108"/>
      <c r="E91" s="108"/>
      <c r="F91" s="108"/>
      <c r="G91">
        <v>25.700634999999998</v>
      </c>
    </row>
    <row r="92" spans="3:7" x14ac:dyDescent="0.3">
      <c r="C92" s="108"/>
      <c r="D92" s="108"/>
      <c r="E92" s="108"/>
      <c r="F92" s="108"/>
      <c r="G92">
        <v>691.99102700000003</v>
      </c>
    </row>
    <row r="93" spans="3:7" x14ac:dyDescent="0.3">
      <c r="C93" s="108"/>
      <c r="D93" s="108"/>
      <c r="E93" s="108"/>
      <c r="F93" s="108"/>
      <c r="G93">
        <v>162.40194700000001</v>
      </c>
    </row>
    <row r="94" spans="3:7" x14ac:dyDescent="0.3">
      <c r="C94" s="108"/>
      <c r="D94" s="108"/>
      <c r="E94" s="108"/>
      <c r="F94" s="108"/>
      <c r="G94">
        <v>3.3128579999999999</v>
      </c>
    </row>
    <row r="95" spans="3:7" x14ac:dyDescent="0.3">
      <c r="C95" s="108"/>
      <c r="D95" s="108"/>
      <c r="E95" s="108"/>
      <c r="F95" s="108"/>
      <c r="G95">
        <v>795.17773399999999</v>
      </c>
    </row>
    <row r="96" spans="3:7" x14ac:dyDescent="0.3">
      <c r="C96" s="108"/>
      <c r="D96" s="108"/>
      <c r="E96" s="108"/>
      <c r="F96" s="108"/>
      <c r="G96">
        <v>691.53356900000006</v>
      </c>
    </row>
    <row r="97" spans="3:7" x14ac:dyDescent="0.3">
      <c r="C97" s="108"/>
      <c r="D97" s="108"/>
      <c r="E97" s="108"/>
      <c r="F97" s="108"/>
      <c r="G97">
        <v>0</v>
      </c>
    </row>
    <row r="98" spans="3:7" x14ac:dyDescent="0.3">
      <c r="C98" s="108"/>
      <c r="D98" s="108"/>
      <c r="E98" s="108"/>
      <c r="F98" s="108"/>
      <c r="G98">
        <v>33.328749999999999</v>
      </c>
    </row>
    <row r="99" spans="3:7" x14ac:dyDescent="0.3">
      <c r="C99" s="108"/>
      <c r="D99" s="108"/>
      <c r="E99" s="108"/>
      <c r="F99" s="108"/>
      <c r="G99">
        <v>62.322859999999999</v>
      </c>
    </row>
    <row r="100" spans="3:7" x14ac:dyDescent="0.3">
      <c r="C100" s="108"/>
      <c r="D100" s="108"/>
      <c r="E100" s="108"/>
      <c r="F100" s="108"/>
      <c r="G100">
        <v>0</v>
      </c>
    </row>
    <row r="101" spans="3:7" x14ac:dyDescent="0.3">
      <c r="C101" s="108"/>
      <c r="D101" s="108"/>
      <c r="E101" s="108"/>
      <c r="F101" s="108"/>
      <c r="G101">
        <v>31.528596</v>
      </c>
    </row>
    <row r="102" spans="3:7" x14ac:dyDescent="0.3">
      <c r="C102" s="108"/>
      <c r="D102" s="108"/>
      <c r="E102" s="108"/>
      <c r="F102" s="108"/>
      <c r="G102">
        <v>0</v>
      </c>
    </row>
    <row r="103" spans="3:7" x14ac:dyDescent="0.3">
      <c r="C103" s="108"/>
      <c r="D103" s="108"/>
      <c r="E103" s="108"/>
      <c r="F103" s="108"/>
      <c r="G103">
        <v>838.11834699999997</v>
      </c>
    </row>
    <row r="104" spans="3:7" x14ac:dyDescent="0.3">
      <c r="C104" s="108"/>
      <c r="D104" s="108"/>
      <c r="E104" s="108"/>
      <c r="F104" s="108"/>
      <c r="G104">
        <v>0</v>
      </c>
    </row>
    <row r="105" spans="3:7" x14ac:dyDescent="0.3">
      <c r="C105" s="108"/>
      <c r="D105" s="108"/>
      <c r="E105" s="108"/>
      <c r="F105" s="108"/>
      <c r="G105">
        <v>72.816458999999995</v>
      </c>
    </row>
    <row r="106" spans="3:7" x14ac:dyDescent="0.3">
      <c r="C106" s="108"/>
      <c r="D106" s="108"/>
      <c r="E106" s="108"/>
      <c r="F106" s="108"/>
      <c r="G106">
        <v>463.54162500000001</v>
      </c>
    </row>
    <row r="107" spans="3:7" x14ac:dyDescent="0.3">
      <c r="C107" s="108"/>
      <c r="D107" s="108"/>
      <c r="E107" s="108"/>
      <c r="F107" s="108"/>
      <c r="G107">
        <v>144.54055700000001</v>
      </c>
    </row>
    <row r="108" spans="3:7" x14ac:dyDescent="0.3">
      <c r="C108" s="108"/>
      <c r="D108" s="108"/>
      <c r="E108" s="108"/>
      <c r="F108" s="108"/>
      <c r="G108">
        <v>0</v>
      </c>
    </row>
    <row r="109" spans="3:7" x14ac:dyDescent="0.3">
      <c r="C109" s="108"/>
      <c r="D109" s="108"/>
      <c r="E109" s="108"/>
      <c r="F109" s="108"/>
      <c r="G109">
        <v>789.93536300000005</v>
      </c>
    </row>
    <row r="110" spans="3:7" x14ac:dyDescent="0.3">
      <c r="C110" s="108"/>
      <c r="D110" s="108"/>
      <c r="E110" s="108"/>
      <c r="F110" s="108"/>
      <c r="G110">
        <v>1977.7209399999999</v>
      </c>
    </row>
    <row r="111" spans="3:7" x14ac:dyDescent="0.3">
      <c r="C111" s="108"/>
      <c r="D111" s="108"/>
      <c r="E111" s="108"/>
      <c r="F111" s="108"/>
      <c r="G111">
        <v>88.596526999999995</v>
      </c>
    </row>
    <row r="112" spans="3:7" x14ac:dyDescent="0.3">
      <c r="C112" s="108"/>
      <c r="D112" s="108"/>
      <c r="E112" s="108"/>
      <c r="F112" s="108"/>
      <c r="G112">
        <v>32.895243999999998</v>
      </c>
    </row>
    <row r="113" spans="3:7" x14ac:dyDescent="0.3">
      <c r="C113" s="108"/>
      <c r="D113" s="108"/>
      <c r="E113" s="108"/>
      <c r="F113" s="108"/>
      <c r="G113">
        <v>0</v>
      </c>
    </row>
    <row r="114" spans="3:7" x14ac:dyDescent="0.3">
      <c r="C114" s="108"/>
      <c r="D114" s="108"/>
      <c r="E114" s="108"/>
      <c r="F114" s="108"/>
      <c r="G114">
        <v>0</v>
      </c>
    </row>
    <row r="115" spans="3:7" x14ac:dyDescent="0.3">
      <c r="C115" s="108"/>
      <c r="D115" s="108"/>
      <c r="E115" s="108"/>
      <c r="F115" s="108"/>
      <c r="G115">
        <v>4.0581319999999996</v>
      </c>
    </row>
    <row r="116" spans="3:7" x14ac:dyDescent="0.3">
      <c r="C116" s="108"/>
      <c r="D116" s="108"/>
      <c r="E116" s="108"/>
      <c r="F116" s="108"/>
      <c r="G116">
        <v>0</v>
      </c>
    </row>
    <row r="117" spans="3:7" x14ac:dyDescent="0.3">
      <c r="C117" s="108"/>
      <c r="D117" s="108"/>
      <c r="E117" s="108"/>
      <c r="F117" s="108"/>
      <c r="G117">
        <v>1142.2218</v>
      </c>
    </row>
    <row r="118" spans="3:7" x14ac:dyDescent="0.3">
      <c r="C118" s="108"/>
      <c r="D118" s="108"/>
      <c r="E118" s="108"/>
      <c r="F118" s="108"/>
      <c r="G118">
        <v>147.492797</v>
      </c>
    </row>
    <row r="119" spans="3:7" x14ac:dyDescent="0.3">
      <c r="C119" s="108"/>
      <c r="D119" s="108"/>
      <c r="E119" s="108"/>
      <c r="F119" s="108"/>
      <c r="G119">
        <v>46.160522</v>
      </c>
    </row>
    <row r="120" spans="3:7" x14ac:dyDescent="0.3">
      <c r="C120" s="108"/>
      <c r="D120" s="108"/>
      <c r="E120" s="108"/>
      <c r="F120" s="108"/>
      <c r="G120">
        <v>242.70352099999999</v>
      </c>
    </row>
    <row r="121" spans="3:7" x14ac:dyDescent="0.3">
      <c r="C121" s="108"/>
      <c r="D121" s="108"/>
      <c r="E121" s="108"/>
      <c r="F121" s="108"/>
      <c r="G121">
        <v>105.785675</v>
      </c>
    </row>
    <row r="122" spans="3:7" x14ac:dyDescent="0.3">
      <c r="C122" s="108"/>
      <c r="D122" s="108"/>
      <c r="E122" s="108"/>
      <c r="F122" s="108"/>
      <c r="G122">
        <v>0</v>
      </c>
    </row>
    <row r="123" spans="3:7" x14ac:dyDescent="0.3">
      <c r="C123" s="108"/>
      <c r="D123" s="108"/>
      <c r="E123" s="108"/>
      <c r="F123" s="108"/>
      <c r="G123">
        <v>413.830963</v>
      </c>
    </row>
    <row r="124" spans="3:7" x14ac:dyDescent="0.3">
      <c r="C124" s="108"/>
      <c r="D124" s="108"/>
      <c r="E124" s="108"/>
      <c r="F124" s="108"/>
      <c r="G124">
        <v>986.43566799999996</v>
      </c>
    </row>
    <row r="125" spans="3:7" x14ac:dyDescent="0.3">
      <c r="C125" s="108"/>
      <c r="D125" s="108"/>
      <c r="E125" s="108"/>
      <c r="F125" s="108"/>
      <c r="G125">
        <v>63.828856999999999</v>
      </c>
    </row>
    <row r="126" spans="3:7" x14ac:dyDescent="0.3">
      <c r="C126" s="108"/>
      <c r="D126" s="108"/>
      <c r="E126" s="108"/>
      <c r="F126" s="108"/>
      <c r="G126">
        <v>26.723991000000002</v>
      </c>
    </row>
    <row r="127" spans="3:7" x14ac:dyDescent="0.3">
      <c r="C127" s="108"/>
      <c r="D127" s="108"/>
      <c r="E127" s="108"/>
      <c r="F127" s="108"/>
      <c r="G127">
        <v>0</v>
      </c>
    </row>
    <row r="128" spans="3:7" x14ac:dyDescent="0.3">
      <c r="C128" s="108"/>
      <c r="D128" s="108"/>
      <c r="E128" s="108"/>
      <c r="F128" s="108"/>
      <c r="G128">
        <v>0</v>
      </c>
    </row>
    <row r="129" spans="3:7" x14ac:dyDescent="0.3">
      <c r="C129" s="108"/>
      <c r="D129" s="108"/>
      <c r="E129" s="108"/>
      <c r="F129" s="108"/>
      <c r="G129">
        <v>0</v>
      </c>
    </row>
    <row r="130" spans="3:7" x14ac:dyDescent="0.3">
      <c r="C130" s="108"/>
      <c r="D130" s="108"/>
      <c r="E130" s="108"/>
      <c r="F130" s="108"/>
      <c r="G130">
        <v>338.82562200000001</v>
      </c>
    </row>
    <row r="131" spans="3:7" x14ac:dyDescent="0.3">
      <c r="C131" s="108"/>
      <c r="D131" s="108"/>
      <c r="E131" s="108"/>
      <c r="F131" s="108"/>
      <c r="G131">
        <v>914.01074200000005</v>
      </c>
    </row>
    <row r="132" spans="3:7" x14ac:dyDescent="0.3">
      <c r="C132" s="108"/>
      <c r="D132" s="108"/>
      <c r="E132" s="108"/>
      <c r="F132" s="108"/>
      <c r="G132">
        <v>0</v>
      </c>
    </row>
    <row r="133" spans="3:7" x14ac:dyDescent="0.3">
      <c r="C133" s="108"/>
      <c r="D133" s="108"/>
      <c r="E133" s="108"/>
      <c r="F133" s="108"/>
      <c r="G133">
        <v>0</v>
      </c>
    </row>
    <row r="134" spans="3:7" x14ac:dyDescent="0.3">
      <c r="C134" s="108"/>
      <c r="D134" s="108"/>
      <c r="E134" s="108"/>
      <c r="F134" s="108"/>
      <c r="G134">
        <v>344.88769500000001</v>
      </c>
    </row>
    <row r="135" spans="3:7" x14ac:dyDescent="0.3">
      <c r="C135" s="108"/>
      <c r="D135" s="108"/>
      <c r="E135" s="108"/>
      <c r="F135" s="108"/>
      <c r="G135">
        <v>829.92266800000004</v>
      </c>
    </row>
    <row r="136" spans="3:7" x14ac:dyDescent="0.3">
      <c r="C136" s="108"/>
      <c r="D136" s="108"/>
      <c r="E136" s="108"/>
      <c r="F136" s="108"/>
      <c r="G136">
        <v>0</v>
      </c>
    </row>
    <row r="137" spans="3:7" x14ac:dyDescent="0.3">
      <c r="C137" s="108"/>
      <c r="D137" s="108"/>
      <c r="E137" s="108"/>
      <c r="F137" s="108"/>
      <c r="G137">
        <v>0</v>
      </c>
    </row>
    <row r="138" spans="3:7" x14ac:dyDescent="0.3">
      <c r="C138" s="108"/>
      <c r="D138" s="108"/>
      <c r="E138" s="108"/>
      <c r="F138" s="108"/>
      <c r="G138">
        <v>67.572929000000002</v>
      </c>
    </row>
    <row r="139" spans="3:7" x14ac:dyDescent="0.3">
      <c r="C139" s="108"/>
      <c r="D139" s="108"/>
      <c r="E139" s="108"/>
      <c r="F139" s="108"/>
      <c r="G139">
        <v>0</v>
      </c>
    </row>
    <row r="140" spans="3:7" x14ac:dyDescent="0.3">
      <c r="C140" s="108"/>
      <c r="D140" s="108"/>
      <c r="E140" s="108"/>
      <c r="F140" s="108"/>
      <c r="G140">
        <v>0</v>
      </c>
    </row>
    <row r="141" spans="3:7" x14ac:dyDescent="0.3">
      <c r="C141" s="108"/>
      <c r="D141" s="108"/>
      <c r="E141" s="108"/>
      <c r="F141" s="108"/>
      <c r="G141">
        <v>0</v>
      </c>
    </row>
    <row r="142" spans="3:7" x14ac:dyDescent="0.3">
      <c r="C142" s="108"/>
      <c r="D142" s="108"/>
      <c r="E142" s="108"/>
      <c r="F142" s="108"/>
      <c r="G142">
        <v>618.65338099999997</v>
      </c>
    </row>
    <row r="143" spans="3:7" x14ac:dyDescent="0.3">
      <c r="C143" s="108"/>
      <c r="D143" s="108"/>
      <c r="E143" s="108"/>
      <c r="F143" s="108"/>
      <c r="G143">
        <v>0</v>
      </c>
    </row>
    <row r="144" spans="3:7" x14ac:dyDescent="0.3">
      <c r="C144" s="108"/>
      <c r="D144" s="108"/>
      <c r="E144" s="108"/>
      <c r="F144" s="108"/>
      <c r="G144">
        <v>0</v>
      </c>
    </row>
    <row r="145" spans="3:7" x14ac:dyDescent="0.3">
      <c r="C145" s="108"/>
      <c r="D145" s="108"/>
      <c r="E145" s="108"/>
      <c r="F145" s="108"/>
      <c r="G145">
        <v>691.969787</v>
      </c>
    </row>
    <row r="146" spans="3:7" x14ac:dyDescent="0.3">
      <c r="C146" s="108"/>
      <c r="D146" s="108"/>
      <c r="E146" s="108"/>
      <c r="F146" s="108"/>
      <c r="G146">
        <v>0</v>
      </c>
    </row>
    <row r="147" spans="3:7" x14ac:dyDescent="0.3">
      <c r="C147" s="108"/>
      <c r="D147" s="108"/>
      <c r="E147" s="108"/>
      <c r="F147" s="108"/>
      <c r="G147">
        <v>2.3119000000000001E-2</v>
      </c>
    </row>
    <row r="148" spans="3:7" x14ac:dyDescent="0.3">
      <c r="C148" s="108"/>
      <c r="D148" s="108"/>
      <c r="E148" s="108"/>
      <c r="F148" s="108"/>
      <c r="G148">
        <v>315.92394999999999</v>
      </c>
    </row>
    <row r="149" spans="3:7" x14ac:dyDescent="0.3">
      <c r="C149" s="108"/>
      <c r="D149" s="108"/>
      <c r="E149" s="108"/>
      <c r="F149" s="108"/>
      <c r="G149">
        <v>334.06445300000001</v>
      </c>
    </row>
    <row r="150" spans="3:7" x14ac:dyDescent="0.3">
      <c r="C150" s="108"/>
      <c r="D150" s="108"/>
      <c r="E150" s="108"/>
      <c r="F150" s="108"/>
      <c r="G150">
        <v>0</v>
      </c>
    </row>
    <row r="151" spans="3:7" x14ac:dyDescent="0.3">
      <c r="C151" s="108"/>
      <c r="D151" s="108"/>
      <c r="E151" s="108"/>
      <c r="F151" s="108"/>
      <c r="G151">
        <v>234.42010400000001</v>
      </c>
    </row>
    <row r="152" spans="3:7" x14ac:dyDescent="0.3">
      <c r="C152" s="108"/>
      <c r="D152" s="108"/>
      <c r="E152" s="108"/>
      <c r="F152" s="108"/>
      <c r="G152">
        <v>3177.1437900000001</v>
      </c>
    </row>
    <row r="153" spans="3:7" x14ac:dyDescent="0.3">
      <c r="C153" s="108"/>
      <c r="D153" s="108"/>
      <c r="E153" s="108"/>
      <c r="F153" s="108"/>
      <c r="G153">
        <v>0</v>
      </c>
    </row>
    <row r="154" spans="3:7" x14ac:dyDescent="0.3">
      <c r="C154" s="108"/>
      <c r="D154" s="108"/>
      <c r="E154" s="108"/>
      <c r="F154" s="108"/>
      <c r="G154">
        <v>5.5888179999999998</v>
      </c>
    </row>
    <row r="155" spans="3:7" x14ac:dyDescent="0.3">
      <c r="C155" s="108"/>
      <c r="D155" s="108"/>
      <c r="E155" s="108"/>
      <c r="F155" s="108"/>
      <c r="G155">
        <v>0</v>
      </c>
    </row>
    <row r="156" spans="3:7" x14ac:dyDescent="0.3">
      <c r="C156" s="108"/>
      <c r="D156" s="108"/>
      <c r="E156" s="108"/>
      <c r="F156" s="108"/>
      <c r="G156">
        <v>0</v>
      </c>
    </row>
    <row r="157" spans="3:7" x14ac:dyDescent="0.3">
      <c r="C157" s="108"/>
      <c r="D157" s="108"/>
      <c r="E157" s="108"/>
      <c r="F157" s="108"/>
      <c r="G157">
        <v>0</v>
      </c>
    </row>
    <row r="158" spans="3:7" x14ac:dyDescent="0.3">
      <c r="C158" s="108"/>
      <c r="D158" s="108"/>
      <c r="E158" s="108"/>
      <c r="F158" s="108"/>
      <c r="G158">
        <v>672.97912499999995</v>
      </c>
    </row>
    <row r="159" spans="3:7" x14ac:dyDescent="0.3">
      <c r="C159" s="108"/>
      <c r="D159" s="108"/>
      <c r="E159" s="108"/>
      <c r="F159" s="108"/>
      <c r="G159">
        <v>338.47689800000001</v>
      </c>
    </row>
    <row r="160" spans="3:7" x14ac:dyDescent="0.3">
      <c r="C160" s="108"/>
      <c r="D160" s="108"/>
      <c r="E160" s="108"/>
      <c r="F160" s="108"/>
      <c r="G160">
        <v>0</v>
      </c>
    </row>
    <row r="161" spans="3:7" x14ac:dyDescent="0.3">
      <c r="C161" s="108"/>
      <c r="D161" s="108"/>
      <c r="E161" s="108"/>
      <c r="F161" s="108"/>
      <c r="G161">
        <v>95.017463000000006</v>
      </c>
    </row>
    <row r="162" spans="3:7" x14ac:dyDescent="0.3">
      <c r="C162" s="108"/>
      <c r="D162" s="108"/>
      <c r="E162" s="108"/>
      <c r="F162" s="108"/>
      <c r="G162">
        <v>0</v>
      </c>
    </row>
    <row r="163" spans="3:7" x14ac:dyDescent="0.3">
      <c r="C163" s="108"/>
      <c r="D163" s="108"/>
      <c r="E163" s="108"/>
      <c r="F163" s="108"/>
      <c r="G163">
        <v>0</v>
      </c>
    </row>
    <row r="164" spans="3:7" x14ac:dyDescent="0.3">
      <c r="C164" s="108"/>
      <c r="D164" s="108"/>
      <c r="E164" s="108"/>
      <c r="F164" s="108"/>
      <c r="G164">
        <v>0</v>
      </c>
    </row>
    <row r="165" spans="3:7" x14ac:dyDescent="0.3">
      <c r="C165" s="108"/>
      <c r="D165" s="108"/>
      <c r="E165" s="108"/>
      <c r="F165" s="108"/>
      <c r="G165">
        <v>74.612425999999999</v>
      </c>
    </row>
    <row r="166" spans="3:7" x14ac:dyDescent="0.3">
      <c r="C166" s="108"/>
      <c r="D166" s="108"/>
      <c r="E166" s="108"/>
      <c r="F166" s="108"/>
      <c r="G166">
        <v>2357.9594699999998</v>
      </c>
    </row>
    <row r="167" spans="3:7" x14ac:dyDescent="0.3">
      <c r="C167" s="108"/>
      <c r="D167" s="108"/>
      <c r="E167" s="108"/>
      <c r="F167" s="108"/>
      <c r="G167">
        <v>0</v>
      </c>
    </row>
    <row r="168" spans="3:7" x14ac:dyDescent="0.3">
      <c r="C168" s="108"/>
      <c r="D168" s="108"/>
      <c r="E168" s="108"/>
      <c r="F168" s="108"/>
      <c r="G168">
        <v>34.594802000000001</v>
      </c>
    </row>
    <row r="169" spans="3:7" x14ac:dyDescent="0.3">
      <c r="C169" s="108"/>
      <c r="D169" s="108"/>
      <c r="E169" s="108"/>
      <c r="F169" s="108"/>
      <c r="G169">
        <v>0</v>
      </c>
    </row>
    <row r="170" spans="3:7" x14ac:dyDescent="0.3">
      <c r="C170" s="108"/>
      <c r="D170" s="108"/>
      <c r="E170" s="108"/>
      <c r="F170" s="108"/>
      <c r="G170">
        <v>0</v>
      </c>
    </row>
    <row r="171" spans="3:7" x14ac:dyDescent="0.3">
      <c r="C171" s="108"/>
      <c r="D171" s="108"/>
      <c r="E171" s="108"/>
      <c r="F171" s="108"/>
      <c r="G171">
        <v>0</v>
      </c>
    </row>
    <row r="172" spans="3:7" x14ac:dyDescent="0.3">
      <c r="C172" s="108"/>
      <c r="D172" s="108"/>
      <c r="E172" s="108"/>
      <c r="F172" s="108"/>
      <c r="G172">
        <v>1184.34899</v>
      </c>
    </row>
    <row r="173" spans="3:7" x14ac:dyDescent="0.3">
      <c r="C173" s="108"/>
      <c r="D173" s="108"/>
      <c r="E173" s="108"/>
      <c r="F173" s="108"/>
      <c r="G173">
        <v>646.75701900000001</v>
      </c>
    </row>
    <row r="174" spans="3:7" x14ac:dyDescent="0.3">
      <c r="C174" s="108"/>
      <c r="D174" s="108"/>
      <c r="E174" s="108"/>
      <c r="F174" s="108"/>
      <c r="G174">
        <v>0</v>
      </c>
    </row>
    <row r="175" spans="3:7" x14ac:dyDescent="0.3">
      <c r="C175" s="108"/>
      <c r="D175" s="108"/>
      <c r="E175" s="108"/>
      <c r="F175" s="108"/>
      <c r="G175">
        <v>0.46699099999999999</v>
      </c>
    </row>
    <row r="176" spans="3:7" x14ac:dyDescent="0.3">
      <c r="C176" s="108"/>
      <c r="D176" s="108"/>
      <c r="E176" s="108"/>
      <c r="F176" s="108"/>
      <c r="G176">
        <v>0</v>
      </c>
    </row>
    <row r="177" spans="3:7" x14ac:dyDescent="0.3">
      <c r="C177" s="108"/>
      <c r="D177" s="108"/>
      <c r="E177" s="108"/>
      <c r="F177" s="108"/>
      <c r="G177">
        <v>0</v>
      </c>
    </row>
    <row r="178" spans="3:7" x14ac:dyDescent="0.3">
      <c r="C178" s="108"/>
      <c r="D178" s="108"/>
      <c r="E178" s="108"/>
      <c r="F178" s="108"/>
      <c r="G178">
        <v>0</v>
      </c>
    </row>
    <row r="179" spans="3:7" x14ac:dyDescent="0.3">
      <c r="C179" s="108"/>
      <c r="D179" s="108"/>
      <c r="E179" s="108"/>
      <c r="F179" s="108"/>
      <c r="G179">
        <v>82.110602999999998</v>
      </c>
    </row>
    <row r="180" spans="3:7" x14ac:dyDescent="0.3">
      <c r="C180" s="108"/>
      <c r="D180" s="108"/>
      <c r="E180" s="108"/>
      <c r="F180" s="108"/>
      <c r="G180">
        <v>30.262664000000001</v>
      </c>
    </row>
    <row r="181" spans="3:7" x14ac:dyDescent="0.3">
      <c r="C181" s="108"/>
      <c r="D181" s="108"/>
      <c r="E181" s="108"/>
      <c r="F181" s="108"/>
      <c r="G181">
        <v>0</v>
      </c>
    </row>
    <row r="182" spans="3:7" x14ac:dyDescent="0.3">
      <c r="C182" s="108"/>
      <c r="D182" s="108"/>
      <c r="E182" s="108"/>
      <c r="F182" s="108"/>
      <c r="G182">
        <v>0</v>
      </c>
    </row>
    <row r="183" spans="3:7" x14ac:dyDescent="0.3">
      <c r="C183" s="108"/>
      <c r="D183" s="108"/>
      <c r="E183" s="108"/>
      <c r="F183" s="108"/>
      <c r="G183">
        <v>243.30453399999999</v>
      </c>
    </row>
    <row r="184" spans="3:7" x14ac:dyDescent="0.3">
      <c r="C184" s="108"/>
      <c r="D184" s="108"/>
      <c r="E184" s="108"/>
      <c r="F184" s="108"/>
      <c r="G184">
        <v>0</v>
      </c>
    </row>
    <row r="185" spans="3:7" x14ac:dyDescent="0.3">
      <c r="C185" s="108"/>
      <c r="D185" s="108"/>
      <c r="E185" s="108"/>
      <c r="F185" s="108"/>
      <c r="G185">
        <v>0</v>
      </c>
    </row>
    <row r="186" spans="3:7" x14ac:dyDescent="0.3">
      <c r="C186" s="108"/>
      <c r="D186" s="108"/>
      <c r="E186" s="108"/>
      <c r="F186" s="108"/>
      <c r="G186">
        <v>0</v>
      </c>
    </row>
    <row r="187" spans="3:7" x14ac:dyDescent="0.3">
      <c r="C187" s="108"/>
      <c r="D187" s="108"/>
      <c r="E187" s="108"/>
      <c r="F187" s="108"/>
    </row>
    <row r="188" spans="3:7" x14ac:dyDescent="0.3">
      <c r="C188" s="108"/>
      <c r="D188" s="108"/>
      <c r="E188" s="108"/>
      <c r="F188" s="108"/>
    </row>
    <row r="189" spans="3:7" x14ac:dyDescent="0.3">
      <c r="C189" s="108"/>
      <c r="D189" s="108"/>
      <c r="E189" s="108"/>
      <c r="F189" s="108"/>
    </row>
    <row r="190" spans="3:7" x14ac:dyDescent="0.3">
      <c r="C190" s="108"/>
      <c r="D190" s="108"/>
      <c r="E190" s="108"/>
      <c r="F190" s="108"/>
    </row>
  </sheetData>
  <hyperlinks>
    <hyperlink ref="A1" location="'Table Of Contents'!A1" display="Return to ToC" xr:uid="{00000000-0004-0000-1100-000000000000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L190"/>
  <sheetViews>
    <sheetView zoomScale="115" zoomScaleNormal="115" workbookViewId="0">
      <selection activeCell="F4" sqref="B4:F4"/>
    </sheetView>
  </sheetViews>
  <sheetFormatPr defaultRowHeight="14.4" x14ac:dyDescent="0.3"/>
  <cols>
    <col min="1" max="1" width="6.77734375" bestFit="1" customWidth="1"/>
    <col min="2" max="2" width="6" bestFit="1" customWidth="1"/>
    <col min="3" max="3" width="8.33203125" bestFit="1" customWidth="1"/>
    <col min="4" max="4" width="9" bestFit="1" customWidth="1"/>
    <col min="5" max="5" width="9.21875" bestFit="1" customWidth="1"/>
    <col min="6" max="6" width="10.33203125" bestFit="1" customWidth="1"/>
    <col min="8" max="8" width="10.77734375" bestFit="1" customWidth="1"/>
    <col min="9" max="9" width="14.6640625" bestFit="1" customWidth="1"/>
    <col min="10" max="10" width="15.109375" bestFit="1" customWidth="1"/>
    <col min="11" max="11" width="15" bestFit="1" customWidth="1"/>
    <col min="12" max="12" width="16.33203125" bestFit="1" customWidth="1"/>
    <col min="13" max="14" width="11.77734375" bestFit="1" customWidth="1"/>
  </cols>
  <sheetData>
    <row r="1" spans="1:12" ht="27" thickBot="1" x14ac:dyDescent="0.35">
      <c r="A1" s="8" t="s">
        <v>2</v>
      </c>
    </row>
    <row r="4" spans="1:12" x14ac:dyDescent="0.3">
      <c r="A4" s="52" t="s">
        <v>74</v>
      </c>
      <c r="B4" s="52" t="s">
        <v>75</v>
      </c>
      <c r="C4" s="52" t="s">
        <v>76</v>
      </c>
      <c r="D4" s="52" t="s">
        <v>23</v>
      </c>
      <c r="E4" s="52" t="s">
        <v>21</v>
      </c>
      <c r="F4" s="52" t="s">
        <v>22</v>
      </c>
    </row>
    <row r="5" spans="1:12" x14ac:dyDescent="0.3">
      <c r="C5" s="108"/>
      <c r="D5" s="108"/>
      <c r="E5" s="108"/>
      <c r="F5" s="108"/>
      <c r="G5">
        <v>111.061401</v>
      </c>
      <c r="H5" s="109" t="s">
        <v>3</v>
      </c>
      <c r="I5" t="s">
        <v>77</v>
      </c>
      <c r="J5" t="s">
        <v>78</v>
      </c>
      <c r="K5" t="s">
        <v>79</v>
      </c>
      <c r="L5" t="s">
        <v>80</v>
      </c>
    </row>
    <row r="6" spans="1:12" x14ac:dyDescent="0.3">
      <c r="C6" s="108"/>
      <c r="D6" s="108"/>
      <c r="E6" s="108"/>
      <c r="F6" s="108"/>
      <c r="G6">
        <v>0</v>
      </c>
      <c r="H6" s="107" t="s">
        <v>81</v>
      </c>
      <c r="I6" s="108"/>
      <c r="J6" s="108"/>
      <c r="K6" s="108"/>
      <c r="L6" s="108"/>
    </row>
    <row r="7" spans="1:12" x14ac:dyDescent="0.3">
      <c r="C7" s="108"/>
      <c r="D7" s="108"/>
      <c r="E7" s="108"/>
      <c r="F7" s="108"/>
      <c r="G7">
        <v>8.3255999999999997E-2</v>
      </c>
      <c r="H7" s="107" t="s">
        <v>82</v>
      </c>
      <c r="I7" s="108"/>
      <c r="J7" s="108"/>
      <c r="K7" s="108"/>
      <c r="L7" s="108"/>
    </row>
    <row r="8" spans="1:12" x14ac:dyDescent="0.3">
      <c r="C8" s="108"/>
      <c r="D8" s="108"/>
      <c r="E8" s="108"/>
      <c r="F8" s="108"/>
      <c r="G8">
        <v>0</v>
      </c>
    </row>
    <row r="9" spans="1:12" x14ac:dyDescent="0.3">
      <c r="C9" s="108"/>
      <c r="D9" s="108"/>
      <c r="E9" s="108"/>
      <c r="F9" s="108"/>
      <c r="G9">
        <v>0</v>
      </c>
    </row>
    <row r="10" spans="1:12" x14ac:dyDescent="0.3">
      <c r="C10" s="108"/>
      <c r="D10" s="108"/>
      <c r="E10" s="108"/>
      <c r="F10" s="108"/>
      <c r="G10">
        <v>0</v>
      </c>
    </row>
    <row r="11" spans="1:12" x14ac:dyDescent="0.3">
      <c r="C11" s="108"/>
      <c r="D11" s="108"/>
      <c r="E11" s="108"/>
      <c r="F11" s="108"/>
      <c r="G11">
        <v>73.574461999999997</v>
      </c>
    </row>
    <row r="12" spans="1:12" x14ac:dyDescent="0.3">
      <c r="C12" s="108"/>
      <c r="D12" s="108"/>
      <c r="E12" s="108"/>
      <c r="F12" s="108"/>
      <c r="G12">
        <v>626.53301999999996</v>
      </c>
    </row>
    <row r="13" spans="1:12" x14ac:dyDescent="0.3">
      <c r="C13" s="108"/>
      <c r="D13" s="108"/>
      <c r="E13" s="108"/>
      <c r="F13" s="108"/>
      <c r="G13">
        <v>0</v>
      </c>
    </row>
    <row r="14" spans="1:12" x14ac:dyDescent="0.3">
      <c r="C14" s="108"/>
      <c r="D14" s="108"/>
      <c r="E14" s="108"/>
      <c r="F14" s="108"/>
      <c r="G14">
        <v>4.3011790000000003</v>
      </c>
    </row>
    <row r="15" spans="1:12" x14ac:dyDescent="0.3">
      <c r="C15" s="108"/>
      <c r="D15" s="108"/>
      <c r="E15" s="108"/>
      <c r="F15" s="108"/>
      <c r="G15">
        <v>0</v>
      </c>
    </row>
    <row r="16" spans="1:12" x14ac:dyDescent="0.3">
      <c r="C16" s="108"/>
      <c r="D16" s="108"/>
      <c r="E16" s="108"/>
      <c r="F16" s="108"/>
      <c r="G16">
        <v>11.956711</v>
      </c>
      <c r="H16" s="109" t="s">
        <v>83</v>
      </c>
      <c r="I16" t="s">
        <v>77</v>
      </c>
      <c r="J16" t="s">
        <v>78</v>
      </c>
      <c r="K16" t="s">
        <v>79</v>
      </c>
      <c r="L16" t="s">
        <v>80</v>
      </c>
    </row>
    <row r="17" spans="3:12" x14ac:dyDescent="0.3">
      <c r="C17" s="108"/>
      <c r="D17" s="108"/>
      <c r="E17" s="108"/>
      <c r="F17" s="108"/>
      <c r="G17">
        <v>0</v>
      </c>
      <c r="H17" s="107" t="s">
        <v>81</v>
      </c>
      <c r="I17" s="108"/>
      <c r="J17" s="108"/>
      <c r="K17" s="108"/>
      <c r="L17" s="108"/>
    </row>
    <row r="18" spans="3:12" x14ac:dyDescent="0.3">
      <c r="C18" s="108"/>
      <c r="D18" s="108"/>
      <c r="E18" s="108"/>
      <c r="F18" s="108"/>
      <c r="G18">
        <v>677.32830799999999</v>
      </c>
      <c r="H18" s="107" t="s">
        <v>82</v>
      </c>
      <c r="I18" s="108"/>
      <c r="J18" s="108"/>
      <c r="K18" s="108"/>
      <c r="L18" s="108"/>
    </row>
    <row r="19" spans="3:12" x14ac:dyDescent="0.3">
      <c r="C19" s="108"/>
      <c r="D19" s="108"/>
      <c r="E19" s="108"/>
      <c r="F19" s="108"/>
      <c r="G19">
        <v>302.31924400000003</v>
      </c>
    </row>
    <row r="20" spans="3:12" x14ac:dyDescent="0.3">
      <c r="C20" s="108"/>
      <c r="D20" s="108"/>
      <c r="E20" s="108"/>
      <c r="F20" s="108"/>
      <c r="G20">
        <v>0</v>
      </c>
    </row>
    <row r="21" spans="3:12" x14ac:dyDescent="0.3">
      <c r="C21" s="108"/>
      <c r="D21" s="108"/>
      <c r="E21" s="108"/>
      <c r="F21" s="108"/>
      <c r="G21">
        <v>0</v>
      </c>
    </row>
    <row r="22" spans="3:12" x14ac:dyDescent="0.3">
      <c r="C22" s="108"/>
      <c r="D22" s="108"/>
      <c r="E22" s="108"/>
      <c r="F22" s="108"/>
      <c r="G22">
        <v>343.64569</v>
      </c>
    </row>
    <row r="23" spans="3:12" x14ac:dyDescent="0.3">
      <c r="C23" s="108"/>
      <c r="D23" s="108"/>
      <c r="E23" s="108"/>
      <c r="F23" s="108"/>
      <c r="G23">
        <v>0</v>
      </c>
    </row>
    <row r="24" spans="3:12" x14ac:dyDescent="0.3">
      <c r="C24" s="108"/>
      <c r="D24" s="108"/>
      <c r="E24" s="108"/>
      <c r="F24" s="108"/>
      <c r="G24">
        <v>0</v>
      </c>
    </row>
    <row r="25" spans="3:12" x14ac:dyDescent="0.3">
      <c r="C25" s="108"/>
      <c r="D25" s="108"/>
      <c r="E25" s="108"/>
      <c r="F25" s="108"/>
      <c r="G25">
        <v>325.11471499999999</v>
      </c>
    </row>
    <row r="26" spans="3:12" x14ac:dyDescent="0.3">
      <c r="C26" s="108"/>
      <c r="D26" s="108"/>
      <c r="E26" s="108"/>
      <c r="F26" s="108"/>
      <c r="G26">
        <v>242.32496599999999</v>
      </c>
    </row>
    <row r="27" spans="3:12" x14ac:dyDescent="0.3">
      <c r="C27" s="108"/>
      <c r="D27" s="108"/>
      <c r="E27" s="108"/>
      <c r="F27" s="108"/>
      <c r="G27">
        <v>0</v>
      </c>
    </row>
    <row r="28" spans="3:12" x14ac:dyDescent="0.3">
      <c r="C28" s="108"/>
      <c r="D28" s="108"/>
      <c r="E28" s="108"/>
      <c r="F28" s="108"/>
      <c r="G28">
        <v>50.903579000000001</v>
      </c>
    </row>
    <row r="29" spans="3:12" x14ac:dyDescent="0.3">
      <c r="C29" s="108"/>
      <c r="D29" s="108"/>
      <c r="E29" s="108"/>
      <c r="F29" s="108"/>
      <c r="G29">
        <v>122.991088</v>
      </c>
    </row>
    <row r="30" spans="3:12" x14ac:dyDescent="0.3">
      <c r="C30" s="108"/>
      <c r="D30" s="108"/>
      <c r="E30" s="108"/>
      <c r="F30" s="108"/>
      <c r="G30">
        <v>239.90986599999999</v>
      </c>
    </row>
    <row r="31" spans="3:12" x14ac:dyDescent="0.3">
      <c r="C31" s="108"/>
      <c r="D31" s="108"/>
      <c r="E31" s="108"/>
      <c r="F31" s="108"/>
      <c r="G31">
        <v>0</v>
      </c>
    </row>
    <row r="32" spans="3:12" x14ac:dyDescent="0.3">
      <c r="C32" s="108"/>
      <c r="D32" s="108"/>
      <c r="E32" s="108"/>
      <c r="F32" s="108"/>
      <c r="G32">
        <v>68.528212999999994</v>
      </c>
    </row>
    <row r="33" spans="3:7" x14ac:dyDescent="0.3">
      <c r="C33" s="108"/>
      <c r="D33" s="108"/>
      <c r="E33" s="108"/>
      <c r="F33" s="108"/>
      <c r="G33">
        <v>48.709529000000003</v>
      </c>
    </row>
    <row r="34" spans="3:7" x14ac:dyDescent="0.3">
      <c r="C34" s="108"/>
      <c r="D34" s="108"/>
      <c r="E34" s="108"/>
      <c r="F34" s="108"/>
      <c r="G34">
        <v>0</v>
      </c>
    </row>
    <row r="35" spans="3:7" x14ac:dyDescent="0.3">
      <c r="C35" s="108"/>
      <c r="D35" s="108"/>
      <c r="E35" s="108"/>
      <c r="F35" s="108"/>
      <c r="G35">
        <v>1.9281E-2</v>
      </c>
    </row>
    <row r="36" spans="3:7" x14ac:dyDescent="0.3">
      <c r="C36" s="108"/>
      <c r="D36" s="108"/>
      <c r="E36" s="108"/>
      <c r="F36" s="108"/>
      <c r="G36">
        <v>30.126697</v>
      </c>
    </row>
    <row r="37" spans="3:7" x14ac:dyDescent="0.3">
      <c r="C37" s="108"/>
      <c r="D37" s="108"/>
      <c r="E37" s="108"/>
      <c r="F37" s="108"/>
      <c r="G37">
        <v>0</v>
      </c>
    </row>
    <row r="38" spans="3:7" x14ac:dyDescent="0.3">
      <c r="C38" s="108"/>
      <c r="D38" s="108"/>
      <c r="E38" s="108"/>
      <c r="F38" s="108"/>
      <c r="G38">
        <v>0</v>
      </c>
    </row>
    <row r="39" spans="3:7" x14ac:dyDescent="0.3">
      <c r="C39" s="108"/>
      <c r="D39" s="108"/>
      <c r="E39" s="108"/>
      <c r="F39" s="108"/>
      <c r="G39">
        <v>97.047004000000001</v>
      </c>
    </row>
    <row r="40" spans="3:7" x14ac:dyDescent="0.3">
      <c r="C40" s="108"/>
      <c r="D40" s="108"/>
      <c r="E40" s="108"/>
      <c r="F40" s="108"/>
      <c r="G40">
        <v>96.881827999999999</v>
      </c>
    </row>
    <row r="41" spans="3:7" x14ac:dyDescent="0.3">
      <c r="C41" s="108"/>
      <c r="D41" s="108"/>
      <c r="E41" s="108"/>
      <c r="F41" s="108"/>
      <c r="G41">
        <v>0</v>
      </c>
    </row>
    <row r="42" spans="3:7" x14ac:dyDescent="0.3">
      <c r="C42" s="108"/>
      <c r="D42" s="108"/>
      <c r="E42" s="108"/>
      <c r="F42" s="108"/>
      <c r="G42">
        <v>1.10694</v>
      </c>
    </row>
    <row r="43" spans="3:7" x14ac:dyDescent="0.3">
      <c r="C43" s="108"/>
      <c r="D43" s="108"/>
      <c r="E43" s="108"/>
      <c r="F43" s="108"/>
      <c r="G43">
        <v>42.513857999999999</v>
      </c>
    </row>
    <row r="44" spans="3:7" x14ac:dyDescent="0.3">
      <c r="C44" s="108"/>
      <c r="D44" s="108"/>
      <c r="E44" s="108"/>
      <c r="F44" s="108"/>
      <c r="G44">
        <v>0</v>
      </c>
    </row>
    <row r="45" spans="3:7" x14ac:dyDescent="0.3">
      <c r="C45" s="108"/>
      <c r="D45" s="108"/>
      <c r="E45" s="108"/>
      <c r="F45" s="108"/>
      <c r="G45">
        <v>0</v>
      </c>
    </row>
    <row r="46" spans="3:7" x14ac:dyDescent="0.3">
      <c r="C46" s="108"/>
      <c r="D46" s="108"/>
      <c r="E46" s="108"/>
      <c r="F46" s="108"/>
      <c r="G46">
        <v>93.145729000000003</v>
      </c>
    </row>
    <row r="47" spans="3:7" x14ac:dyDescent="0.3">
      <c r="C47" s="108"/>
      <c r="D47" s="108"/>
      <c r="E47" s="108"/>
      <c r="F47" s="108"/>
      <c r="G47">
        <v>300.96166899999997</v>
      </c>
    </row>
    <row r="48" spans="3:7" x14ac:dyDescent="0.3">
      <c r="C48" s="108"/>
      <c r="D48" s="108"/>
      <c r="E48" s="108"/>
      <c r="F48" s="108"/>
      <c r="G48">
        <v>0</v>
      </c>
    </row>
    <row r="49" spans="3:7" x14ac:dyDescent="0.3">
      <c r="C49" s="108"/>
      <c r="D49" s="108"/>
      <c r="E49" s="108"/>
      <c r="F49" s="108"/>
      <c r="G49">
        <v>22.375105999999999</v>
      </c>
    </row>
    <row r="50" spans="3:7" x14ac:dyDescent="0.3">
      <c r="C50" s="108"/>
      <c r="D50" s="108"/>
      <c r="E50" s="108"/>
      <c r="F50" s="108"/>
      <c r="G50">
        <v>238.458663</v>
      </c>
    </row>
    <row r="51" spans="3:7" x14ac:dyDescent="0.3">
      <c r="C51" s="108"/>
      <c r="D51" s="108"/>
      <c r="E51" s="108"/>
      <c r="F51" s="108"/>
      <c r="G51">
        <v>259.12420600000002</v>
      </c>
    </row>
    <row r="52" spans="3:7" x14ac:dyDescent="0.3">
      <c r="C52" s="108"/>
      <c r="D52" s="108"/>
      <c r="E52" s="108"/>
      <c r="F52" s="108"/>
      <c r="G52">
        <v>0</v>
      </c>
    </row>
    <row r="53" spans="3:7" x14ac:dyDescent="0.3">
      <c r="C53" s="108"/>
      <c r="D53" s="108"/>
      <c r="E53" s="108"/>
      <c r="F53" s="108"/>
      <c r="G53">
        <v>442.019836</v>
      </c>
    </row>
    <row r="54" spans="3:7" x14ac:dyDescent="0.3">
      <c r="C54" s="108"/>
      <c r="D54" s="108"/>
      <c r="E54" s="108"/>
      <c r="F54" s="108"/>
      <c r="G54">
        <v>55.837715000000003</v>
      </c>
    </row>
    <row r="55" spans="3:7" x14ac:dyDescent="0.3">
      <c r="C55" s="108"/>
      <c r="D55" s="108"/>
      <c r="E55" s="108"/>
      <c r="F55" s="108"/>
      <c r="G55">
        <v>0</v>
      </c>
    </row>
    <row r="56" spans="3:7" x14ac:dyDescent="0.3">
      <c r="C56" s="108"/>
      <c r="D56" s="108"/>
      <c r="E56" s="108"/>
      <c r="F56" s="108"/>
      <c r="G56">
        <v>0.38944000000000001</v>
      </c>
    </row>
    <row r="57" spans="3:7" x14ac:dyDescent="0.3">
      <c r="C57" s="108"/>
      <c r="D57" s="108"/>
      <c r="E57" s="108"/>
      <c r="F57" s="108"/>
      <c r="G57">
        <v>126.283126</v>
      </c>
    </row>
    <row r="58" spans="3:7" x14ac:dyDescent="0.3">
      <c r="C58" s="108"/>
      <c r="D58" s="108"/>
      <c r="E58" s="108"/>
      <c r="F58" s="108"/>
      <c r="G58">
        <v>0</v>
      </c>
    </row>
    <row r="59" spans="3:7" x14ac:dyDescent="0.3">
      <c r="C59" s="108"/>
      <c r="D59" s="108"/>
      <c r="E59" s="108"/>
      <c r="F59" s="108"/>
      <c r="G59">
        <v>0</v>
      </c>
    </row>
    <row r="60" spans="3:7" x14ac:dyDescent="0.3">
      <c r="C60" s="108"/>
      <c r="D60" s="108"/>
      <c r="E60" s="108"/>
      <c r="F60" s="108"/>
      <c r="G60">
        <v>316.31109600000002</v>
      </c>
    </row>
    <row r="61" spans="3:7" x14ac:dyDescent="0.3">
      <c r="C61" s="108"/>
      <c r="D61" s="108"/>
      <c r="E61" s="108"/>
      <c r="F61" s="108"/>
      <c r="G61">
        <v>517.52264400000001</v>
      </c>
    </row>
    <row r="62" spans="3:7" x14ac:dyDescent="0.3">
      <c r="C62" s="108"/>
      <c r="D62" s="108"/>
      <c r="E62" s="108"/>
      <c r="F62" s="108"/>
      <c r="G62">
        <v>0</v>
      </c>
    </row>
    <row r="63" spans="3:7" x14ac:dyDescent="0.3">
      <c r="C63" s="108"/>
      <c r="D63" s="108"/>
      <c r="E63" s="108"/>
      <c r="F63" s="108"/>
      <c r="G63">
        <v>128.081558</v>
      </c>
    </row>
    <row r="64" spans="3:7" x14ac:dyDescent="0.3">
      <c r="C64" s="108"/>
      <c r="D64" s="108"/>
      <c r="E64" s="108"/>
      <c r="F64" s="108"/>
      <c r="G64">
        <v>120.94504499999999</v>
      </c>
    </row>
    <row r="65" spans="3:7" x14ac:dyDescent="0.3">
      <c r="C65" s="108"/>
      <c r="D65" s="108"/>
      <c r="E65" s="108"/>
      <c r="F65" s="108"/>
      <c r="G65">
        <v>468.84399400000001</v>
      </c>
    </row>
    <row r="66" spans="3:7" x14ac:dyDescent="0.3">
      <c r="C66" s="108"/>
      <c r="D66" s="108"/>
      <c r="E66" s="108"/>
      <c r="F66" s="108"/>
      <c r="G66">
        <v>0</v>
      </c>
    </row>
    <row r="67" spans="3:7" x14ac:dyDescent="0.3">
      <c r="C67" s="108"/>
      <c r="D67" s="108"/>
      <c r="E67" s="108"/>
      <c r="F67" s="108"/>
      <c r="G67">
        <v>216.38055399999999</v>
      </c>
    </row>
    <row r="68" spans="3:7" x14ac:dyDescent="0.3">
      <c r="C68" s="108"/>
      <c r="D68" s="108"/>
      <c r="E68" s="108"/>
      <c r="F68" s="108"/>
      <c r="G68">
        <v>98.611700999999996</v>
      </c>
    </row>
    <row r="69" spans="3:7" x14ac:dyDescent="0.3">
      <c r="C69" s="108"/>
      <c r="D69" s="108"/>
      <c r="E69" s="108"/>
      <c r="F69" s="108"/>
      <c r="G69">
        <v>0</v>
      </c>
    </row>
    <row r="70" spans="3:7" x14ac:dyDescent="0.3">
      <c r="C70" s="108"/>
      <c r="D70" s="108"/>
      <c r="E70" s="108"/>
      <c r="F70" s="108"/>
      <c r="G70">
        <v>0</v>
      </c>
    </row>
    <row r="71" spans="3:7" x14ac:dyDescent="0.3">
      <c r="C71" s="108"/>
      <c r="D71" s="108"/>
      <c r="E71" s="108"/>
      <c r="F71" s="108"/>
      <c r="G71">
        <v>0</v>
      </c>
    </row>
    <row r="72" spans="3:7" x14ac:dyDescent="0.3">
      <c r="C72" s="108"/>
      <c r="D72" s="108"/>
      <c r="E72" s="108"/>
      <c r="F72" s="108"/>
      <c r="G72">
        <v>222.76869199999999</v>
      </c>
    </row>
    <row r="73" spans="3:7" x14ac:dyDescent="0.3">
      <c r="C73" s="108"/>
      <c r="D73" s="108"/>
      <c r="E73" s="108"/>
      <c r="F73" s="108"/>
      <c r="G73">
        <v>0</v>
      </c>
    </row>
    <row r="74" spans="3:7" x14ac:dyDescent="0.3">
      <c r="C74" s="108"/>
      <c r="D74" s="108"/>
      <c r="E74" s="108"/>
      <c r="F74" s="108"/>
      <c r="G74">
        <v>0</v>
      </c>
    </row>
    <row r="75" spans="3:7" x14ac:dyDescent="0.3">
      <c r="C75" s="108"/>
      <c r="D75" s="108"/>
      <c r="E75" s="108"/>
      <c r="F75" s="108"/>
      <c r="G75">
        <v>292.24511699999999</v>
      </c>
    </row>
    <row r="76" spans="3:7" x14ac:dyDescent="0.3">
      <c r="C76" s="108"/>
      <c r="D76" s="108"/>
      <c r="E76" s="108"/>
      <c r="F76" s="108"/>
      <c r="G76">
        <v>0</v>
      </c>
    </row>
    <row r="77" spans="3:7" x14ac:dyDescent="0.3">
      <c r="C77" s="108"/>
      <c r="D77" s="108"/>
      <c r="E77" s="108"/>
      <c r="F77" s="108"/>
      <c r="G77">
        <v>0.62286600000000003</v>
      </c>
    </row>
    <row r="78" spans="3:7" x14ac:dyDescent="0.3">
      <c r="C78" s="108"/>
      <c r="D78" s="108"/>
      <c r="E78" s="108"/>
      <c r="F78" s="108"/>
      <c r="G78">
        <v>0</v>
      </c>
    </row>
    <row r="79" spans="3:7" x14ac:dyDescent="0.3">
      <c r="C79" s="108"/>
      <c r="D79" s="108"/>
      <c r="E79" s="108"/>
      <c r="F79" s="108"/>
      <c r="G79">
        <v>0</v>
      </c>
    </row>
    <row r="80" spans="3:7" x14ac:dyDescent="0.3">
      <c r="C80" s="108"/>
      <c r="D80" s="108"/>
      <c r="E80" s="108"/>
      <c r="F80" s="108"/>
      <c r="G80">
        <v>0</v>
      </c>
    </row>
    <row r="81" spans="3:7" x14ac:dyDescent="0.3">
      <c r="C81" s="108"/>
      <c r="D81" s="108"/>
      <c r="E81" s="108"/>
      <c r="F81" s="108"/>
      <c r="G81">
        <v>112.113471</v>
      </c>
    </row>
    <row r="82" spans="3:7" x14ac:dyDescent="0.3">
      <c r="C82" s="108"/>
      <c r="D82" s="108"/>
      <c r="E82" s="108"/>
      <c r="F82" s="108"/>
      <c r="G82">
        <v>290.10342400000002</v>
      </c>
    </row>
    <row r="83" spans="3:7" x14ac:dyDescent="0.3">
      <c r="C83" s="108"/>
      <c r="D83" s="108"/>
      <c r="E83" s="108"/>
      <c r="F83" s="108"/>
      <c r="G83">
        <v>59.876033</v>
      </c>
    </row>
    <row r="84" spans="3:7" x14ac:dyDescent="0.3">
      <c r="C84" s="108"/>
      <c r="D84" s="108"/>
      <c r="E84" s="108"/>
      <c r="F84" s="108"/>
      <c r="G84">
        <v>15.325849</v>
      </c>
    </row>
    <row r="85" spans="3:7" x14ac:dyDescent="0.3">
      <c r="C85" s="108"/>
      <c r="D85" s="108"/>
      <c r="E85" s="108"/>
      <c r="F85" s="108"/>
      <c r="G85">
        <v>532.82330300000001</v>
      </c>
    </row>
    <row r="86" spans="3:7" x14ac:dyDescent="0.3">
      <c r="C86" s="108"/>
      <c r="D86" s="108"/>
      <c r="E86" s="108"/>
      <c r="F86" s="108"/>
      <c r="G86">
        <v>169.04849200000001</v>
      </c>
    </row>
    <row r="87" spans="3:7" x14ac:dyDescent="0.3">
      <c r="C87" s="108"/>
      <c r="D87" s="108"/>
      <c r="E87" s="108"/>
      <c r="F87" s="108"/>
      <c r="G87">
        <v>0</v>
      </c>
    </row>
    <row r="88" spans="3:7" x14ac:dyDescent="0.3">
      <c r="C88" s="108"/>
      <c r="D88" s="108"/>
      <c r="E88" s="108"/>
      <c r="F88" s="108"/>
      <c r="G88">
        <v>572.57324200000005</v>
      </c>
    </row>
    <row r="89" spans="3:7" x14ac:dyDescent="0.3">
      <c r="C89" s="108"/>
      <c r="D89" s="108"/>
      <c r="E89" s="108"/>
      <c r="F89" s="108"/>
      <c r="G89">
        <v>139.23080400000001</v>
      </c>
    </row>
    <row r="90" spans="3:7" x14ac:dyDescent="0.3">
      <c r="C90" s="108"/>
      <c r="D90" s="108"/>
      <c r="E90" s="108"/>
      <c r="F90" s="108"/>
      <c r="G90">
        <v>0</v>
      </c>
    </row>
    <row r="91" spans="3:7" x14ac:dyDescent="0.3">
      <c r="C91" s="108"/>
      <c r="D91" s="108"/>
      <c r="E91" s="108"/>
      <c r="F91" s="108"/>
      <c r="G91">
        <v>1.306424</v>
      </c>
    </row>
    <row r="92" spans="3:7" x14ac:dyDescent="0.3">
      <c r="C92" s="108"/>
      <c r="D92" s="108"/>
      <c r="E92" s="108"/>
      <c r="F92" s="108"/>
      <c r="G92">
        <v>218.14601099999999</v>
      </c>
    </row>
    <row r="93" spans="3:7" x14ac:dyDescent="0.3">
      <c r="C93" s="108"/>
      <c r="D93" s="108"/>
      <c r="E93" s="108"/>
      <c r="F93" s="108"/>
      <c r="G93">
        <v>69.086967000000001</v>
      </c>
    </row>
    <row r="94" spans="3:7" x14ac:dyDescent="0.3">
      <c r="C94" s="108"/>
      <c r="D94" s="108"/>
      <c r="E94" s="108"/>
      <c r="F94" s="108"/>
      <c r="G94">
        <v>1.616581</v>
      </c>
    </row>
    <row r="95" spans="3:7" x14ac:dyDescent="0.3">
      <c r="C95" s="108"/>
      <c r="D95" s="108"/>
      <c r="E95" s="108"/>
      <c r="F95" s="108"/>
      <c r="G95">
        <v>401.16204800000003</v>
      </c>
    </row>
    <row r="96" spans="3:7" x14ac:dyDescent="0.3">
      <c r="C96" s="108"/>
      <c r="D96" s="108"/>
      <c r="E96" s="108"/>
      <c r="F96" s="108"/>
      <c r="G96">
        <v>243.87364099999999</v>
      </c>
    </row>
    <row r="97" spans="3:7" x14ac:dyDescent="0.3">
      <c r="C97" s="108"/>
      <c r="D97" s="108"/>
      <c r="E97" s="108"/>
      <c r="F97" s="108"/>
      <c r="G97">
        <v>0</v>
      </c>
    </row>
    <row r="98" spans="3:7" x14ac:dyDescent="0.3">
      <c r="C98" s="108"/>
      <c r="D98" s="108"/>
      <c r="E98" s="108"/>
      <c r="F98" s="108"/>
      <c r="G98">
        <v>2.400344</v>
      </c>
    </row>
    <row r="99" spans="3:7" x14ac:dyDescent="0.3">
      <c r="C99" s="108"/>
      <c r="D99" s="108"/>
      <c r="E99" s="108"/>
      <c r="F99" s="108"/>
      <c r="G99">
        <v>27.351929999999999</v>
      </c>
    </row>
    <row r="100" spans="3:7" x14ac:dyDescent="0.3">
      <c r="C100" s="108"/>
      <c r="D100" s="108"/>
      <c r="E100" s="108"/>
      <c r="F100" s="108"/>
      <c r="G100">
        <v>0</v>
      </c>
    </row>
    <row r="101" spans="3:7" x14ac:dyDescent="0.3">
      <c r="C101" s="108"/>
      <c r="D101" s="108"/>
      <c r="E101" s="108"/>
      <c r="F101" s="108"/>
      <c r="G101">
        <v>16.470289000000001</v>
      </c>
    </row>
    <row r="102" spans="3:7" x14ac:dyDescent="0.3">
      <c r="C102" s="108"/>
      <c r="D102" s="108"/>
      <c r="E102" s="108"/>
      <c r="F102" s="108"/>
      <c r="G102">
        <v>0</v>
      </c>
    </row>
    <row r="103" spans="3:7" x14ac:dyDescent="0.3">
      <c r="C103" s="108"/>
      <c r="D103" s="108"/>
      <c r="E103" s="108"/>
      <c r="F103" s="108"/>
      <c r="G103">
        <v>388.07003700000001</v>
      </c>
    </row>
    <row r="104" spans="3:7" x14ac:dyDescent="0.3">
      <c r="C104" s="108"/>
      <c r="D104" s="108"/>
      <c r="E104" s="108"/>
      <c r="F104" s="108"/>
      <c r="G104">
        <v>0</v>
      </c>
    </row>
    <row r="105" spans="3:7" x14ac:dyDescent="0.3">
      <c r="C105" s="108"/>
      <c r="D105" s="108"/>
      <c r="E105" s="108"/>
      <c r="F105" s="108"/>
      <c r="G105">
        <v>10.537820999999999</v>
      </c>
    </row>
    <row r="106" spans="3:7" x14ac:dyDescent="0.3">
      <c r="C106" s="108"/>
      <c r="D106" s="108"/>
      <c r="E106" s="108"/>
      <c r="F106" s="108"/>
      <c r="G106">
        <v>140.59414599999999</v>
      </c>
    </row>
    <row r="107" spans="3:7" x14ac:dyDescent="0.3">
      <c r="C107" s="108"/>
      <c r="D107" s="108"/>
      <c r="E107" s="108"/>
      <c r="F107" s="108"/>
      <c r="G107">
        <v>66.565207999999998</v>
      </c>
    </row>
    <row r="108" spans="3:7" x14ac:dyDescent="0.3">
      <c r="C108" s="108"/>
      <c r="D108" s="108"/>
      <c r="E108" s="108"/>
      <c r="F108" s="108"/>
      <c r="G108">
        <v>0</v>
      </c>
    </row>
    <row r="109" spans="3:7" x14ac:dyDescent="0.3">
      <c r="C109" s="108"/>
      <c r="D109" s="108"/>
      <c r="E109" s="108"/>
      <c r="F109" s="108"/>
      <c r="G109">
        <v>427.46127300000001</v>
      </c>
    </row>
    <row r="110" spans="3:7" x14ac:dyDescent="0.3">
      <c r="C110" s="108"/>
      <c r="D110" s="108"/>
      <c r="E110" s="108"/>
      <c r="F110" s="108"/>
      <c r="G110">
        <v>733.25695800000005</v>
      </c>
    </row>
    <row r="111" spans="3:7" x14ac:dyDescent="0.3">
      <c r="C111" s="108"/>
      <c r="D111" s="108"/>
      <c r="E111" s="108"/>
      <c r="F111" s="108"/>
      <c r="G111">
        <v>41.636177000000004</v>
      </c>
    </row>
    <row r="112" spans="3:7" x14ac:dyDescent="0.3">
      <c r="C112" s="108"/>
      <c r="D112" s="108"/>
      <c r="E112" s="108"/>
      <c r="F112" s="108"/>
      <c r="G112">
        <v>4.6016919999999999</v>
      </c>
    </row>
    <row r="113" spans="3:7" x14ac:dyDescent="0.3">
      <c r="C113" s="108"/>
      <c r="D113" s="108"/>
      <c r="E113" s="108"/>
      <c r="F113" s="108"/>
      <c r="G113">
        <v>0</v>
      </c>
    </row>
    <row r="114" spans="3:7" x14ac:dyDescent="0.3">
      <c r="C114" s="108"/>
      <c r="D114" s="108"/>
      <c r="E114" s="108"/>
      <c r="F114" s="108"/>
      <c r="G114">
        <v>0</v>
      </c>
    </row>
    <row r="115" spans="3:7" x14ac:dyDescent="0.3">
      <c r="C115" s="108"/>
      <c r="D115" s="108"/>
      <c r="E115" s="108"/>
      <c r="F115" s="108"/>
      <c r="G115">
        <v>2.2074690000000001</v>
      </c>
    </row>
    <row r="116" spans="3:7" x14ac:dyDescent="0.3">
      <c r="C116" s="108"/>
      <c r="D116" s="108"/>
      <c r="E116" s="108"/>
      <c r="F116" s="108"/>
      <c r="G116">
        <v>0</v>
      </c>
    </row>
    <row r="117" spans="3:7" x14ac:dyDescent="0.3">
      <c r="C117" s="108"/>
      <c r="D117" s="108"/>
      <c r="E117" s="108"/>
      <c r="F117" s="108"/>
      <c r="G117">
        <v>458.38528400000001</v>
      </c>
    </row>
    <row r="118" spans="3:7" x14ac:dyDescent="0.3">
      <c r="C118" s="108"/>
      <c r="D118" s="108"/>
      <c r="E118" s="108"/>
      <c r="F118" s="108"/>
      <c r="G118">
        <v>71.516632000000001</v>
      </c>
    </row>
    <row r="119" spans="3:7" x14ac:dyDescent="0.3">
      <c r="C119" s="108"/>
      <c r="D119" s="108"/>
      <c r="E119" s="108"/>
      <c r="F119" s="108"/>
      <c r="G119">
        <v>1.7952490000000001</v>
      </c>
    </row>
    <row r="120" spans="3:7" x14ac:dyDescent="0.3">
      <c r="C120" s="108"/>
      <c r="D120" s="108"/>
      <c r="E120" s="108"/>
      <c r="F120" s="108"/>
      <c r="G120">
        <v>89.145812000000006</v>
      </c>
    </row>
    <row r="121" spans="3:7" x14ac:dyDescent="0.3">
      <c r="C121" s="108"/>
      <c r="D121" s="108"/>
      <c r="E121" s="108"/>
      <c r="F121" s="108"/>
      <c r="G121">
        <v>44.045661000000003</v>
      </c>
    </row>
    <row r="122" spans="3:7" x14ac:dyDescent="0.3">
      <c r="C122" s="108"/>
      <c r="D122" s="108"/>
      <c r="E122" s="108"/>
      <c r="F122" s="108"/>
      <c r="G122">
        <v>0</v>
      </c>
    </row>
    <row r="123" spans="3:7" x14ac:dyDescent="0.3">
      <c r="C123" s="108"/>
      <c r="D123" s="108"/>
      <c r="E123" s="108"/>
      <c r="F123" s="108"/>
      <c r="G123">
        <v>201.860321</v>
      </c>
    </row>
    <row r="124" spans="3:7" x14ac:dyDescent="0.3">
      <c r="C124" s="108"/>
      <c r="D124" s="108"/>
      <c r="E124" s="108"/>
      <c r="F124" s="108"/>
      <c r="G124">
        <v>368.99896200000001</v>
      </c>
    </row>
    <row r="125" spans="3:7" x14ac:dyDescent="0.3">
      <c r="C125" s="108"/>
      <c r="D125" s="108"/>
      <c r="E125" s="108"/>
      <c r="F125" s="108"/>
      <c r="G125">
        <v>29.995576</v>
      </c>
    </row>
    <row r="126" spans="3:7" x14ac:dyDescent="0.3">
      <c r="C126" s="108"/>
      <c r="D126" s="108"/>
      <c r="E126" s="108"/>
      <c r="F126" s="108"/>
      <c r="G126">
        <v>0.79592799999999997</v>
      </c>
    </row>
    <row r="127" spans="3:7" x14ac:dyDescent="0.3">
      <c r="C127" s="108"/>
      <c r="D127" s="108"/>
      <c r="E127" s="108"/>
      <c r="F127" s="108"/>
      <c r="G127">
        <v>0</v>
      </c>
    </row>
    <row r="128" spans="3:7" x14ac:dyDescent="0.3">
      <c r="C128" s="108"/>
      <c r="D128" s="108"/>
      <c r="E128" s="108"/>
      <c r="F128" s="108"/>
      <c r="G128">
        <v>0</v>
      </c>
    </row>
    <row r="129" spans="3:7" x14ac:dyDescent="0.3">
      <c r="C129" s="108"/>
      <c r="D129" s="108"/>
      <c r="E129" s="108"/>
      <c r="F129" s="108"/>
      <c r="G129">
        <v>0</v>
      </c>
    </row>
    <row r="130" spans="3:7" x14ac:dyDescent="0.3">
      <c r="C130" s="108"/>
      <c r="D130" s="108"/>
      <c r="E130" s="108"/>
      <c r="F130" s="108"/>
      <c r="G130">
        <v>181.19734099999999</v>
      </c>
    </row>
    <row r="131" spans="3:7" x14ac:dyDescent="0.3">
      <c r="C131" s="108"/>
      <c r="D131" s="108"/>
      <c r="E131" s="108"/>
      <c r="F131" s="108"/>
      <c r="G131">
        <v>354.28668199999998</v>
      </c>
    </row>
    <row r="132" spans="3:7" x14ac:dyDescent="0.3">
      <c r="C132" s="108"/>
      <c r="D132" s="108"/>
      <c r="E132" s="108"/>
      <c r="F132" s="108"/>
      <c r="G132">
        <v>0</v>
      </c>
    </row>
    <row r="133" spans="3:7" x14ac:dyDescent="0.3">
      <c r="C133" s="108"/>
      <c r="D133" s="108"/>
      <c r="E133" s="108"/>
      <c r="F133" s="108"/>
      <c r="G133">
        <v>0</v>
      </c>
    </row>
    <row r="134" spans="3:7" x14ac:dyDescent="0.3">
      <c r="C134" s="108"/>
      <c r="D134" s="108"/>
      <c r="E134" s="108"/>
      <c r="F134" s="108"/>
      <c r="G134">
        <v>126.34538999999999</v>
      </c>
    </row>
    <row r="135" spans="3:7" x14ac:dyDescent="0.3">
      <c r="C135" s="108"/>
      <c r="D135" s="108"/>
      <c r="E135" s="108"/>
      <c r="F135" s="108"/>
      <c r="G135">
        <v>298.31652800000001</v>
      </c>
    </row>
    <row r="136" spans="3:7" x14ac:dyDescent="0.3">
      <c r="C136" s="108"/>
      <c r="D136" s="108"/>
      <c r="E136" s="108"/>
      <c r="F136" s="108"/>
      <c r="G136">
        <v>0</v>
      </c>
    </row>
    <row r="137" spans="3:7" x14ac:dyDescent="0.3">
      <c r="C137" s="108"/>
      <c r="D137" s="108"/>
      <c r="E137" s="108"/>
      <c r="F137" s="108"/>
      <c r="G137">
        <v>0</v>
      </c>
    </row>
    <row r="138" spans="3:7" x14ac:dyDescent="0.3">
      <c r="C138" s="108"/>
      <c r="D138" s="108"/>
      <c r="E138" s="108"/>
      <c r="F138" s="108"/>
      <c r="G138">
        <v>30.410841999999999</v>
      </c>
    </row>
    <row r="139" spans="3:7" x14ac:dyDescent="0.3">
      <c r="C139" s="108"/>
      <c r="D139" s="108"/>
      <c r="E139" s="108"/>
      <c r="F139" s="108"/>
      <c r="G139">
        <v>0</v>
      </c>
    </row>
    <row r="140" spans="3:7" x14ac:dyDescent="0.3">
      <c r="C140" s="108"/>
      <c r="D140" s="108"/>
      <c r="E140" s="108"/>
      <c r="F140" s="108"/>
      <c r="G140">
        <v>0</v>
      </c>
    </row>
    <row r="141" spans="3:7" x14ac:dyDescent="0.3">
      <c r="C141" s="108"/>
      <c r="D141" s="108"/>
      <c r="E141" s="108"/>
      <c r="F141" s="108"/>
      <c r="G141">
        <v>0</v>
      </c>
    </row>
    <row r="142" spans="3:7" x14ac:dyDescent="0.3">
      <c r="C142" s="108"/>
      <c r="D142" s="108"/>
      <c r="E142" s="108"/>
      <c r="F142" s="108"/>
      <c r="G142">
        <v>244.77491699999999</v>
      </c>
    </row>
    <row r="143" spans="3:7" x14ac:dyDescent="0.3">
      <c r="C143" s="108"/>
      <c r="D143" s="108"/>
      <c r="E143" s="108"/>
      <c r="F143" s="108"/>
      <c r="G143">
        <v>0</v>
      </c>
    </row>
    <row r="144" spans="3:7" x14ac:dyDescent="0.3">
      <c r="C144" s="108"/>
      <c r="D144" s="108"/>
      <c r="E144" s="108"/>
      <c r="F144" s="108"/>
      <c r="G144">
        <v>0</v>
      </c>
    </row>
    <row r="145" spans="3:7" x14ac:dyDescent="0.3">
      <c r="C145" s="108"/>
      <c r="D145" s="108"/>
      <c r="E145" s="108"/>
      <c r="F145" s="108"/>
      <c r="G145">
        <v>357.584655</v>
      </c>
    </row>
    <row r="146" spans="3:7" x14ac:dyDescent="0.3">
      <c r="C146" s="108"/>
      <c r="D146" s="108"/>
      <c r="E146" s="108"/>
      <c r="F146" s="108"/>
      <c r="G146">
        <v>0</v>
      </c>
    </row>
    <row r="147" spans="3:7" x14ac:dyDescent="0.3">
      <c r="C147" s="108"/>
      <c r="D147" s="108"/>
      <c r="E147" s="108"/>
      <c r="F147" s="108"/>
      <c r="G147">
        <v>1.5124E-2</v>
      </c>
    </row>
    <row r="148" spans="3:7" x14ac:dyDescent="0.3">
      <c r="C148" s="108"/>
      <c r="D148" s="108"/>
      <c r="E148" s="108"/>
      <c r="F148" s="108"/>
      <c r="G148">
        <v>102.526557</v>
      </c>
    </row>
    <row r="149" spans="3:7" x14ac:dyDescent="0.3">
      <c r="C149" s="108"/>
      <c r="D149" s="108"/>
      <c r="E149" s="108"/>
      <c r="F149" s="108"/>
      <c r="G149">
        <v>128.29762199999999</v>
      </c>
    </row>
    <row r="150" spans="3:7" x14ac:dyDescent="0.3">
      <c r="C150" s="108"/>
      <c r="D150" s="108"/>
      <c r="E150" s="108"/>
      <c r="F150" s="108"/>
      <c r="G150">
        <v>0</v>
      </c>
    </row>
    <row r="151" spans="3:7" x14ac:dyDescent="0.3">
      <c r="C151" s="108"/>
      <c r="D151" s="108"/>
      <c r="E151" s="108"/>
      <c r="F151" s="108"/>
      <c r="G151">
        <v>145.39085299999999</v>
      </c>
    </row>
    <row r="152" spans="3:7" x14ac:dyDescent="0.3">
      <c r="C152" s="108"/>
      <c r="D152" s="108"/>
      <c r="E152" s="108"/>
      <c r="F152" s="108"/>
      <c r="G152">
        <v>1373.8992900000001</v>
      </c>
    </row>
    <row r="153" spans="3:7" x14ac:dyDescent="0.3">
      <c r="C153" s="108"/>
      <c r="D153" s="108"/>
      <c r="E153" s="108"/>
      <c r="F153" s="108"/>
      <c r="G153">
        <v>0</v>
      </c>
    </row>
    <row r="154" spans="3:7" x14ac:dyDescent="0.3">
      <c r="C154" s="108"/>
      <c r="D154" s="108"/>
      <c r="E154" s="108"/>
      <c r="F154" s="108"/>
      <c r="G154">
        <v>1.370868</v>
      </c>
    </row>
    <row r="155" spans="3:7" x14ac:dyDescent="0.3">
      <c r="C155" s="108"/>
      <c r="D155" s="108"/>
      <c r="E155" s="108"/>
      <c r="F155" s="108"/>
      <c r="G155">
        <v>0</v>
      </c>
    </row>
    <row r="156" spans="3:7" x14ac:dyDescent="0.3">
      <c r="C156" s="108"/>
      <c r="D156" s="108"/>
      <c r="E156" s="108"/>
      <c r="F156" s="108"/>
      <c r="G156">
        <v>0</v>
      </c>
    </row>
    <row r="157" spans="3:7" x14ac:dyDescent="0.3">
      <c r="C157" s="108"/>
      <c r="D157" s="108"/>
      <c r="E157" s="108"/>
      <c r="F157" s="108"/>
      <c r="G157">
        <v>0</v>
      </c>
    </row>
    <row r="158" spans="3:7" x14ac:dyDescent="0.3">
      <c r="C158" s="108"/>
      <c r="D158" s="108"/>
      <c r="E158" s="108"/>
      <c r="F158" s="108"/>
      <c r="G158">
        <v>411.76199300000002</v>
      </c>
    </row>
    <row r="159" spans="3:7" x14ac:dyDescent="0.3">
      <c r="C159" s="108"/>
      <c r="D159" s="108"/>
      <c r="E159" s="108"/>
      <c r="F159" s="108"/>
      <c r="G159">
        <v>115.108749</v>
      </c>
    </row>
    <row r="160" spans="3:7" x14ac:dyDescent="0.3">
      <c r="C160" s="108"/>
      <c r="D160" s="108"/>
      <c r="E160" s="108"/>
      <c r="F160" s="108"/>
      <c r="G160">
        <v>0</v>
      </c>
    </row>
    <row r="161" spans="3:7" x14ac:dyDescent="0.3">
      <c r="C161" s="108"/>
      <c r="D161" s="108"/>
      <c r="E161" s="108"/>
      <c r="F161" s="108"/>
      <c r="G161">
        <v>0</v>
      </c>
    </row>
    <row r="162" spans="3:7" x14ac:dyDescent="0.3">
      <c r="C162" s="108"/>
      <c r="D162" s="108"/>
      <c r="E162" s="108"/>
      <c r="F162" s="108"/>
      <c r="G162">
        <v>0</v>
      </c>
    </row>
    <row r="163" spans="3:7" x14ac:dyDescent="0.3">
      <c r="C163" s="108"/>
      <c r="D163" s="108"/>
      <c r="E163" s="108"/>
      <c r="F163" s="108"/>
      <c r="G163">
        <v>0</v>
      </c>
    </row>
    <row r="164" spans="3:7" x14ac:dyDescent="0.3">
      <c r="C164" s="108"/>
      <c r="D164" s="108"/>
      <c r="E164" s="108"/>
      <c r="F164" s="108"/>
      <c r="G164">
        <v>0</v>
      </c>
    </row>
    <row r="165" spans="3:7" x14ac:dyDescent="0.3">
      <c r="C165" s="108"/>
      <c r="D165" s="108"/>
      <c r="E165" s="108"/>
      <c r="F165" s="108"/>
      <c r="G165">
        <v>43.144710000000003</v>
      </c>
    </row>
    <row r="166" spans="3:7" x14ac:dyDescent="0.3">
      <c r="C166" s="108"/>
      <c r="D166" s="108"/>
      <c r="E166" s="108"/>
      <c r="F166" s="108"/>
      <c r="G166">
        <v>1063.6604</v>
      </c>
    </row>
    <row r="167" spans="3:7" x14ac:dyDescent="0.3">
      <c r="C167" s="108"/>
      <c r="D167" s="108"/>
      <c r="E167" s="108"/>
      <c r="F167" s="108"/>
      <c r="G167">
        <v>0</v>
      </c>
    </row>
    <row r="168" spans="3:7" x14ac:dyDescent="0.3">
      <c r="C168" s="108"/>
      <c r="D168" s="108"/>
      <c r="E168" s="108"/>
      <c r="F168" s="108"/>
      <c r="G168">
        <v>9.2621020000000005</v>
      </c>
    </row>
    <row r="169" spans="3:7" x14ac:dyDescent="0.3">
      <c r="C169" s="108"/>
      <c r="D169" s="108"/>
      <c r="E169" s="108"/>
      <c r="F169" s="108"/>
      <c r="G169">
        <v>0</v>
      </c>
    </row>
    <row r="170" spans="3:7" x14ac:dyDescent="0.3">
      <c r="C170" s="108"/>
      <c r="D170" s="108"/>
      <c r="E170" s="108"/>
      <c r="F170" s="108"/>
      <c r="G170">
        <v>0</v>
      </c>
    </row>
    <row r="171" spans="3:7" x14ac:dyDescent="0.3">
      <c r="C171" s="108"/>
      <c r="D171" s="108"/>
      <c r="E171" s="108"/>
      <c r="F171" s="108"/>
      <c r="G171">
        <v>0</v>
      </c>
    </row>
    <row r="172" spans="3:7" x14ac:dyDescent="0.3">
      <c r="C172" s="108"/>
      <c r="D172" s="108"/>
      <c r="E172" s="108"/>
      <c r="F172" s="108"/>
      <c r="G172">
        <v>691.00793399999998</v>
      </c>
    </row>
    <row r="173" spans="3:7" x14ac:dyDescent="0.3">
      <c r="C173" s="108"/>
      <c r="D173" s="108"/>
      <c r="E173" s="108"/>
      <c r="F173" s="108"/>
      <c r="G173">
        <v>205.88327000000001</v>
      </c>
    </row>
    <row r="174" spans="3:7" x14ac:dyDescent="0.3">
      <c r="C174" s="108"/>
      <c r="D174" s="108"/>
      <c r="E174" s="108"/>
      <c r="F174" s="108"/>
      <c r="G174">
        <v>0</v>
      </c>
    </row>
    <row r="175" spans="3:7" x14ac:dyDescent="0.3">
      <c r="C175" s="108"/>
      <c r="D175" s="108"/>
      <c r="E175" s="108"/>
      <c r="F175" s="108"/>
      <c r="G175">
        <v>0.35280600000000001</v>
      </c>
    </row>
    <row r="176" spans="3:7" x14ac:dyDescent="0.3">
      <c r="C176" s="108"/>
      <c r="D176" s="108"/>
      <c r="E176" s="108"/>
      <c r="F176" s="108"/>
      <c r="G176">
        <v>0</v>
      </c>
    </row>
    <row r="177" spans="3:7" x14ac:dyDescent="0.3">
      <c r="C177" s="108"/>
      <c r="D177" s="108"/>
      <c r="E177" s="108"/>
      <c r="F177" s="108"/>
      <c r="G177">
        <v>0</v>
      </c>
    </row>
    <row r="178" spans="3:7" x14ac:dyDescent="0.3">
      <c r="C178" s="108"/>
      <c r="D178" s="108"/>
      <c r="E178" s="108"/>
      <c r="F178" s="108"/>
      <c r="G178">
        <v>0</v>
      </c>
    </row>
    <row r="179" spans="3:7" x14ac:dyDescent="0.3">
      <c r="C179" s="108"/>
      <c r="D179" s="108"/>
      <c r="E179" s="108"/>
      <c r="F179" s="108"/>
      <c r="G179">
        <v>49.069667000000003</v>
      </c>
    </row>
    <row r="180" spans="3:7" x14ac:dyDescent="0.3">
      <c r="C180" s="108"/>
      <c r="D180" s="108"/>
      <c r="E180" s="108"/>
      <c r="F180" s="108"/>
      <c r="G180">
        <v>58.075415999999997</v>
      </c>
    </row>
    <row r="181" spans="3:7" x14ac:dyDescent="0.3">
      <c r="C181" s="108"/>
      <c r="D181" s="108"/>
      <c r="E181" s="108"/>
      <c r="F181" s="108"/>
      <c r="G181">
        <v>0</v>
      </c>
    </row>
    <row r="182" spans="3:7" x14ac:dyDescent="0.3">
      <c r="C182" s="108"/>
      <c r="D182" s="108"/>
      <c r="E182" s="108"/>
      <c r="F182" s="108"/>
      <c r="G182">
        <v>0</v>
      </c>
    </row>
    <row r="183" spans="3:7" x14ac:dyDescent="0.3">
      <c r="C183" s="108"/>
      <c r="D183" s="108"/>
      <c r="E183" s="108"/>
      <c r="F183" s="108"/>
      <c r="G183">
        <v>102.087287</v>
      </c>
    </row>
    <row r="184" spans="3:7" x14ac:dyDescent="0.3">
      <c r="C184" s="108"/>
      <c r="D184" s="108"/>
      <c r="E184" s="108"/>
      <c r="F184" s="108"/>
      <c r="G184">
        <v>0</v>
      </c>
    </row>
    <row r="185" spans="3:7" x14ac:dyDescent="0.3">
      <c r="C185" s="108"/>
      <c r="D185" s="108"/>
      <c r="E185" s="108"/>
      <c r="F185" s="108"/>
      <c r="G185">
        <v>0</v>
      </c>
    </row>
    <row r="186" spans="3:7" x14ac:dyDescent="0.3">
      <c r="C186" s="108"/>
      <c r="D186" s="108"/>
      <c r="E186" s="108"/>
      <c r="F186" s="108"/>
      <c r="G186">
        <v>0</v>
      </c>
    </row>
    <row r="187" spans="3:7" x14ac:dyDescent="0.3">
      <c r="C187" s="108"/>
      <c r="D187" s="108"/>
      <c r="E187" s="108"/>
      <c r="F187" s="108"/>
    </row>
    <row r="188" spans="3:7" x14ac:dyDescent="0.3">
      <c r="C188" s="108"/>
      <c r="D188" s="108"/>
      <c r="E188" s="108"/>
      <c r="F188" s="108"/>
    </row>
    <row r="189" spans="3:7" x14ac:dyDescent="0.3">
      <c r="C189" s="108"/>
      <c r="D189" s="108"/>
      <c r="E189" s="108"/>
      <c r="F189" s="108"/>
    </row>
    <row r="190" spans="3:7" x14ac:dyDescent="0.3">
      <c r="C190" s="108"/>
      <c r="D190" s="108"/>
      <c r="E190" s="108"/>
      <c r="F190" s="108"/>
    </row>
  </sheetData>
  <hyperlinks>
    <hyperlink ref="A1" location="'Table Of Contents'!A1" display="Return to ToC" xr:uid="{00000000-0004-0000-12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Table of Contents</vt:lpstr>
      <vt:lpstr>Data Overview</vt:lpstr>
      <vt:lpstr>Summary Report</vt:lpstr>
      <vt:lpstr>Inner Report</vt:lpstr>
      <vt:lpstr>AM Summary</vt:lpstr>
      <vt:lpstr>OP Summary</vt:lpstr>
      <vt:lpstr>PM Summary</vt:lpstr>
      <vt:lpstr>Late&amp;Early Summary</vt:lpstr>
      <vt:lpstr>Car VoC_L</vt:lpstr>
      <vt:lpstr>Car VoC_I</vt:lpstr>
      <vt:lpstr>Demand AM</vt:lpstr>
      <vt:lpstr>Demand OP</vt:lpstr>
      <vt:lpstr>Demand PM</vt:lpstr>
      <vt:lpstr>Demand Late&amp;Early</vt:lpstr>
      <vt:lpstr>Haiz</vt:lpstr>
      <vt:lpstr>Transit AM</vt:lpstr>
      <vt:lpstr>Transit OP</vt:lpstr>
      <vt:lpstr>Transit PM</vt:lpstr>
      <vt:lpstr>Transit Late&amp;Early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Neriya Berlowitz</cp:lastModifiedBy>
  <dcterms:created xsi:type="dcterms:W3CDTF">2017-02-14T15:22:40Z</dcterms:created>
  <dcterms:modified xsi:type="dcterms:W3CDTF">2019-12-04T11:04:49Z</dcterms:modified>
</cp:coreProperties>
</file>